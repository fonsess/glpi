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unisantabr-my.sharepoint.com/personal/marcos_costa_unisanta_br/Documents/Documentos/PROJETOS/Agendamento de provas/Qualidade de Vida - EAD (curso presencial)/2023-1/Versão 3 - 27-05-23/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Print_Area" localSheetId="0">Planilha1!$A$1:$O$10</definedName>
  </definedNames>
  <calcPr calcId="162913"/>
  <extLst>
    <ext uri="GoogleSheetsCustomDataVersion2">
      <go:sheetsCustomData xmlns:go="http://customooxmlschemas.google.com/" r:id="rId5" roundtripDataChecksum="uyzbynOodQwFZS5OtG6O3Afi9HQ8nC15nPuGKd/gx9o="/>
    </ext>
  </extLst>
</workbook>
</file>

<file path=xl/calcChain.xml><?xml version="1.0" encoding="utf-8"?>
<calcChain xmlns="http://schemas.openxmlformats.org/spreadsheetml/2006/main">
  <c r="N8" i="1" l="1"/>
  <c r="E8" i="1"/>
  <c r="B8" i="1"/>
  <c r="H8" i="1"/>
  <c r="N10" i="1" l="1"/>
</calcChain>
</file>

<file path=xl/sharedStrings.xml><?xml version="1.0" encoding="utf-8"?>
<sst xmlns="http://schemas.openxmlformats.org/spreadsheetml/2006/main" count="44" uniqueCount="28">
  <si>
    <t>Laboratórios</t>
  </si>
  <si>
    <t>TOTAL</t>
  </si>
  <si>
    <t>Horários</t>
  </si>
  <si>
    <t>05/06/23 (segunda -feira)</t>
  </si>
  <si>
    <t>06/06/23 (terça-feira)</t>
  </si>
  <si>
    <t>02/06/23 (sexta-feira)</t>
  </si>
  <si>
    <t>01/06/23 (quinta-feira)</t>
  </si>
  <si>
    <t>M212(30) + M215(36) + M216(20) + M218(28) + M219(30)</t>
  </si>
  <si>
    <t>M212 (30) + M214 (20) + M215 (36) + M216(20) + M218(28)</t>
  </si>
  <si>
    <t>,</t>
  </si>
  <si>
    <t>M212(30) + M213(25) + M216(20) + M219(30) + M220A(20)</t>
  </si>
  <si>
    <t>M212 (30) + M213(25) + M214 (20) + M215 (36) + M216(20) + M218(28)</t>
  </si>
  <si>
    <t>M212 (30) +  M214(20) + M216(20) + M218(28) + M219(30)</t>
  </si>
  <si>
    <t>PCs por Período</t>
  </si>
  <si>
    <t>03/06/23 (sábado)</t>
  </si>
  <si>
    <t>M212 (30) + M213(25) + M214 (20)+ M216(20)</t>
  </si>
  <si>
    <r>
      <t>8h00 - 10h00</t>
    </r>
    <r>
      <rPr>
        <b/>
        <sz val="12"/>
        <rFont val="Calibri"/>
        <family val="2"/>
      </rPr>
      <t>(95)</t>
    </r>
    <r>
      <rPr>
        <sz val="12"/>
        <rFont val="Calibri"/>
        <family val="2"/>
      </rPr>
      <t xml:space="preserve"> 10h00 - 12h00</t>
    </r>
    <r>
      <rPr>
        <b/>
        <sz val="12"/>
        <rFont val="Calibri"/>
        <family val="2"/>
      </rPr>
      <t>(95)</t>
    </r>
  </si>
  <si>
    <t>agendamentos: das 8h00 às 10h00(95); das 10h00 às 12h00(95); 12h00 às 14h00(95)</t>
  </si>
  <si>
    <t>17h00 - 19h00</t>
  </si>
  <si>
    <t>----------------------------------------</t>
  </si>
  <si>
    <t>8h00 - 10h00</t>
  </si>
  <si>
    <t>12h00 - 14h00</t>
  </si>
  <si>
    <t>M212(30) + M215(36) + M216(20)</t>
  </si>
  <si>
    <t>19h00 - 21h00</t>
  </si>
  <si>
    <t>M212(30) + M213(25) + M216(20)</t>
  </si>
  <si>
    <t>M212 (30) + M215 (36) + M216(20)</t>
  </si>
  <si>
    <t>M212 (30) +  M214(20) + M216(20)</t>
  </si>
  <si>
    <r>
      <t xml:space="preserve">EAD - QUALIDADE DE VIDA P2 DE 01, 02, </t>
    </r>
    <r>
      <rPr>
        <sz val="16"/>
        <color rgb="FFFF0000"/>
        <rFont val="Calibri"/>
        <family val="2"/>
      </rPr>
      <t>03,</t>
    </r>
    <r>
      <rPr>
        <sz val="16"/>
        <color rgb="FF000000"/>
        <rFont val="Calibri"/>
        <family val="2"/>
      </rPr>
      <t xml:space="preserve"> 05 e 06/06/2023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</si>
</sst>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scheme val="minor"/>
    </font>
    <font>
      <sz val="11"/>
      <name val="Calibri"/>
      <family val="2"/>
    </font>
    <font>
      <sz val="11"/>
      <color rgb="FF333333"/>
      <name val="Quattrocento Sans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333333"/>
      <name val="Quattrocento Sans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rgb="FF333333"/>
      <name val="Calibri"/>
      <family val="2"/>
      <scheme val="major"/>
    </font>
    <font>
      <b/>
      <sz val="12"/>
      <color rgb="FF333333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6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0" fillId="0" borderId="3" xfId="0" applyFont="1" applyBorder="1" applyAlignment="1"/>
    <xf numFmtId="0" fontId="6" fillId="2" borderId="3" xfId="0" applyFont="1" applyFill="1" applyBorder="1" applyAlignment="1">
      <alignment vertical="center" wrapText="1"/>
    </xf>
    <xf numFmtId="16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" fontId="7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8" fillId="0" borderId="0" xfId="0" applyFont="1" applyAlignment="1"/>
    <xf numFmtId="1" fontId="4" fillId="2" borderId="3" xfId="0" applyNumberFormat="1" applyFont="1" applyFill="1" applyBorder="1" applyAlignment="1">
      <alignment horizontal="left" vertical="center" wrapText="1"/>
    </xf>
    <xf numFmtId="0" fontId="1" fillId="0" borderId="3" xfId="0" applyFont="1" applyBorder="1"/>
    <xf numFmtId="0" fontId="5" fillId="0" borderId="1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left"/>
    </xf>
    <xf numFmtId="0" fontId="5" fillId="0" borderId="8" xfId="0" applyFont="1" applyFill="1" applyBorder="1" applyAlignment="1">
      <alignment horizontal="center"/>
    </xf>
    <xf numFmtId="0" fontId="1" fillId="0" borderId="3" xfId="0" applyFont="1" applyBorder="1"/>
    <xf numFmtId="0" fontId="5" fillId="0" borderId="3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16" fontId="7" fillId="2" borderId="19" xfId="0" applyNumberFormat="1" applyFont="1" applyFill="1" applyBorder="1" applyAlignment="1">
      <alignment vertical="center" wrapText="1"/>
    </xf>
    <xf numFmtId="1" fontId="4" fillId="2" borderId="20" xfId="0" applyNumberFormat="1" applyFont="1" applyFill="1" applyBorder="1" applyAlignment="1">
      <alignment horizontal="center" vertical="center" wrapText="1"/>
    </xf>
    <xf numFmtId="1" fontId="4" fillId="2" borderId="21" xfId="0" applyNumberFormat="1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5" fillId="0" borderId="2" xfId="0" applyFont="1" applyBorder="1"/>
    <xf numFmtId="0" fontId="5" fillId="0" borderId="3" xfId="0" applyFont="1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3" borderId="15" xfId="0" quotePrefix="1" applyFont="1" applyFill="1" applyBorder="1" applyAlignment="1">
      <alignment horizontal="center" vertical="center" wrapText="1"/>
    </xf>
    <xf numFmtId="0" fontId="9" fillId="3" borderId="16" xfId="0" quotePrefix="1" applyFont="1" applyFill="1" applyBorder="1" applyAlignment="1">
      <alignment horizontal="center" vertical="center" wrapText="1"/>
    </xf>
    <xf numFmtId="0" fontId="9" fillId="0" borderId="13" xfId="0" quotePrefix="1" applyFont="1" applyFill="1" applyBorder="1" applyAlignment="1">
      <alignment horizontal="center" vertical="center" wrapText="1"/>
    </xf>
    <xf numFmtId="0" fontId="9" fillId="0" borderId="14" xfId="0" quotePrefix="1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5"/>
  <sheetViews>
    <sheetView showGridLines="0" tabSelected="1" view="pageBreakPreview" zoomScaleNormal="100" zoomScaleSheetLayoutView="100" workbookViewId="0">
      <selection activeCell="F19" sqref="F19"/>
    </sheetView>
  </sheetViews>
  <sheetFormatPr defaultColWidth="14.42578125" defaultRowHeight="15" customHeight="1"/>
  <cols>
    <col min="1" max="1" width="15.140625" customWidth="1"/>
    <col min="2" max="2" width="9.140625" customWidth="1"/>
    <col min="3" max="3" width="26.140625" customWidth="1"/>
    <col min="4" max="4" width="2.28515625" customWidth="1"/>
    <col min="5" max="5" width="9.140625" customWidth="1"/>
    <col min="6" max="6" width="26.140625" customWidth="1"/>
    <col min="7" max="7" width="2.28515625" customWidth="1"/>
    <col min="8" max="8" width="20.7109375" customWidth="1"/>
    <col min="9" max="9" width="26.140625" customWidth="1"/>
    <col min="10" max="10" width="2.28515625" customWidth="1"/>
    <col min="11" max="11" width="9.140625" customWidth="1"/>
    <col min="12" max="12" width="32" customWidth="1"/>
    <col min="13" max="13" width="2.28515625" customWidth="1"/>
    <col min="14" max="14" width="9.140625" customWidth="1"/>
    <col min="15" max="15" width="32" customWidth="1"/>
    <col min="16" max="16" width="1" customWidth="1"/>
    <col min="17" max="24" width="8" customWidth="1"/>
  </cols>
  <sheetData>
    <row r="1" spans="1:18" ht="45" customHeight="1" thickBot="1">
      <c r="A1" s="42" t="s">
        <v>27</v>
      </c>
      <c r="B1" s="43"/>
      <c r="C1" s="44"/>
      <c r="D1" s="44"/>
      <c r="E1" s="45"/>
      <c r="F1" s="44"/>
      <c r="G1" s="44"/>
      <c r="H1" s="18"/>
      <c r="I1" s="18"/>
      <c r="J1" s="18"/>
      <c r="K1" s="11"/>
      <c r="L1" s="1"/>
      <c r="M1" s="1"/>
      <c r="N1" s="1"/>
      <c r="O1" s="1"/>
      <c r="P1" s="1"/>
      <c r="Q1" s="2"/>
      <c r="R1" s="2"/>
    </row>
    <row r="2" spans="1:18" ht="20.100000000000001" customHeight="1" thickTop="1">
      <c r="A2" s="48" t="s">
        <v>2</v>
      </c>
      <c r="B2" s="50" t="s">
        <v>13</v>
      </c>
      <c r="C2" s="23" t="s">
        <v>6</v>
      </c>
      <c r="D2" s="39"/>
      <c r="E2" s="52" t="s">
        <v>13</v>
      </c>
      <c r="F2" s="23" t="s">
        <v>5</v>
      </c>
      <c r="G2" s="39"/>
      <c r="H2" s="52" t="s">
        <v>13</v>
      </c>
      <c r="I2" s="23" t="s">
        <v>14</v>
      </c>
      <c r="J2" s="19"/>
      <c r="K2" s="52" t="s">
        <v>13</v>
      </c>
      <c r="L2" s="23" t="s">
        <v>3</v>
      </c>
      <c r="M2" s="40"/>
      <c r="N2" s="52" t="s">
        <v>13</v>
      </c>
      <c r="O2" s="23" t="s">
        <v>4</v>
      </c>
      <c r="P2" s="4"/>
      <c r="Q2" s="2"/>
      <c r="R2" s="2"/>
    </row>
    <row r="3" spans="1:18" ht="20.100000000000001" customHeight="1" thickBot="1">
      <c r="A3" s="49"/>
      <c r="B3" s="51"/>
      <c r="C3" s="21" t="s">
        <v>0</v>
      </c>
      <c r="D3" s="39"/>
      <c r="E3" s="53"/>
      <c r="F3" s="21" t="s">
        <v>0</v>
      </c>
      <c r="G3" s="39"/>
      <c r="H3" s="53"/>
      <c r="I3" s="21" t="s">
        <v>0</v>
      </c>
      <c r="J3" s="19"/>
      <c r="K3" s="53"/>
      <c r="L3" s="21" t="s">
        <v>0</v>
      </c>
      <c r="M3" s="40"/>
      <c r="N3" s="53"/>
      <c r="O3" s="21" t="s">
        <v>0</v>
      </c>
      <c r="P3" s="5"/>
      <c r="Q3" s="2"/>
      <c r="R3" s="2"/>
    </row>
    <row r="4" spans="1:18" ht="60" customHeight="1" thickTop="1">
      <c r="A4" s="28" t="s">
        <v>20</v>
      </c>
      <c r="B4" s="28">
        <v>144</v>
      </c>
      <c r="C4" s="22" t="s">
        <v>7</v>
      </c>
      <c r="D4" s="39"/>
      <c r="E4" s="12">
        <v>125</v>
      </c>
      <c r="F4" s="22" t="s">
        <v>10</v>
      </c>
      <c r="G4" s="39"/>
      <c r="H4" s="26" t="s">
        <v>16</v>
      </c>
      <c r="I4" s="22" t="s">
        <v>15</v>
      </c>
      <c r="J4" s="17"/>
      <c r="K4" s="12">
        <v>159</v>
      </c>
      <c r="L4" s="22" t="s">
        <v>11</v>
      </c>
      <c r="M4" s="40"/>
      <c r="N4" s="14">
        <v>159</v>
      </c>
      <c r="O4" s="22" t="s">
        <v>11</v>
      </c>
      <c r="P4" s="6"/>
      <c r="Q4" s="2"/>
      <c r="R4" s="2"/>
    </row>
    <row r="5" spans="1:18" ht="60" customHeight="1">
      <c r="A5" s="29" t="s">
        <v>21</v>
      </c>
      <c r="B5" s="28">
        <v>144</v>
      </c>
      <c r="C5" s="22" t="s">
        <v>7</v>
      </c>
      <c r="D5" s="39"/>
      <c r="E5" s="13">
        <v>125</v>
      </c>
      <c r="F5" s="30" t="s">
        <v>10</v>
      </c>
      <c r="G5" s="39"/>
      <c r="H5" s="27">
        <v>95</v>
      </c>
      <c r="I5" s="22" t="s">
        <v>15</v>
      </c>
      <c r="J5" s="17"/>
      <c r="K5" s="13">
        <v>159</v>
      </c>
      <c r="L5" s="30" t="s">
        <v>11</v>
      </c>
      <c r="M5" s="40"/>
      <c r="N5" s="15">
        <v>159</v>
      </c>
      <c r="O5" s="30" t="s">
        <v>11</v>
      </c>
      <c r="P5" s="6"/>
      <c r="Q5" s="2"/>
      <c r="R5" s="2"/>
    </row>
    <row r="6" spans="1:18" ht="60" customHeight="1">
      <c r="A6" s="29" t="s">
        <v>18</v>
      </c>
      <c r="B6" s="28">
        <v>144</v>
      </c>
      <c r="C6" s="22" t="s">
        <v>7</v>
      </c>
      <c r="D6" s="39"/>
      <c r="E6" s="13">
        <v>125</v>
      </c>
      <c r="F6" s="30" t="s">
        <v>10</v>
      </c>
      <c r="G6" s="39"/>
      <c r="H6" s="54" t="s">
        <v>17</v>
      </c>
      <c r="I6" s="55"/>
      <c r="J6" s="17"/>
      <c r="K6" s="13">
        <v>134</v>
      </c>
      <c r="L6" s="30" t="s">
        <v>8</v>
      </c>
      <c r="M6" s="40"/>
      <c r="N6" s="15">
        <v>128</v>
      </c>
      <c r="O6" s="30" t="s">
        <v>12</v>
      </c>
      <c r="P6" s="6"/>
      <c r="Q6" s="2"/>
      <c r="R6" s="2"/>
    </row>
    <row r="7" spans="1:18" ht="60" customHeight="1" thickBot="1">
      <c r="A7" s="31" t="s">
        <v>23</v>
      </c>
      <c r="B7" s="31">
        <v>86</v>
      </c>
      <c r="C7" s="32" t="s">
        <v>22</v>
      </c>
      <c r="D7" s="39"/>
      <c r="E7" s="24">
        <v>75</v>
      </c>
      <c r="F7" s="36" t="s">
        <v>24</v>
      </c>
      <c r="G7" s="39"/>
      <c r="H7" s="56" t="s">
        <v>19</v>
      </c>
      <c r="I7" s="57"/>
      <c r="J7" s="20"/>
      <c r="K7" s="58">
        <v>86</v>
      </c>
      <c r="L7" s="36" t="s">
        <v>25</v>
      </c>
      <c r="M7" s="40"/>
      <c r="N7" s="25">
        <v>70</v>
      </c>
      <c r="O7" s="36" t="s">
        <v>26</v>
      </c>
      <c r="P7" s="6"/>
      <c r="Q7" s="2"/>
      <c r="R7" s="2"/>
    </row>
    <row r="8" spans="1:18" ht="20.100000000000001" customHeight="1" thickTop="1" thickBot="1">
      <c r="A8" s="33"/>
      <c r="B8" s="34">
        <f>SUM(B4:B7)</f>
        <v>518</v>
      </c>
      <c r="C8" s="35"/>
      <c r="D8" s="39"/>
      <c r="E8" s="37">
        <f>SUM(E4:E7)</f>
        <v>450</v>
      </c>
      <c r="F8" s="35"/>
      <c r="G8" s="39"/>
      <c r="H8" s="37">
        <f>95*2+95</f>
        <v>285</v>
      </c>
      <c r="I8" s="35"/>
      <c r="J8" s="20"/>
      <c r="K8" s="59">
        <v>538</v>
      </c>
      <c r="L8" s="35"/>
      <c r="M8" s="40"/>
      <c r="N8" s="38">
        <f>SUM(N4:N7)</f>
        <v>516</v>
      </c>
      <c r="O8" s="35"/>
      <c r="P8" s="7"/>
      <c r="Q8" s="3"/>
    </row>
    <row r="9" spans="1:18" ht="17.25" customHeight="1" thickTop="1">
      <c r="A9" s="8"/>
      <c r="B9" s="8"/>
      <c r="C9" s="8"/>
      <c r="D9" s="8"/>
      <c r="E9" s="8"/>
      <c r="F9" s="46" t="s">
        <v>9</v>
      </c>
      <c r="G9" s="46"/>
      <c r="H9" s="47"/>
      <c r="I9" s="47"/>
      <c r="J9" s="47"/>
      <c r="K9" s="47"/>
      <c r="L9" s="46"/>
      <c r="M9" s="46"/>
      <c r="N9" s="47"/>
      <c r="O9" s="46"/>
      <c r="P9" s="46"/>
      <c r="R9" s="2"/>
    </row>
    <row r="10" spans="1:18" ht="15" customHeight="1">
      <c r="A10" s="41" t="s">
        <v>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9"/>
      <c r="N10" s="16">
        <f>N8+K8+E8+B8+H8</f>
        <v>2307</v>
      </c>
      <c r="O10" s="10"/>
      <c r="P10" s="9"/>
    </row>
    <row r="16" spans="1:1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4">
    <mergeCell ref="D2:D8"/>
    <mergeCell ref="G2:G8"/>
    <mergeCell ref="M2:M8"/>
    <mergeCell ref="A10:L10"/>
    <mergeCell ref="A1:G1"/>
    <mergeCell ref="F9:P9"/>
    <mergeCell ref="A2:A3"/>
    <mergeCell ref="B2:B3"/>
    <mergeCell ref="E2:E3"/>
    <mergeCell ref="K2:K3"/>
    <mergeCell ref="N2:N3"/>
    <mergeCell ref="H2:H3"/>
    <mergeCell ref="H6:I6"/>
    <mergeCell ref="H7:I7"/>
  </mergeCells>
  <printOptions horizontalCentered="1"/>
  <pageMargins left="0.39370078740157483" right="0.39370078740157483" top="0.74803149606299213" bottom="0.74803149606299213" header="0" footer="0"/>
  <pageSetup scale="57" orientation="landscape" r:id="rId1"/>
  <headerFooter>
    <oddFooter>&amp;R01+024Manoel Messias</oddFooter>
  </headerFooter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Marco Diniz Costa</cp:lastModifiedBy>
  <cp:lastPrinted>2023-05-27T12:31:48Z</cp:lastPrinted>
  <dcterms:created xsi:type="dcterms:W3CDTF">2023-03-14T14:59:56Z</dcterms:created>
  <dcterms:modified xsi:type="dcterms:W3CDTF">2023-05-29T12:24:39Z</dcterms:modified>
</cp:coreProperties>
</file>