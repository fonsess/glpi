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externalReferences>
    <externalReference r:id="rId2"/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30" i="1" l="1"/>
  <c r="W130" i="1"/>
  <c r="V130" i="1"/>
  <c r="T130" i="1"/>
  <c r="S130" i="1"/>
  <c r="R130" i="1"/>
  <c r="Q130" i="1"/>
  <c r="P130" i="1"/>
  <c r="O130" i="1"/>
  <c r="M130" i="1"/>
  <c r="L130" i="1"/>
  <c r="K130" i="1"/>
  <c r="D130" i="1"/>
  <c r="C130" i="1"/>
  <c r="X129" i="1"/>
  <c r="W129" i="1"/>
  <c r="V129" i="1"/>
  <c r="T129" i="1"/>
  <c r="S129" i="1"/>
  <c r="R129" i="1"/>
  <c r="Q129" i="1"/>
  <c r="P129" i="1"/>
  <c r="O129" i="1"/>
  <c r="M129" i="1"/>
  <c r="L129" i="1"/>
  <c r="K129" i="1"/>
  <c r="D129" i="1"/>
  <c r="C129" i="1"/>
  <c r="X128" i="1"/>
  <c r="W128" i="1"/>
  <c r="V128" i="1"/>
  <c r="T128" i="1"/>
  <c r="S128" i="1"/>
  <c r="R128" i="1"/>
  <c r="Q128" i="1"/>
  <c r="P128" i="1"/>
  <c r="O128" i="1"/>
  <c r="M128" i="1"/>
  <c r="L128" i="1"/>
  <c r="K128" i="1"/>
  <c r="D128" i="1"/>
  <c r="C128" i="1"/>
  <c r="X127" i="1"/>
  <c r="W127" i="1"/>
  <c r="V127" i="1"/>
  <c r="T127" i="1"/>
  <c r="S127" i="1"/>
  <c r="R127" i="1"/>
  <c r="Q127" i="1"/>
  <c r="P127" i="1"/>
  <c r="O127" i="1"/>
  <c r="M127" i="1"/>
  <c r="L127" i="1"/>
  <c r="K127" i="1"/>
  <c r="D127" i="1"/>
  <c r="C127" i="1"/>
  <c r="X126" i="1"/>
  <c r="W126" i="1"/>
  <c r="V126" i="1"/>
  <c r="T126" i="1"/>
  <c r="S126" i="1"/>
  <c r="R126" i="1"/>
  <c r="Q126" i="1"/>
  <c r="P126" i="1"/>
  <c r="O126" i="1"/>
  <c r="M126" i="1"/>
  <c r="L126" i="1"/>
  <c r="K126" i="1"/>
  <c r="D126" i="1"/>
  <c r="C126" i="1"/>
  <c r="X125" i="1"/>
  <c r="W125" i="1"/>
  <c r="V125" i="1"/>
  <c r="T125" i="1"/>
  <c r="S125" i="1"/>
  <c r="R125" i="1"/>
  <c r="Q125" i="1"/>
  <c r="P125" i="1"/>
  <c r="O125" i="1"/>
  <c r="M125" i="1"/>
  <c r="L125" i="1"/>
  <c r="K125" i="1"/>
  <c r="D125" i="1"/>
  <c r="C125" i="1"/>
  <c r="X124" i="1"/>
  <c r="W124" i="1"/>
  <c r="V124" i="1"/>
  <c r="T124" i="1"/>
  <c r="S124" i="1"/>
  <c r="R124" i="1"/>
  <c r="Q124" i="1"/>
  <c r="P124" i="1"/>
  <c r="O124" i="1"/>
  <c r="M124" i="1"/>
  <c r="L124" i="1"/>
  <c r="K124" i="1"/>
  <c r="D124" i="1"/>
  <c r="C124" i="1"/>
  <c r="X123" i="1"/>
  <c r="W123" i="1"/>
  <c r="V123" i="1"/>
  <c r="T123" i="1"/>
  <c r="S123" i="1"/>
  <c r="R123" i="1"/>
  <c r="Q123" i="1"/>
  <c r="P123" i="1"/>
  <c r="O123" i="1"/>
  <c r="M123" i="1"/>
  <c r="L123" i="1"/>
  <c r="K123" i="1"/>
  <c r="D123" i="1"/>
  <c r="C123" i="1"/>
  <c r="X122" i="1"/>
  <c r="W122" i="1"/>
  <c r="V122" i="1"/>
  <c r="T122" i="1"/>
  <c r="S122" i="1"/>
  <c r="R122" i="1"/>
  <c r="Q122" i="1"/>
  <c r="P122" i="1"/>
  <c r="O122" i="1"/>
  <c r="M122" i="1"/>
  <c r="L122" i="1"/>
  <c r="K122" i="1"/>
  <c r="D122" i="1"/>
  <c r="C122" i="1"/>
  <c r="X121" i="1"/>
  <c r="W121" i="1"/>
  <c r="V121" i="1"/>
  <c r="T121" i="1"/>
  <c r="S121" i="1"/>
  <c r="R121" i="1"/>
  <c r="Q121" i="1"/>
  <c r="P121" i="1"/>
  <c r="O121" i="1"/>
  <c r="M121" i="1"/>
  <c r="L121" i="1"/>
  <c r="K121" i="1"/>
  <c r="D121" i="1"/>
  <c r="C121" i="1"/>
  <c r="X120" i="1"/>
  <c r="W120" i="1"/>
  <c r="V120" i="1"/>
  <c r="T120" i="1"/>
  <c r="S120" i="1"/>
  <c r="R120" i="1"/>
  <c r="Q120" i="1"/>
  <c r="P120" i="1"/>
  <c r="O120" i="1"/>
  <c r="M120" i="1"/>
  <c r="L120" i="1"/>
  <c r="K120" i="1"/>
  <c r="D120" i="1"/>
  <c r="C120" i="1"/>
  <c r="X119" i="1"/>
  <c r="W119" i="1"/>
  <c r="V119" i="1"/>
  <c r="T119" i="1"/>
  <c r="S119" i="1"/>
  <c r="R119" i="1"/>
  <c r="Q119" i="1"/>
  <c r="P119" i="1"/>
  <c r="O119" i="1"/>
  <c r="M119" i="1"/>
  <c r="L119" i="1"/>
  <c r="K119" i="1"/>
  <c r="D119" i="1"/>
  <c r="C119" i="1"/>
  <c r="X118" i="1"/>
  <c r="W118" i="1"/>
  <c r="V118" i="1"/>
  <c r="T118" i="1"/>
  <c r="S118" i="1"/>
  <c r="R118" i="1"/>
  <c r="Q118" i="1"/>
  <c r="P118" i="1"/>
  <c r="O118" i="1"/>
  <c r="M118" i="1"/>
  <c r="L118" i="1"/>
  <c r="K118" i="1"/>
  <c r="D118" i="1"/>
  <c r="C118" i="1"/>
  <c r="X117" i="1"/>
  <c r="W117" i="1"/>
  <c r="V117" i="1"/>
  <c r="T117" i="1"/>
  <c r="S117" i="1"/>
  <c r="R117" i="1"/>
  <c r="Q117" i="1"/>
  <c r="P117" i="1"/>
  <c r="O117" i="1"/>
  <c r="M117" i="1"/>
  <c r="L117" i="1"/>
  <c r="K117" i="1"/>
  <c r="D117" i="1"/>
  <c r="C117" i="1"/>
  <c r="X116" i="1"/>
  <c r="W116" i="1"/>
  <c r="V116" i="1"/>
  <c r="T116" i="1"/>
  <c r="S116" i="1"/>
  <c r="R116" i="1"/>
  <c r="Q116" i="1"/>
  <c r="P116" i="1"/>
  <c r="O116" i="1"/>
  <c r="M116" i="1"/>
  <c r="L116" i="1"/>
  <c r="K116" i="1"/>
  <c r="D116" i="1"/>
  <c r="C116" i="1"/>
  <c r="X115" i="1"/>
  <c r="W115" i="1"/>
  <c r="V115" i="1"/>
  <c r="T115" i="1"/>
  <c r="S115" i="1"/>
  <c r="R115" i="1"/>
  <c r="Q115" i="1"/>
  <c r="P115" i="1"/>
  <c r="O115" i="1"/>
  <c r="M115" i="1"/>
  <c r="L115" i="1"/>
  <c r="K115" i="1"/>
  <c r="D115" i="1"/>
  <c r="C115" i="1"/>
  <c r="X114" i="1"/>
  <c r="W114" i="1"/>
  <c r="V114" i="1"/>
  <c r="T114" i="1"/>
  <c r="S114" i="1"/>
  <c r="R114" i="1"/>
  <c r="Q114" i="1"/>
  <c r="P114" i="1"/>
  <c r="O114" i="1"/>
  <c r="M114" i="1"/>
  <c r="L114" i="1"/>
  <c r="K114" i="1"/>
  <c r="D114" i="1"/>
  <c r="C114" i="1"/>
  <c r="X113" i="1"/>
  <c r="W113" i="1"/>
  <c r="V113" i="1"/>
  <c r="T113" i="1"/>
  <c r="S113" i="1"/>
  <c r="R113" i="1"/>
  <c r="Q113" i="1"/>
  <c r="P113" i="1"/>
  <c r="O113" i="1"/>
  <c r="M113" i="1"/>
  <c r="L113" i="1"/>
  <c r="K113" i="1"/>
  <c r="D113" i="1"/>
  <c r="C113" i="1"/>
  <c r="X112" i="1"/>
  <c r="W112" i="1"/>
  <c r="V112" i="1"/>
  <c r="T112" i="1"/>
  <c r="S112" i="1"/>
  <c r="R112" i="1"/>
  <c r="Q112" i="1"/>
  <c r="P112" i="1"/>
  <c r="O112" i="1"/>
  <c r="M112" i="1"/>
  <c r="L112" i="1"/>
  <c r="K112" i="1"/>
  <c r="D112" i="1"/>
  <c r="C112" i="1"/>
  <c r="X111" i="1"/>
  <c r="W111" i="1"/>
  <c r="V111" i="1"/>
  <c r="T111" i="1"/>
  <c r="S111" i="1"/>
  <c r="R111" i="1"/>
  <c r="Q111" i="1"/>
  <c r="P111" i="1"/>
  <c r="O111" i="1"/>
  <c r="M111" i="1"/>
  <c r="L111" i="1"/>
  <c r="K111" i="1"/>
  <c r="D111" i="1"/>
  <c r="C111" i="1"/>
  <c r="X110" i="1"/>
  <c r="W110" i="1"/>
  <c r="V110" i="1"/>
  <c r="T110" i="1"/>
  <c r="S110" i="1"/>
  <c r="R110" i="1"/>
  <c r="Q110" i="1"/>
  <c r="P110" i="1"/>
  <c r="O110" i="1"/>
  <c r="M110" i="1"/>
  <c r="L110" i="1"/>
  <c r="K110" i="1"/>
  <c r="D110" i="1"/>
  <c r="C110" i="1"/>
  <c r="X109" i="1"/>
  <c r="W109" i="1"/>
  <c r="V109" i="1"/>
  <c r="T109" i="1"/>
  <c r="S109" i="1"/>
  <c r="R109" i="1"/>
  <c r="Q109" i="1"/>
  <c r="P109" i="1"/>
  <c r="O109" i="1"/>
  <c r="M109" i="1"/>
  <c r="L109" i="1"/>
  <c r="K109" i="1"/>
  <c r="D109" i="1"/>
  <c r="C109" i="1"/>
  <c r="X108" i="1"/>
  <c r="W108" i="1"/>
  <c r="V108" i="1"/>
  <c r="T108" i="1"/>
  <c r="S108" i="1"/>
  <c r="R108" i="1"/>
  <c r="Q108" i="1"/>
  <c r="P108" i="1"/>
  <c r="O108" i="1"/>
  <c r="M108" i="1"/>
  <c r="L108" i="1"/>
  <c r="K108" i="1"/>
  <c r="D108" i="1"/>
  <c r="C108" i="1"/>
  <c r="X107" i="1"/>
  <c r="W107" i="1"/>
  <c r="V107" i="1"/>
  <c r="T107" i="1"/>
  <c r="S107" i="1"/>
  <c r="R107" i="1"/>
  <c r="Q107" i="1"/>
  <c r="P107" i="1"/>
  <c r="O107" i="1"/>
  <c r="M107" i="1"/>
  <c r="L107" i="1"/>
  <c r="K107" i="1"/>
  <c r="D107" i="1"/>
  <c r="C107" i="1"/>
  <c r="X106" i="1"/>
  <c r="W106" i="1"/>
  <c r="V106" i="1"/>
  <c r="T106" i="1"/>
  <c r="S106" i="1"/>
  <c r="R106" i="1"/>
  <c r="Q106" i="1"/>
  <c r="P106" i="1"/>
  <c r="O106" i="1"/>
  <c r="M106" i="1"/>
  <c r="L106" i="1"/>
  <c r="K106" i="1"/>
  <c r="D106" i="1"/>
  <c r="C106" i="1"/>
  <c r="X105" i="1"/>
  <c r="W105" i="1"/>
  <c r="V105" i="1"/>
  <c r="T105" i="1"/>
  <c r="S105" i="1"/>
  <c r="R105" i="1"/>
  <c r="Q105" i="1"/>
  <c r="P105" i="1"/>
  <c r="O105" i="1"/>
  <c r="M105" i="1"/>
  <c r="L105" i="1"/>
  <c r="K105" i="1"/>
  <c r="D105" i="1"/>
  <c r="C105" i="1"/>
  <c r="X104" i="1"/>
  <c r="W104" i="1"/>
  <c r="V104" i="1"/>
  <c r="T104" i="1"/>
  <c r="S104" i="1"/>
  <c r="R104" i="1"/>
  <c r="Q104" i="1"/>
  <c r="P104" i="1"/>
  <c r="O104" i="1"/>
  <c r="M104" i="1"/>
  <c r="L104" i="1"/>
  <c r="K104" i="1"/>
  <c r="D104" i="1"/>
  <c r="C104" i="1"/>
  <c r="X103" i="1"/>
  <c r="W103" i="1"/>
  <c r="V103" i="1"/>
  <c r="T103" i="1"/>
  <c r="S103" i="1"/>
  <c r="R103" i="1"/>
  <c r="Q103" i="1"/>
  <c r="P103" i="1"/>
  <c r="O103" i="1"/>
  <c r="M103" i="1"/>
  <c r="L103" i="1"/>
  <c r="K103" i="1"/>
  <c r="D103" i="1"/>
  <c r="C103" i="1"/>
  <c r="X102" i="1"/>
  <c r="W102" i="1"/>
  <c r="V102" i="1"/>
  <c r="T102" i="1"/>
  <c r="S102" i="1"/>
  <c r="R102" i="1"/>
  <c r="Q102" i="1"/>
  <c r="P102" i="1"/>
  <c r="O102" i="1"/>
  <c r="M102" i="1"/>
  <c r="L102" i="1"/>
  <c r="K102" i="1"/>
  <c r="D102" i="1"/>
  <c r="C102" i="1"/>
  <c r="X101" i="1"/>
  <c r="W101" i="1"/>
  <c r="V101" i="1"/>
  <c r="T101" i="1"/>
  <c r="S101" i="1"/>
  <c r="R101" i="1"/>
  <c r="Q101" i="1"/>
  <c r="P101" i="1"/>
  <c r="O101" i="1"/>
  <c r="M101" i="1"/>
  <c r="L101" i="1"/>
  <c r="K101" i="1"/>
  <c r="D101" i="1"/>
  <c r="C101" i="1"/>
  <c r="X100" i="1"/>
  <c r="W100" i="1"/>
  <c r="V100" i="1"/>
  <c r="T100" i="1"/>
  <c r="S100" i="1"/>
  <c r="R100" i="1"/>
  <c r="Q100" i="1"/>
  <c r="P100" i="1"/>
  <c r="O100" i="1"/>
  <c r="M100" i="1"/>
  <c r="L100" i="1"/>
  <c r="K100" i="1"/>
  <c r="D100" i="1"/>
  <c r="C100" i="1"/>
  <c r="X99" i="1"/>
  <c r="W99" i="1"/>
  <c r="V99" i="1"/>
  <c r="T99" i="1"/>
  <c r="S99" i="1"/>
  <c r="R99" i="1"/>
  <c r="Q99" i="1"/>
  <c r="P99" i="1"/>
  <c r="O99" i="1"/>
  <c r="M99" i="1"/>
  <c r="L99" i="1"/>
  <c r="K99" i="1"/>
  <c r="D99" i="1"/>
  <c r="C99" i="1"/>
  <c r="X98" i="1"/>
  <c r="W98" i="1"/>
  <c r="V98" i="1"/>
  <c r="T98" i="1"/>
  <c r="S98" i="1"/>
  <c r="R98" i="1"/>
  <c r="Q98" i="1"/>
  <c r="P98" i="1"/>
  <c r="O98" i="1"/>
  <c r="M98" i="1"/>
  <c r="L98" i="1"/>
  <c r="K98" i="1"/>
  <c r="D98" i="1"/>
  <c r="C98" i="1"/>
  <c r="X97" i="1"/>
  <c r="W97" i="1"/>
  <c r="V97" i="1"/>
  <c r="T97" i="1"/>
  <c r="S97" i="1"/>
  <c r="R97" i="1"/>
  <c r="Q97" i="1"/>
  <c r="P97" i="1"/>
  <c r="O97" i="1"/>
  <c r="M97" i="1"/>
  <c r="L97" i="1"/>
  <c r="K97" i="1"/>
  <c r="D97" i="1"/>
  <c r="C97" i="1"/>
  <c r="X96" i="1"/>
  <c r="W96" i="1"/>
  <c r="V96" i="1"/>
  <c r="T96" i="1"/>
  <c r="S96" i="1"/>
  <c r="R96" i="1"/>
  <c r="Q96" i="1"/>
  <c r="P96" i="1"/>
  <c r="O96" i="1"/>
  <c r="M96" i="1"/>
  <c r="L96" i="1"/>
  <c r="K96" i="1"/>
  <c r="D96" i="1"/>
  <c r="C96" i="1"/>
  <c r="X95" i="1"/>
  <c r="W95" i="1"/>
  <c r="V95" i="1"/>
  <c r="T95" i="1"/>
  <c r="S95" i="1"/>
  <c r="R95" i="1"/>
  <c r="Q95" i="1"/>
  <c r="P95" i="1"/>
  <c r="O95" i="1"/>
  <c r="M95" i="1"/>
  <c r="L95" i="1"/>
  <c r="K95" i="1"/>
  <c r="D95" i="1"/>
  <c r="C95" i="1"/>
  <c r="X94" i="1"/>
  <c r="W94" i="1"/>
  <c r="V94" i="1"/>
  <c r="T94" i="1"/>
  <c r="S94" i="1"/>
  <c r="R94" i="1"/>
  <c r="Q94" i="1"/>
  <c r="P94" i="1"/>
  <c r="O94" i="1"/>
  <c r="M94" i="1"/>
  <c r="L94" i="1"/>
  <c r="K94" i="1"/>
  <c r="D94" i="1"/>
  <c r="C94" i="1"/>
  <c r="X93" i="1"/>
  <c r="W93" i="1"/>
  <c r="V93" i="1"/>
  <c r="T93" i="1"/>
  <c r="S93" i="1"/>
  <c r="R93" i="1"/>
  <c r="Q93" i="1"/>
  <c r="P93" i="1"/>
  <c r="O93" i="1"/>
  <c r="M93" i="1"/>
  <c r="L93" i="1"/>
  <c r="K93" i="1"/>
  <c r="D93" i="1"/>
  <c r="C93" i="1"/>
  <c r="X92" i="1"/>
  <c r="W92" i="1"/>
  <c r="V92" i="1"/>
  <c r="T92" i="1"/>
  <c r="S92" i="1"/>
  <c r="R92" i="1"/>
  <c r="Q92" i="1"/>
  <c r="P92" i="1"/>
  <c r="O92" i="1"/>
  <c r="M92" i="1"/>
  <c r="L92" i="1"/>
  <c r="K92" i="1"/>
  <c r="D92" i="1"/>
  <c r="C92" i="1"/>
  <c r="W91" i="1"/>
  <c r="C91" i="1"/>
  <c r="X90" i="1"/>
  <c r="W90" i="1"/>
  <c r="V90" i="1"/>
  <c r="T90" i="1"/>
  <c r="S90" i="1"/>
  <c r="R90" i="1"/>
  <c r="Q90" i="1"/>
  <c r="P90" i="1"/>
  <c r="O90" i="1"/>
  <c r="M90" i="1"/>
  <c r="L90" i="1"/>
  <c r="K90" i="1"/>
  <c r="D90" i="1"/>
  <c r="C90" i="1"/>
  <c r="X89" i="1"/>
  <c r="W89" i="1"/>
  <c r="V89" i="1"/>
  <c r="T89" i="1"/>
  <c r="S89" i="1"/>
  <c r="R89" i="1"/>
  <c r="Q89" i="1"/>
  <c r="P89" i="1"/>
  <c r="O89" i="1"/>
  <c r="M89" i="1"/>
  <c r="L89" i="1"/>
  <c r="K89" i="1"/>
  <c r="D89" i="1"/>
  <c r="C89" i="1"/>
  <c r="X88" i="1"/>
  <c r="W88" i="1"/>
  <c r="V88" i="1"/>
  <c r="T88" i="1"/>
  <c r="S88" i="1"/>
  <c r="R88" i="1"/>
  <c r="Q88" i="1"/>
  <c r="P88" i="1"/>
  <c r="O88" i="1"/>
  <c r="M88" i="1"/>
  <c r="L88" i="1"/>
  <c r="K88" i="1"/>
  <c r="D88" i="1"/>
  <c r="C88" i="1"/>
  <c r="X87" i="1"/>
  <c r="W87" i="1"/>
  <c r="V87" i="1"/>
  <c r="T87" i="1"/>
  <c r="S87" i="1"/>
  <c r="R87" i="1"/>
  <c r="Q87" i="1"/>
  <c r="P87" i="1"/>
  <c r="O87" i="1"/>
  <c r="M87" i="1"/>
  <c r="L87" i="1"/>
  <c r="K87" i="1"/>
  <c r="D87" i="1"/>
  <c r="C87" i="1"/>
  <c r="X86" i="1"/>
  <c r="W86" i="1"/>
  <c r="V86" i="1"/>
  <c r="T86" i="1"/>
  <c r="S86" i="1"/>
  <c r="R86" i="1"/>
  <c r="Q86" i="1"/>
  <c r="P86" i="1"/>
  <c r="O86" i="1"/>
  <c r="M86" i="1"/>
  <c r="L86" i="1"/>
  <c r="K86" i="1"/>
  <c r="D86" i="1"/>
  <c r="C86" i="1"/>
  <c r="X85" i="1"/>
  <c r="W85" i="1"/>
  <c r="V85" i="1"/>
  <c r="T85" i="1"/>
  <c r="S85" i="1"/>
  <c r="R85" i="1"/>
  <c r="Q85" i="1"/>
  <c r="P85" i="1"/>
  <c r="O85" i="1"/>
  <c r="M85" i="1"/>
  <c r="L85" i="1"/>
  <c r="K85" i="1"/>
  <c r="D85" i="1"/>
  <c r="C85" i="1"/>
  <c r="X84" i="1"/>
  <c r="W84" i="1"/>
  <c r="V84" i="1"/>
  <c r="T84" i="1"/>
  <c r="S84" i="1"/>
  <c r="R84" i="1"/>
  <c r="Q84" i="1"/>
  <c r="P84" i="1"/>
  <c r="O84" i="1"/>
  <c r="M84" i="1"/>
  <c r="L84" i="1"/>
  <c r="K84" i="1"/>
  <c r="D84" i="1"/>
  <c r="C84" i="1"/>
  <c r="X83" i="1"/>
  <c r="W83" i="1"/>
  <c r="V83" i="1"/>
  <c r="T83" i="1"/>
  <c r="S83" i="1"/>
  <c r="R83" i="1"/>
  <c r="Q83" i="1"/>
  <c r="P83" i="1"/>
  <c r="O83" i="1"/>
  <c r="M83" i="1"/>
  <c r="L83" i="1"/>
  <c r="K83" i="1"/>
  <c r="D83" i="1"/>
  <c r="C83" i="1"/>
  <c r="X82" i="1"/>
  <c r="W82" i="1"/>
  <c r="V82" i="1"/>
  <c r="T82" i="1"/>
  <c r="S82" i="1"/>
  <c r="R82" i="1"/>
  <c r="Q82" i="1"/>
  <c r="P82" i="1"/>
  <c r="O82" i="1"/>
  <c r="M82" i="1"/>
  <c r="L82" i="1"/>
  <c r="K82" i="1"/>
  <c r="D82" i="1"/>
  <c r="C82" i="1"/>
  <c r="X81" i="1"/>
  <c r="W81" i="1"/>
  <c r="V81" i="1"/>
  <c r="T81" i="1"/>
  <c r="S81" i="1"/>
  <c r="R81" i="1"/>
  <c r="Q81" i="1"/>
  <c r="P81" i="1"/>
  <c r="O81" i="1"/>
  <c r="M81" i="1"/>
  <c r="L81" i="1"/>
  <c r="K81" i="1"/>
  <c r="D81" i="1"/>
  <c r="C81" i="1"/>
  <c r="X80" i="1"/>
  <c r="W80" i="1"/>
  <c r="V80" i="1"/>
  <c r="T80" i="1"/>
  <c r="S80" i="1"/>
  <c r="R80" i="1"/>
  <c r="Q80" i="1"/>
  <c r="P80" i="1"/>
  <c r="O80" i="1"/>
  <c r="M80" i="1"/>
  <c r="L80" i="1"/>
  <c r="K80" i="1"/>
  <c r="D80" i="1"/>
  <c r="C80" i="1"/>
  <c r="X79" i="1"/>
  <c r="W79" i="1"/>
  <c r="V79" i="1"/>
  <c r="T79" i="1"/>
  <c r="S79" i="1"/>
  <c r="R79" i="1"/>
  <c r="Q79" i="1"/>
  <c r="P79" i="1"/>
  <c r="O79" i="1"/>
  <c r="M79" i="1"/>
  <c r="L79" i="1"/>
  <c r="K79" i="1"/>
  <c r="D79" i="1"/>
  <c r="C79" i="1"/>
  <c r="X78" i="1"/>
  <c r="W78" i="1"/>
  <c r="V78" i="1"/>
  <c r="T78" i="1"/>
  <c r="S78" i="1"/>
  <c r="R78" i="1"/>
  <c r="Q78" i="1"/>
  <c r="P78" i="1"/>
  <c r="O78" i="1"/>
  <c r="M78" i="1"/>
  <c r="L78" i="1"/>
  <c r="K78" i="1"/>
  <c r="D78" i="1"/>
  <c r="C78" i="1"/>
  <c r="X77" i="1"/>
  <c r="W77" i="1"/>
  <c r="V77" i="1"/>
  <c r="T77" i="1"/>
  <c r="S77" i="1"/>
  <c r="R77" i="1"/>
  <c r="Q77" i="1"/>
  <c r="P77" i="1"/>
  <c r="O77" i="1"/>
  <c r="M77" i="1"/>
  <c r="L77" i="1"/>
  <c r="K77" i="1"/>
  <c r="D77" i="1"/>
  <c r="C77" i="1"/>
  <c r="X76" i="1"/>
  <c r="W76" i="1"/>
  <c r="V76" i="1"/>
  <c r="T76" i="1"/>
  <c r="S76" i="1"/>
  <c r="R76" i="1"/>
  <c r="Q76" i="1"/>
  <c r="P76" i="1"/>
  <c r="O76" i="1"/>
  <c r="M76" i="1"/>
  <c r="L76" i="1"/>
  <c r="K76" i="1"/>
  <c r="D76" i="1"/>
  <c r="C76" i="1"/>
  <c r="X75" i="1"/>
  <c r="W75" i="1"/>
  <c r="V75" i="1"/>
  <c r="T75" i="1"/>
  <c r="S75" i="1"/>
  <c r="R75" i="1"/>
  <c r="Q75" i="1"/>
  <c r="P75" i="1"/>
  <c r="O75" i="1"/>
  <c r="M75" i="1"/>
  <c r="L75" i="1"/>
  <c r="K75" i="1"/>
  <c r="D75" i="1"/>
  <c r="C75" i="1"/>
  <c r="X74" i="1"/>
  <c r="W74" i="1"/>
  <c r="V74" i="1"/>
  <c r="T74" i="1"/>
  <c r="S74" i="1"/>
  <c r="R74" i="1"/>
  <c r="Q74" i="1"/>
  <c r="P74" i="1"/>
  <c r="O74" i="1"/>
  <c r="M74" i="1"/>
  <c r="L74" i="1"/>
  <c r="K74" i="1"/>
  <c r="D74" i="1"/>
  <c r="C74" i="1"/>
  <c r="X73" i="1"/>
  <c r="W73" i="1"/>
  <c r="V73" i="1"/>
  <c r="T73" i="1"/>
  <c r="S73" i="1"/>
  <c r="R73" i="1"/>
  <c r="Q73" i="1"/>
  <c r="P73" i="1"/>
  <c r="O73" i="1"/>
  <c r="M73" i="1"/>
  <c r="L73" i="1"/>
  <c r="K73" i="1"/>
  <c r="D73" i="1"/>
  <c r="C73" i="1"/>
  <c r="X72" i="1"/>
  <c r="W72" i="1"/>
  <c r="V72" i="1"/>
  <c r="T72" i="1"/>
  <c r="S72" i="1"/>
  <c r="R72" i="1"/>
  <c r="Q72" i="1"/>
  <c r="P72" i="1"/>
  <c r="O72" i="1"/>
  <c r="M72" i="1"/>
  <c r="L72" i="1"/>
  <c r="K72" i="1"/>
  <c r="D72" i="1"/>
  <c r="C72" i="1"/>
  <c r="X71" i="1"/>
  <c r="W71" i="1"/>
  <c r="V71" i="1"/>
  <c r="T71" i="1"/>
  <c r="S71" i="1"/>
  <c r="R71" i="1"/>
  <c r="Q71" i="1"/>
  <c r="P71" i="1"/>
  <c r="O71" i="1"/>
  <c r="M71" i="1"/>
  <c r="L71" i="1"/>
  <c r="K71" i="1"/>
  <c r="D71" i="1"/>
  <c r="C71" i="1"/>
  <c r="X70" i="1"/>
  <c r="W70" i="1"/>
  <c r="V70" i="1"/>
  <c r="T70" i="1"/>
  <c r="S70" i="1"/>
  <c r="R70" i="1"/>
  <c r="Q70" i="1"/>
  <c r="P70" i="1"/>
  <c r="O70" i="1"/>
  <c r="M70" i="1"/>
  <c r="L70" i="1"/>
  <c r="K70" i="1"/>
  <c r="D70" i="1"/>
  <c r="C70" i="1"/>
  <c r="X69" i="1"/>
  <c r="W69" i="1"/>
  <c r="V69" i="1"/>
  <c r="T69" i="1"/>
  <c r="S69" i="1"/>
  <c r="R69" i="1"/>
  <c r="Q69" i="1"/>
  <c r="P69" i="1"/>
  <c r="O69" i="1"/>
  <c r="M69" i="1"/>
  <c r="L69" i="1"/>
  <c r="K69" i="1"/>
  <c r="D69" i="1"/>
  <c r="C69" i="1"/>
  <c r="X68" i="1"/>
  <c r="W68" i="1"/>
  <c r="V68" i="1"/>
  <c r="T68" i="1"/>
  <c r="S68" i="1"/>
  <c r="R68" i="1"/>
  <c r="Q68" i="1"/>
  <c r="P68" i="1"/>
  <c r="O68" i="1"/>
  <c r="M68" i="1"/>
  <c r="L68" i="1"/>
  <c r="K68" i="1"/>
  <c r="D68" i="1"/>
  <c r="C68" i="1"/>
  <c r="X67" i="1"/>
  <c r="W67" i="1"/>
  <c r="V67" i="1"/>
  <c r="T67" i="1"/>
  <c r="S67" i="1"/>
  <c r="R67" i="1"/>
  <c r="Q67" i="1"/>
  <c r="P67" i="1"/>
  <c r="O67" i="1"/>
  <c r="M67" i="1"/>
  <c r="L67" i="1"/>
  <c r="K67" i="1"/>
  <c r="D67" i="1"/>
  <c r="X66" i="1"/>
  <c r="W66" i="1"/>
  <c r="V66" i="1"/>
  <c r="T66" i="1"/>
  <c r="S66" i="1"/>
  <c r="R66" i="1"/>
  <c r="Q66" i="1"/>
  <c r="P66" i="1"/>
  <c r="O66" i="1"/>
  <c r="M66" i="1"/>
  <c r="L66" i="1"/>
  <c r="K66" i="1"/>
  <c r="D66" i="1"/>
  <c r="C66" i="1"/>
  <c r="X65" i="1"/>
  <c r="W65" i="1"/>
  <c r="V65" i="1"/>
  <c r="T65" i="1"/>
  <c r="S65" i="1"/>
  <c r="R65" i="1"/>
  <c r="Q65" i="1"/>
  <c r="P65" i="1"/>
  <c r="O65" i="1"/>
  <c r="M65" i="1"/>
  <c r="L65" i="1"/>
  <c r="K65" i="1"/>
  <c r="D65" i="1"/>
  <c r="C65" i="1"/>
  <c r="X64" i="1"/>
  <c r="W64" i="1"/>
  <c r="V64" i="1"/>
  <c r="T64" i="1"/>
  <c r="S64" i="1"/>
  <c r="R64" i="1"/>
  <c r="Q64" i="1"/>
  <c r="P64" i="1"/>
  <c r="O64" i="1"/>
  <c r="M64" i="1"/>
  <c r="L64" i="1"/>
  <c r="K64" i="1"/>
  <c r="D64" i="1"/>
  <c r="C64" i="1"/>
  <c r="X63" i="1"/>
  <c r="W63" i="1"/>
  <c r="V63" i="1"/>
  <c r="T63" i="1"/>
  <c r="S63" i="1"/>
  <c r="R63" i="1"/>
  <c r="Q63" i="1"/>
  <c r="P63" i="1"/>
  <c r="O63" i="1"/>
  <c r="M63" i="1"/>
  <c r="L63" i="1"/>
  <c r="K63" i="1"/>
  <c r="D63" i="1"/>
  <c r="C63" i="1"/>
  <c r="X62" i="1"/>
  <c r="W62" i="1"/>
  <c r="V62" i="1"/>
  <c r="T62" i="1"/>
  <c r="S62" i="1"/>
  <c r="R62" i="1"/>
  <c r="Q62" i="1"/>
  <c r="P62" i="1"/>
  <c r="O62" i="1"/>
  <c r="M62" i="1"/>
  <c r="L62" i="1"/>
  <c r="K62" i="1"/>
  <c r="D62" i="1"/>
  <c r="C62" i="1"/>
  <c r="X61" i="1"/>
  <c r="W61" i="1"/>
  <c r="V61" i="1"/>
  <c r="T61" i="1"/>
  <c r="S61" i="1"/>
  <c r="R61" i="1"/>
  <c r="Q61" i="1"/>
  <c r="P61" i="1"/>
  <c r="O61" i="1"/>
  <c r="M61" i="1"/>
  <c r="L61" i="1"/>
  <c r="K61" i="1"/>
  <c r="D61" i="1"/>
  <c r="C61" i="1"/>
  <c r="X60" i="1"/>
  <c r="W60" i="1"/>
  <c r="V60" i="1"/>
  <c r="T60" i="1"/>
  <c r="S60" i="1"/>
  <c r="R60" i="1"/>
  <c r="Q60" i="1"/>
  <c r="P60" i="1"/>
  <c r="O60" i="1"/>
  <c r="M60" i="1"/>
  <c r="L60" i="1"/>
  <c r="K60" i="1"/>
  <c r="D60" i="1"/>
  <c r="C60" i="1"/>
  <c r="X59" i="1"/>
  <c r="W59" i="1"/>
  <c r="V59" i="1"/>
  <c r="T59" i="1"/>
  <c r="S59" i="1"/>
  <c r="R59" i="1"/>
  <c r="Q59" i="1"/>
  <c r="P59" i="1"/>
  <c r="O59" i="1"/>
  <c r="M59" i="1"/>
  <c r="L59" i="1"/>
  <c r="K59" i="1"/>
  <c r="D59" i="1"/>
  <c r="C59" i="1"/>
  <c r="X58" i="1"/>
  <c r="W58" i="1"/>
  <c r="V58" i="1"/>
  <c r="T58" i="1"/>
  <c r="S58" i="1"/>
  <c r="R58" i="1"/>
  <c r="Q58" i="1"/>
  <c r="P58" i="1"/>
  <c r="O58" i="1"/>
  <c r="M58" i="1"/>
  <c r="L58" i="1"/>
  <c r="K58" i="1"/>
  <c r="D58" i="1"/>
  <c r="C58" i="1"/>
  <c r="X57" i="1"/>
  <c r="W57" i="1"/>
  <c r="V57" i="1"/>
  <c r="T57" i="1"/>
  <c r="S57" i="1"/>
  <c r="R57" i="1"/>
  <c r="Q57" i="1"/>
  <c r="P57" i="1"/>
  <c r="O57" i="1"/>
  <c r="M57" i="1"/>
  <c r="L57" i="1"/>
  <c r="K57" i="1"/>
  <c r="D57" i="1"/>
  <c r="C57" i="1"/>
  <c r="X56" i="1"/>
  <c r="W56" i="1"/>
  <c r="V56" i="1"/>
  <c r="T56" i="1"/>
  <c r="S56" i="1"/>
  <c r="R56" i="1"/>
  <c r="Q56" i="1"/>
  <c r="P56" i="1"/>
  <c r="O56" i="1"/>
  <c r="M56" i="1"/>
  <c r="L56" i="1"/>
  <c r="K56" i="1"/>
  <c r="D56" i="1"/>
  <c r="C56" i="1"/>
  <c r="X55" i="1"/>
  <c r="W55" i="1"/>
  <c r="V55" i="1"/>
  <c r="T55" i="1"/>
  <c r="S55" i="1"/>
  <c r="R55" i="1"/>
  <c r="Q55" i="1"/>
  <c r="P55" i="1"/>
  <c r="O55" i="1"/>
  <c r="M55" i="1"/>
  <c r="L55" i="1"/>
  <c r="K55" i="1"/>
  <c r="D55" i="1"/>
  <c r="C55" i="1"/>
  <c r="X54" i="1"/>
  <c r="W54" i="1"/>
  <c r="V54" i="1"/>
  <c r="T54" i="1"/>
  <c r="S54" i="1"/>
  <c r="R54" i="1"/>
  <c r="Q54" i="1"/>
  <c r="P54" i="1"/>
  <c r="O54" i="1"/>
  <c r="M54" i="1"/>
  <c r="L54" i="1"/>
  <c r="K54" i="1"/>
  <c r="D54" i="1"/>
  <c r="C54" i="1"/>
  <c r="X53" i="1"/>
  <c r="W53" i="1"/>
  <c r="V53" i="1"/>
  <c r="T53" i="1"/>
  <c r="S53" i="1"/>
  <c r="R53" i="1"/>
  <c r="Q53" i="1"/>
  <c r="P53" i="1"/>
  <c r="O53" i="1"/>
  <c r="M53" i="1"/>
  <c r="L53" i="1"/>
  <c r="K53" i="1"/>
  <c r="D53" i="1"/>
  <c r="C53" i="1"/>
  <c r="X52" i="1"/>
  <c r="W52" i="1"/>
  <c r="V52" i="1"/>
  <c r="T52" i="1"/>
  <c r="S52" i="1"/>
  <c r="R52" i="1"/>
  <c r="Q52" i="1"/>
  <c r="P52" i="1"/>
  <c r="O52" i="1"/>
  <c r="M52" i="1"/>
  <c r="L52" i="1"/>
  <c r="K52" i="1"/>
  <c r="D52" i="1"/>
  <c r="C52" i="1"/>
  <c r="X51" i="1"/>
  <c r="W51" i="1"/>
  <c r="V51" i="1"/>
  <c r="T51" i="1"/>
  <c r="S51" i="1"/>
  <c r="R51" i="1"/>
  <c r="Q51" i="1"/>
  <c r="P51" i="1"/>
  <c r="O51" i="1"/>
  <c r="M51" i="1"/>
  <c r="L51" i="1"/>
  <c r="K51" i="1"/>
  <c r="D51" i="1"/>
  <c r="C51" i="1"/>
  <c r="X50" i="1"/>
  <c r="W50" i="1"/>
  <c r="V50" i="1"/>
  <c r="T50" i="1"/>
  <c r="S50" i="1"/>
  <c r="R50" i="1"/>
  <c r="Q50" i="1"/>
  <c r="P50" i="1"/>
  <c r="O50" i="1"/>
  <c r="M50" i="1"/>
  <c r="L50" i="1"/>
  <c r="K50" i="1"/>
  <c r="D50" i="1"/>
  <c r="C50" i="1"/>
  <c r="X49" i="1"/>
  <c r="W49" i="1"/>
  <c r="V49" i="1"/>
  <c r="T49" i="1"/>
  <c r="S49" i="1"/>
  <c r="R49" i="1"/>
  <c r="Q49" i="1"/>
  <c r="P49" i="1"/>
  <c r="O49" i="1"/>
  <c r="M49" i="1"/>
  <c r="L49" i="1"/>
  <c r="K49" i="1"/>
  <c r="D49" i="1"/>
  <c r="C49" i="1"/>
  <c r="X48" i="1"/>
  <c r="W48" i="1"/>
  <c r="V48" i="1"/>
  <c r="T48" i="1"/>
  <c r="S48" i="1"/>
  <c r="R48" i="1"/>
  <c r="Q48" i="1"/>
  <c r="P48" i="1"/>
  <c r="O48" i="1"/>
  <c r="M48" i="1"/>
  <c r="L48" i="1"/>
  <c r="K48" i="1"/>
  <c r="D48" i="1"/>
  <c r="C48" i="1"/>
  <c r="W47" i="1"/>
  <c r="C47" i="1"/>
  <c r="X46" i="1"/>
  <c r="W46" i="1"/>
  <c r="V46" i="1"/>
  <c r="T46" i="1"/>
  <c r="S46" i="1"/>
  <c r="R46" i="1"/>
  <c r="Q46" i="1"/>
  <c r="P46" i="1"/>
  <c r="O46" i="1"/>
  <c r="M46" i="1"/>
  <c r="L46" i="1"/>
  <c r="K46" i="1"/>
  <c r="D46" i="1"/>
  <c r="C46" i="1"/>
  <c r="X45" i="1"/>
  <c r="W45" i="1"/>
  <c r="V45" i="1"/>
  <c r="T45" i="1"/>
  <c r="S45" i="1"/>
  <c r="R45" i="1"/>
  <c r="Q45" i="1"/>
  <c r="P45" i="1"/>
  <c r="O45" i="1"/>
  <c r="M45" i="1"/>
  <c r="L45" i="1"/>
  <c r="K45" i="1"/>
  <c r="D45" i="1"/>
  <c r="C45" i="1"/>
  <c r="X44" i="1"/>
  <c r="W44" i="1"/>
  <c r="V44" i="1"/>
  <c r="T44" i="1"/>
  <c r="S44" i="1"/>
  <c r="R44" i="1"/>
  <c r="Q44" i="1"/>
  <c r="P44" i="1"/>
  <c r="O44" i="1"/>
  <c r="M44" i="1"/>
  <c r="L44" i="1"/>
  <c r="K44" i="1"/>
  <c r="D44" i="1"/>
  <c r="C44" i="1"/>
  <c r="X43" i="1"/>
  <c r="W43" i="1"/>
  <c r="V43" i="1"/>
  <c r="T43" i="1"/>
  <c r="S43" i="1"/>
  <c r="R43" i="1"/>
  <c r="Q43" i="1"/>
  <c r="P43" i="1"/>
  <c r="O43" i="1"/>
  <c r="M43" i="1"/>
  <c r="L43" i="1"/>
  <c r="K43" i="1"/>
  <c r="D43" i="1"/>
  <c r="C43" i="1"/>
  <c r="X42" i="1"/>
  <c r="W42" i="1"/>
  <c r="V42" i="1"/>
  <c r="T42" i="1"/>
  <c r="S42" i="1"/>
  <c r="R42" i="1"/>
  <c r="Q42" i="1"/>
  <c r="P42" i="1"/>
  <c r="O42" i="1"/>
  <c r="M42" i="1"/>
  <c r="L42" i="1"/>
  <c r="K42" i="1"/>
  <c r="D42" i="1"/>
  <c r="C42" i="1"/>
  <c r="X41" i="1"/>
  <c r="W41" i="1"/>
  <c r="V41" i="1"/>
  <c r="T41" i="1"/>
  <c r="S41" i="1"/>
  <c r="R41" i="1"/>
  <c r="Q41" i="1"/>
  <c r="P41" i="1"/>
  <c r="O41" i="1"/>
  <c r="M41" i="1"/>
  <c r="L41" i="1"/>
  <c r="K41" i="1"/>
  <c r="D41" i="1"/>
  <c r="C41" i="1"/>
  <c r="X40" i="1"/>
  <c r="W40" i="1"/>
  <c r="V40" i="1"/>
  <c r="T40" i="1"/>
  <c r="S40" i="1"/>
  <c r="R40" i="1"/>
  <c r="Q40" i="1"/>
  <c r="P40" i="1"/>
  <c r="O40" i="1"/>
  <c r="M40" i="1"/>
  <c r="L40" i="1"/>
  <c r="K40" i="1"/>
  <c r="D40" i="1"/>
  <c r="C40" i="1"/>
  <c r="X39" i="1"/>
  <c r="W39" i="1"/>
  <c r="V39" i="1"/>
  <c r="T39" i="1"/>
  <c r="S39" i="1"/>
  <c r="R39" i="1"/>
  <c r="Q39" i="1"/>
  <c r="P39" i="1"/>
  <c r="O39" i="1"/>
  <c r="M39" i="1"/>
  <c r="L39" i="1"/>
  <c r="K39" i="1"/>
  <c r="D39" i="1"/>
  <c r="C39" i="1"/>
  <c r="X38" i="1"/>
  <c r="W38" i="1"/>
  <c r="V38" i="1"/>
  <c r="T38" i="1"/>
  <c r="S38" i="1"/>
  <c r="R38" i="1"/>
  <c r="Q38" i="1"/>
  <c r="P38" i="1"/>
  <c r="O38" i="1"/>
  <c r="M38" i="1"/>
  <c r="L38" i="1"/>
  <c r="K38" i="1"/>
  <c r="D38" i="1"/>
  <c r="C38" i="1"/>
  <c r="X37" i="1"/>
  <c r="W37" i="1"/>
  <c r="V37" i="1"/>
  <c r="T37" i="1"/>
  <c r="S37" i="1"/>
  <c r="R37" i="1"/>
  <c r="Q37" i="1"/>
  <c r="P37" i="1"/>
  <c r="O37" i="1"/>
  <c r="M37" i="1"/>
  <c r="L37" i="1"/>
  <c r="K37" i="1"/>
  <c r="D37" i="1"/>
  <c r="C37" i="1"/>
  <c r="X36" i="1"/>
  <c r="W36" i="1"/>
  <c r="V36" i="1"/>
  <c r="T36" i="1"/>
  <c r="S36" i="1"/>
  <c r="R36" i="1"/>
  <c r="Q36" i="1"/>
  <c r="P36" i="1"/>
  <c r="O36" i="1"/>
  <c r="M36" i="1"/>
  <c r="L36" i="1"/>
  <c r="K36" i="1"/>
  <c r="D36" i="1"/>
  <c r="C36" i="1"/>
  <c r="X35" i="1"/>
  <c r="W35" i="1"/>
  <c r="V35" i="1"/>
  <c r="T35" i="1"/>
  <c r="S35" i="1"/>
  <c r="R35" i="1"/>
  <c r="Q35" i="1"/>
  <c r="P35" i="1"/>
  <c r="O35" i="1"/>
  <c r="M35" i="1"/>
  <c r="L35" i="1"/>
  <c r="K35" i="1"/>
  <c r="D35" i="1"/>
  <c r="C35" i="1"/>
  <c r="X34" i="1"/>
  <c r="W34" i="1"/>
  <c r="V34" i="1"/>
  <c r="T34" i="1"/>
  <c r="S34" i="1"/>
  <c r="R34" i="1"/>
  <c r="Q34" i="1"/>
  <c r="P34" i="1"/>
  <c r="O34" i="1"/>
  <c r="M34" i="1"/>
  <c r="L34" i="1"/>
  <c r="K34" i="1"/>
  <c r="D34" i="1"/>
  <c r="C34" i="1"/>
  <c r="X33" i="1"/>
  <c r="W33" i="1"/>
  <c r="V33" i="1"/>
  <c r="T33" i="1"/>
  <c r="S33" i="1"/>
  <c r="R33" i="1"/>
  <c r="Q33" i="1"/>
  <c r="P33" i="1"/>
  <c r="O33" i="1"/>
  <c r="M33" i="1"/>
  <c r="L33" i="1"/>
  <c r="K33" i="1"/>
  <c r="D33" i="1"/>
  <c r="C33" i="1"/>
  <c r="X32" i="1"/>
  <c r="W32" i="1"/>
  <c r="V32" i="1"/>
  <c r="T32" i="1"/>
  <c r="S32" i="1"/>
  <c r="R32" i="1"/>
  <c r="Q32" i="1"/>
  <c r="P32" i="1"/>
  <c r="O32" i="1"/>
  <c r="M32" i="1"/>
  <c r="L32" i="1"/>
  <c r="K32" i="1"/>
  <c r="D32" i="1"/>
  <c r="C32" i="1"/>
  <c r="X31" i="1"/>
  <c r="W31" i="1"/>
  <c r="V31" i="1"/>
  <c r="T31" i="1"/>
  <c r="S31" i="1"/>
  <c r="R31" i="1"/>
  <c r="Q31" i="1"/>
  <c r="P31" i="1"/>
  <c r="O31" i="1"/>
  <c r="M31" i="1"/>
  <c r="L31" i="1"/>
  <c r="K31" i="1"/>
  <c r="D31" i="1"/>
  <c r="C31" i="1"/>
  <c r="X30" i="1"/>
  <c r="W30" i="1"/>
  <c r="V30" i="1"/>
  <c r="T30" i="1"/>
  <c r="S30" i="1"/>
  <c r="R30" i="1"/>
  <c r="Q30" i="1"/>
  <c r="P30" i="1"/>
  <c r="O30" i="1"/>
  <c r="M30" i="1"/>
  <c r="L30" i="1"/>
  <c r="K30" i="1"/>
  <c r="D30" i="1"/>
  <c r="C30" i="1"/>
  <c r="X29" i="1"/>
  <c r="W29" i="1"/>
  <c r="V29" i="1"/>
  <c r="T29" i="1"/>
  <c r="S29" i="1"/>
  <c r="R29" i="1"/>
  <c r="Q29" i="1"/>
  <c r="P29" i="1"/>
  <c r="O29" i="1"/>
  <c r="M29" i="1"/>
  <c r="L29" i="1"/>
  <c r="K29" i="1"/>
  <c r="D29" i="1"/>
  <c r="C29" i="1"/>
  <c r="X28" i="1"/>
  <c r="W28" i="1"/>
  <c r="V28" i="1"/>
  <c r="T28" i="1"/>
  <c r="S28" i="1"/>
  <c r="R28" i="1"/>
  <c r="Q28" i="1"/>
  <c r="P28" i="1"/>
  <c r="O28" i="1"/>
  <c r="M28" i="1"/>
  <c r="L28" i="1"/>
  <c r="K28" i="1"/>
  <c r="D28" i="1"/>
  <c r="C28" i="1"/>
  <c r="X27" i="1"/>
  <c r="W27" i="1"/>
  <c r="V27" i="1"/>
  <c r="T27" i="1"/>
  <c r="S27" i="1"/>
  <c r="R27" i="1"/>
  <c r="Q27" i="1"/>
  <c r="P27" i="1"/>
  <c r="O27" i="1"/>
  <c r="M27" i="1"/>
  <c r="L27" i="1"/>
  <c r="K27" i="1"/>
  <c r="D27" i="1"/>
  <c r="C27" i="1"/>
  <c r="X26" i="1"/>
  <c r="W26" i="1"/>
  <c r="V26" i="1"/>
  <c r="T26" i="1"/>
  <c r="S26" i="1"/>
  <c r="R26" i="1"/>
  <c r="Q26" i="1"/>
  <c r="P26" i="1"/>
  <c r="O26" i="1"/>
  <c r="M26" i="1"/>
  <c r="L26" i="1"/>
  <c r="K26" i="1"/>
  <c r="D26" i="1"/>
  <c r="C26" i="1"/>
  <c r="X25" i="1"/>
  <c r="W25" i="1"/>
  <c r="V25" i="1"/>
  <c r="T25" i="1"/>
  <c r="S25" i="1"/>
  <c r="R25" i="1"/>
  <c r="Q25" i="1"/>
  <c r="P25" i="1"/>
  <c r="O25" i="1"/>
  <c r="M25" i="1"/>
  <c r="L25" i="1"/>
  <c r="K25" i="1"/>
  <c r="D25" i="1"/>
  <c r="C25" i="1"/>
  <c r="X24" i="1"/>
  <c r="W24" i="1"/>
  <c r="V24" i="1"/>
  <c r="T24" i="1"/>
  <c r="S24" i="1"/>
  <c r="R24" i="1"/>
  <c r="Q24" i="1"/>
  <c r="P24" i="1"/>
  <c r="O24" i="1"/>
  <c r="M24" i="1"/>
  <c r="L24" i="1"/>
  <c r="K24" i="1"/>
  <c r="D24" i="1"/>
  <c r="C24" i="1"/>
  <c r="X23" i="1"/>
  <c r="W23" i="1"/>
  <c r="V23" i="1"/>
  <c r="T23" i="1"/>
  <c r="S23" i="1"/>
  <c r="R23" i="1"/>
  <c r="Q23" i="1"/>
  <c r="P23" i="1"/>
  <c r="O23" i="1"/>
  <c r="M23" i="1"/>
  <c r="L23" i="1"/>
  <c r="K23" i="1"/>
  <c r="D23" i="1"/>
  <c r="C23" i="1"/>
  <c r="X22" i="1"/>
  <c r="W22" i="1"/>
  <c r="V22" i="1"/>
  <c r="T22" i="1"/>
  <c r="S22" i="1"/>
  <c r="R22" i="1"/>
  <c r="Q22" i="1"/>
  <c r="P22" i="1"/>
  <c r="O22" i="1"/>
  <c r="M22" i="1"/>
  <c r="L22" i="1"/>
  <c r="K22" i="1"/>
  <c r="D22" i="1"/>
  <c r="C22" i="1"/>
  <c r="X21" i="1"/>
  <c r="W21" i="1"/>
  <c r="V21" i="1"/>
  <c r="T21" i="1"/>
  <c r="S21" i="1"/>
  <c r="R21" i="1"/>
  <c r="Q21" i="1"/>
  <c r="P21" i="1"/>
  <c r="O21" i="1"/>
  <c r="M21" i="1"/>
  <c r="L21" i="1"/>
  <c r="K21" i="1"/>
  <c r="D21" i="1"/>
  <c r="C21" i="1"/>
  <c r="X20" i="1"/>
  <c r="W20" i="1"/>
  <c r="V20" i="1"/>
  <c r="T20" i="1"/>
  <c r="S20" i="1"/>
  <c r="R20" i="1"/>
  <c r="Q20" i="1"/>
  <c r="P20" i="1"/>
  <c r="O20" i="1"/>
  <c r="M20" i="1"/>
  <c r="L20" i="1"/>
  <c r="K20" i="1"/>
  <c r="D20" i="1"/>
  <c r="C20" i="1"/>
  <c r="X19" i="1"/>
  <c r="W19" i="1"/>
  <c r="V19" i="1"/>
  <c r="T19" i="1"/>
  <c r="S19" i="1"/>
  <c r="R19" i="1"/>
  <c r="Q19" i="1"/>
  <c r="P19" i="1"/>
  <c r="O19" i="1"/>
  <c r="M19" i="1"/>
  <c r="L19" i="1"/>
  <c r="K19" i="1"/>
  <c r="D19" i="1"/>
  <c r="C19" i="1"/>
  <c r="X18" i="1"/>
  <c r="W18" i="1"/>
  <c r="V18" i="1"/>
  <c r="T18" i="1"/>
  <c r="S18" i="1"/>
  <c r="R18" i="1"/>
  <c r="Q18" i="1"/>
  <c r="P18" i="1"/>
  <c r="O18" i="1"/>
  <c r="M18" i="1"/>
  <c r="L18" i="1"/>
  <c r="K18" i="1"/>
  <c r="D18" i="1"/>
  <c r="C18" i="1"/>
  <c r="X17" i="1"/>
  <c r="W17" i="1"/>
  <c r="V17" i="1"/>
  <c r="T17" i="1"/>
  <c r="S17" i="1"/>
  <c r="R17" i="1"/>
  <c r="Q17" i="1"/>
  <c r="P17" i="1"/>
  <c r="O17" i="1"/>
  <c r="M17" i="1"/>
  <c r="L17" i="1"/>
  <c r="K17" i="1"/>
  <c r="D17" i="1"/>
  <c r="C17" i="1"/>
  <c r="X16" i="1"/>
  <c r="W16" i="1"/>
  <c r="V16" i="1"/>
  <c r="T16" i="1"/>
  <c r="S16" i="1"/>
  <c r="R16" i="1"/>
  <c r="Q16" i="1"/>
  <c r="P16" i="1"/>
  <c r="O16" i="1"/>
  <c r="M16" i="1"/>
  <c r="L16" i="1"/>
  <c r="K16" i="1"/>
  <c r="D16" i="1"/>
  <c r="C16" i="1"/>
  <c r="X15" i="1"/>
  <c r="W15" i="1"/>
  <c r="V15" i="1"/>
  <c r="T15" i="1"/>
  <c r="S15" i="1"/>
  <c r="R15" i="1"/>
  <c r="Q15" i="1"/>
  <c r="P15" i="1"/>
  <c r="O15" i="1"/>
  <c r="M15" i="1"/>
  <c r="L15" i="1"/>
  <c r="K15" i="1"/>
  <c r="D15" i="1"/>
  <c r="C15" i="1"/>
  <c r="X14" i="1"/>
  <c r="W14" i="1"/>
  <c r="V14" i="1"/>
  <c r="T14" i="1"/>
  <c r="S14" i="1"/>
  <c r="R14" i="1"/>
  <c r="Q14" i="1"/>
  <c r="P14" i="1"/>
  <c r="O14" i="1"/>
  <c r="M14" i="1"/>
  <c r="L14" i="1"/>
  <c r="K14" i="1"/>
  <c r="D14" i="1"/>
  <c r="C14" i="1"/>
  <c r="X13" i="1"/>
  <c r="W13" i="1"/>
  <c r="V13" i="1"/>
  <c r="T13" i="1"/>
  <c r="S13" i="1"/>
  <c r="R13" i="1"/>
  <c r="Q13" i="1"/>
  <c r="P13" i="1"/>
  <c r="O13" i="1"/>
  <c r="M13" i="1"/>
  <c r="L13" i="1"/>
  <c r="K13" i="1"/>
  <c r="D13" i="1"/>
  <c r="C13" i="1"/>
  <c r="X12" i="1"/>
  <c r="W12" i="1"/>
  <c r="V12" i="1"/>
  <c r="T12" i="1"/>
  <c r="S12" i="1"/>
  <c r="R12" i="1"/>
  <c r="Q12" i="1"/>
  <c r="P12" i="1"/>
  <c r="O12" i="1"/>
  <c r="M12" i="1"/>
  <c r="L12" i="1"/>
  <c r="K12" i="1"/>
  <c r="D12" i="1"/>
  <c r="C12" i="1"/>
  <c r="X11" i="1"/>
  <c r="W11" i="1"/>
  <c r="V11" i="1"/>
  <c r="T11" i="1"/>
  <c r="S11" i="1"/>
  <c r="R11" i="1"/>
  <c r="Q11" i="1"/>
  <c r="P11" i="1"/>
  <c r="O11" i="1"/>
  <c r="M11" i="1"/>
  <c r="L11" i="1"/>
  <c r="K11" i="1"/>
  <c r="D11" i="1"/>
  <c r="C11" i="1"/>
  <c r="X10" i="1"/>
  <c r="W10" i="1"/>
  <c r="V10" i="1"/>
  <c r="T10" i="1"/>
  <c r="S10" i="1"/>
  <c r="R10" i="1"/>
  <c r="Q10" i="1"/>
  <c r="P10" i="1"/>
  <c r="O10" i="1"/>
  <c r="M10" i="1"/>
  <c r="L10" i="1"/>
  <c r="K10" i="1"/>
  <c r="D10" i="1"/>
  <c r="C10" i="1"/>
  <c r="X9" i="1"/>
  <c r="W9" i="1"/>
  <c r="V9" i="1"/>
  <c r="T9" i="1"/>
  <c r="S9" i="1"/>
  <c r="R9" i="1"/>
  <c r="Q9" i="1"/>
  <c r="P9" i="1"/>
  <c r="O9" i="1"/>
  <c r="M9" i="1"/>
  <c r="L9" i="1"/>
  <c r="K9" i="1"/>
  <c r="D9" i="1"/>
  <c r="C9" i="1"/>
  <c r="X8" i="1"/>
  <c r="W8" i="1"/>
  <c r="V8" i="1"/>
  <c r="T8" i="1"/>
  <c r="S8" i="1"/>
  <c r="R8" i="1"/>
  <c r="Q8" i="1"/>
  <c r="P8" i="1"/>
  <c r="O8" i="1"/>
  <c r="M8" i="1"/>
  <c r="L8" i="1"/>
  <c r="K8" i="1"/>
  <c r="D8" i="1"/>
  <c r="C8" i="1"/>
  <c r="X7" i="1"/>
  <c r="W7" i="1"/>
  <c r="V7" i="1"/>
  <c r="T7" i="1"/>
  <c r="S7" i="1"/>
  <c r="R7" i="1"/>
  <c r="Q7" i="1"/>
  <c r="P7" i="1"/>
  <c r="O7" i="1"/>
  <c r="M7" i="1"/>
  <c r="L7" i="1"/>
  <c r="K7" i="1"/>
  <c r="D7" i="1"/>
  <c r="C7" i="1"/>
  <c r="X6" i="1"/>
  <c r="W6" i="1"/>
  <c r="V6" i="1"/>
  <c r="T6" i="1"/>
  <c r="S6" i="1"/>
  <c r="R6" i="1"/>
  <c r="Q6" i="1"/>
  <c r="P6" i="1"/>
  <c r="O6" i="1"/>
  <c r="M6" i="1"/>
  <c r="L6" i="1"/>
  <c r="K6" i="1"/>
  <c r="D6" i="1"/>
  <c r="C6" i="1"/>
  <c r="W5" i="1"/>
  <c r="C5" i="1"/>
  <c r="X4" i="1"/>
  <c r="W4" i="1"/>
  <c r="V4" i="1"/>
  <c r="T4" i="1"/>
  <c r="S4" i="1"/>
  <c r="R4" i="1"/>
  <c r="Q4" i="1"/>
  <c r="P4" i="1"/>
  <c r="O4" i="1"/>
  <c r="M4" i="1"/>
  <c r="L4" i="1"/>
  <c r="K4" i="1"/>
  <c r="D4" i="1"/>
  <c r="C4" i="1"/>
  <c r="X3" i="1"/>
  <c r="W3" i="1"/>
  <c r="V3" i="1"/>
  <c r="T3" i="1"/>
  <c r="S3" i="1"/>
  <c r="R3" i="1"/>
  <c r="Q3" i="1"/>
  <c r="P3" i="1"/>
  <c r="O3" i="1"/>
  <c r="M3" i="1"/>
  <c r="L3" i="1"/>
  <c r="K3" i="1"/>
  <c r="D3" i="1"/>
  <c r="C3" i="1"/>
  <c r="X2" i="1"/>
  <c r="W2" i="1"/>
  <c r="V2" i="1"/>
  <c r="T2" i="1"/>
  <c r="S2" i="1"/>
  <c r="R2" i="1"/>
  <c r="Q2" i="1"/>
  <c r="P2" i="1"/>
  <c r="O2" i="1"/>
  <c r="M2" i="1"/>
  <c r="L2" i="1"/>
  <c r="K2" i="1"/>
  <c r="D2" i="1"/>
  <c r="C2" i="1"/>
</calcChain>
</file>

<file path=xl/sharedStrings.xml><?xml version="1.0" encoding="utf-8"?>
<sst xmlns="http://schemas.openxmlformats.org/spreadsheetml/2006/main" count="1215" uniqueCount="322">
  <si>
    <t>RA</t>
  </si>
  <si>
    <t xml:space="preserve">Nome Completo </t>
  </si>
  <si>
    <t>E-mail</t>
  </si>
  <si>
    <t>Celular com DDD</t>
  </si>
  <si>
    <t>Gênero (masculino ou feminino)</t>
  </si>
  <si>
    <t>Nome do Curso</t>
  </si>
  <si>
    <t>Curso EAD ou Presencial?</t>
  </si>
  <si>
    <t xml:space="preserve">CPF </t>
  </si>
  <si>
    <t>MOTIVO</t>
  </si>
  <si>
    <t>Data de nascimento</t>
  </si>
  <si>
    <t>Estado natal</t>
  </si>
  <si>
    <t xml:space="preserve">Cidade natal </t>
  </si>
  <si>
    <t>Possui alguma necessidade especial</t>
  </si>
  <si>
    <t>CEP</t>
  </si>
  <si>
    <t>Rua</t>
  </si>
  <si>
    <t>Número</t>
  </si>
  <si>
    <t>Complemento</t>
  </si>
  <si>
    <t>Bairro</t>
  </si>
  <si>
    <t>Cidade</t>
  </si>
  <si>
    <t>Estado</t>
  </si>
  <si>
    <t>Cor/ Raça</t>
  </si>
  <si>
    <t>Estado Civil</t>
  </si>
  <si>
    <t>RG</t>
  </si>
  <si>
    <t xml:space="preserve">Orgão Emissor </t>
  </si>
  <si>
    <t>UF</t>
  </si>
  <si>
    <t>ROBERTO BOMFIM DA SILVA</t>
  </si>
  <si>
    <t>MASCULINO</t>
  </si>
  <si>
    <t>ENGENHARIA DE PRODUÇÃO - EAD</t>
  </si>
  <si>
    <t>EAD</t>
  </si>
  <si>
    <t>024.523.239-77</t>
  </si>
  <si>
    <t>NÃO</t>
  </si>
  <si>
    <t>SP</t>
  </si>
  <si>
    <t>SSP</t>
  </si>
  <si>
    <t>NOEMI PIMENTEL</t>
  </si>
  <si>
    <t>FEMININO</t>
  </si>
  <si>
    <t>GESTÃO PORTUÁRIA - EAD</t>
  </si>
  <si>
    <t>044.098.438-69</t>
  </si>
  <si>
    <t>JAILSON ROBERTO DOS SANTOS</t>
  </si>
  <si>
    <t>ENG. DE PRODUÇÃO - EAD</t>
  </si>
  <si>
    <t>059.531.636-06</t>
  </si>
  <si>
    <t>MARCO MACEDONIO</t>
  </si>
  <si>
    <t>LOGÍSTICA - EAD</t>
  </si>
  <si>
    <t>069.966.288-57</t>
  </si>
  <si>
    <t>SANTOS</t>
  </si>
  <si>
    <t>11070-350</t>
  </si>
  <si>
    <t>R DOUTOR GASPAR RICARDO</t>
  </si>
  <si>
    <t>Marapé</t>
  </si>
  <si>
    <t>Parda</t>
  </si>
  <si>
    <t>MARCELO DE CARVALHO MOREIRA</t>
  </si>
  <si>
    <t>070.148.958-85</t>
  </si>
  <si>
    <t>NÃO EXISTE</t>
  </si>
  <si>
    <t>FRANCISCO UBIRACI DE MOURA</t>
  </si>
  <si>
    <t>077.431.488-58</t>
  </si>
  <si>
    <t>MARCOS JOSE BRAGA</t>
  </si>
  <si>
    <t>LOGÍSTICA -EAD</t>
  </si>
  <si>
    <t>080.609.648-95</t>
  </si>
  <si>
    <t>ANTONIO FERNANDO DO NASCIMENTO</t>
  </si>
  <si>
    <t>083.740.658-77</t>
  </si>
  <si>
    <t>ANDERSON CORREA JOAQUIM</t>
  </si>
  <si>
    <t>084.354.578-00</t>
  </si>
  <si>
    <t>MOISES MAGALHAES DE LIMA</t>
  </si>
  <si>
    <t>085.461.498-28</t>
  </si>
  <si>
    <t>AILTON MESSIAS MACHADO</t>
  </si>
  <si>
    <t>ADS - EAD</t>
  </si>
  <si>
    <t>098.013.588-58</t>
  </si>
  <si>
    <t>DIEGO DE LIMA RIBEIRO</t>
  </si>
  <si>
    <t>ANÁLISE E DESENVOLVIMENTO DE SISTEMA - EAD</t>
  </si>
  <si>
    <t>103.542.527-04</t>
  </si>
  <si>
    <t>MARIA LAUDICEA MENDES FELIPE</t>
  </si>
  <si>
    <t>ADMINISTRAÇÃO - EAD</t>
  </si>
  <si>
    <t>108.188.034-10</t>
  </si>
  <si>
    <t>EDELMIR DOS SANTOS REIS</t>
  </si>
  <si>
    <t>121.299.068-42</t>
  </si>
  <si>
    <t>MARCIO MARQUES DE SOUZA</t>
  </si>
  <si>
    <t>121.344.038-61</t>
  </si>
  <si>
    <t>WILSON RODRIGUES LOPES JUNIOR</t>
  </si>
  <si>
    <t>130.489.178-02</t>
  </si>
  <si>
    <t>THIAGO MOREIRA QUEIROZ</t>
  </si>
  <si>
    <t>143.446.117-30</t>
  </si>
  <si>
    <t>CLAUDIO LUIZ ALVES VIANA</t>
  </si>
  <si>
    <t>162.284.798-90</t>
  </si>
  <si>
    <t>RONALDO MARCOS DOS SANTOS</t>
  </si>
  <si>
    <t>162.385.118-18</t>
  </si>
  <si>
    <t>LUIZ CLAUDIO MOREIRA SERRA</t>
  </si>
  <si>
    <t>162.419.138-08</t>
  </si>
  <si>
    <t>JOSE LUIZ DA MACENA</t>
  </si>
  <si>
    <t>169.522.178-86</t>
  </si>
  <si>
    <t>MAXIMILIANO DE BRITO DA SILVA</t>
  </si>
  <si>
    <t>169.556.618-17</t>
  </si>
  <si>
    <t>CARLOS ROBERTO LIMA MARTINS</t>
  </si>
  <si>
    <t>169.647.008-03</t>
  </si>
  <si>
    <t>FABIO JOSE DE MELLO</t>
  </si>
  <si>
    <t>GESTÃO DE RECURSOS HUMANOS - EAD</t>
  </si>
  <si>
    <t>169.657.988-07</t>
  </si>
  <si>
    <t>RICARDO VIEIRA SILVA</t>
  </si>
  <si>
    <t>COMEX - EAD</t>
  </si>
  <si>
    <t>192.872.908-81</t>
  </si>
  <si>
    <t>GERSON DOS SANTOS</t>
  </si>
  <si>
    <t>197.471.418-76</t>
  </si>
  <si>
    <t>FLAVIO JOSE DE MELO</t>
  </si>
  <si>
    <t>199.461.348-37</t>
  </si>
  <si>
    <t>SHERIDAN ATANES</t>
  </si>
  <si>
    <t>212.831.028-89</t>
  </si>
  <si>
    <t>JOSE MARCIO DOS SANTOS</t>
  </si>
  <si>
    <t>215.338.488-58</t>
  </si>
  <si>
    <t>LUIZ FERNANDO FRANCISCO DE OLIVEIRA</t>
  </si>
  <si>
    <t>215.844.288-30</t>
  </si>
  <si>
    <t>JOSE FABRICIO DE OLIVEIRA</t>
  </si>
  <si>
    <t>216.541.278-17</t>
  </si>
  <si>
    <t>PAULA ROBERTA FLORINDO DOS SANTOS</t>
  </si>
  <si>
    <t>216.892.128-88</t>
  </si>
  <si>
    <t>WALTER DE CARVALHO FERNANDES NETO</t>
  </si>
  <si>
    <t>218.500.688-60</t>
  </si>
  <si>
    <t>FLAVIO FEITOSA SOARES</t>
  </si>
  <si>
    <t>COMÉRCIO EXTERIOR - EAD</t>
  </si>
  <si>
    <t>218.595.258-73</t>
  </si>
  <si>
    <t>ANDRE SANTOS DA SILVA</t>
  </si>
  <si>
    <t>219.626.358-30</t>
  </si>
  <si>
    <t>GUILHERME DE ALMEIDA SILVA</t>
  </si>
  <si>
    <t>221.438.788-93</t>
  </si>
  <si>
    <t>ANDERSON APARECIDO LIMA</t>
  </si>
  <si>
    <t>222.974.938-27</t>
  </si>
  <si>
    <t>GUILHERME TORRES TEIXEIRA</t>
  </si>
  <si>
    <t>224.955.268-10</t>
  </si>
  <si>
    <t>JOSE CLAUDIO DOS SANTOS</t>
  </si>
  <si>
    <t>245.945.618-29</t>
  </si>
  <si>
    <t>ALDEMIR SILVA DE AZEVEDO</t>
  </si>
  <si>
    <t>253.369.608-02</t>
  </si>
  <si>
    <t>WAGNER DA SILVA VAZ</t>
  </si>
  <si>
    <t>RECURSOS HUMANOS - EAD</t>
  </si>
  <si>
    <t>256.938.048-28</t>
  </si>
  <si>
    <t>FABIO DA SILVA VIEIRA</t>
  </si>
  <si>
    <t>258.414.768-82</t>
  </si>
  <si>
    <t>JEFFERSON RODRIGUES LIMA</t>
  </si>
  <si>
    <t>260.166.448-70</t>
  </si>
  <si>
    <t>GERSONILDO MENESES SANTOS</t>
  </si>
  <si>
    <t>264.579.098-41</t>
  </si>
  <si>
    <t>PAULO ROBERTO DE ARAUJO</t>
  </si>
  <si>
    <t>ENGENHARIA DE PRODUÇAO - EAD</t>
  </si>
  <si>
    <t>265.466.008-70</t>
  </si>
  <si>
    <t>ANDERSON TAMAIO AZEVEDO</t>
  </si>
  <si>
    <t>267.032.818-07</t>
  </si>
  <si>
    <t>11089-050</t>
  </si>
  <si>
    <t>R Engenheiro Antônio Freire</t>
  </si>
  <si>
    <t>SANTA MARIA</t>
  </si>
  <si>
    <t>ROBISON DOS SANTOS ROSARIO</t>
  </si>
  <si>
    <t>271.271.228-01</t>
  </si>
  <si>
    <t>FABIO OLIVEIRA PEREIRA</t>
  </si>
  <si>
    <t>271.873.348-93</t>
  </si>
  <si>
    <t>CLEITON ALVES REGO</t>
  </si>
  <si>
    <t>273.177.158-59</t>
  </si>
  <si>
    <t>VITOR DOS SANTOS</t>
  </si>
  <si>
    <t>274.740.998-88</t>
  </si>
  <si>
    <t>ANDERSON MARACAIPE LEITE</t>
  </si>
  <si>
    <t>276.539.078-90</t>
  </si>
  <si>
    <t>WILSON DIAS DE CASTRO JUNIOR</t>
  </si>
  <si>
    <t>281.469.758-79</t>
  </si>
  <si>
    <t>JAELSON PAULO DA SILVA</t>
  </si>
  <si>
    <t>282.712.128-00</t>
  </si>
  <si>
    <t xml:space="preserve">SP </t>
  </si>
  <si>
    <t>DANIELA SILVA DIAS</t>
  </si>
  <si>
    <t>288.303.358-65</t>
  </si>
  <si>
    <t>DANIELA CAETANO DOS SANTOS</t>
  </si>
  <si>
    <t>290.460.298-40</t>
  </si>
  <si>
    <t>CARLOS ALBERTO DA SILVA OLIVEIRA ARAUJO</t>
  </si>
  <si>
    <t>292.485.348-64</t>
  </si>
  <si>
    <t>PAULO VINICIUS ALMEIDA DOS PASSOS</t>
  </si>
  <si>
    <t>ENGENHARIA DE PRODUÇÃO - PRESENCIAL</t>
  </si>
  <si>
    <t>292.647.578-55</t>
  </si>
  <si>
    <t>ADRIANO DA SILVA E SILVA</t>
  </si>
  <si>
    <t>293.755.778-30</t>
  </si>
  <si>
    <t>MARCIO ROBERTO DA SILVA MENDES</t>
  </si>
  <si>
    <t>296.208.948-80</t>
  </si>
  <si>
    <t>FABIO OLIVEIRA DA SILVA</t>
  </si>
  <si>
    <t>LOGÍSTICA</t>
  </si>
  <si>
    <t>298.311.698-08</t>
  </si>
  <si>
    <t>SANDRA DA PAIXAO ANDRADE</t>
  </si>
  <si>
    <t>299.583.488-37</t>
  </si>
  <si>
    <t>ANDERSON LIMA DE SOUZA</t>
  </si>
  <si>
    <t>300.573.478-16</t>
  </si>
  <si>
    <t>RAFAEL DIAS DA SILVA</t>
  </si>
  <si>
    <t>303.271.248-30</t>
  </si>
  <si>
    <t>THIAGO AUGUSTO SANTOS NASCIMENTO</t>
  </si>
  <si>
    <t>303.789.528-46</t>
  </si>
  <si>
    <t>ROGERIO OLIVEIRA LIMA</t>
  </si>
  <si>
    <t>304.340.308-80</t>
  </si>
  <si>
    <t>GISLAINE DE SOUZA IZABEL</t>
  </si>
  <si>
    <t>gislaineanjinho2010@gmail.com</t>
  </si>
  <si>
    <t>308.131.428-30</t>
  </si>
  <si>
    <t>THIAGO ORIVALDO DE OLIVEIRA</t>
  </si>
  <si>
    <t>310.165.388-63</t>
  </si>
  <si>
    <t>FERNANDO LUIZ DE FRANCA</t>
  </si>
  <si>
    <t>312.929.008-73</t>
  </si>
  <si>
    <t>VIRGINIA ALVES DE LIMA</t>
  </si>
  <si>
    <t>314.192.978-56</t>
  </si>
  <si>
    <t>JEFFERSON BARBOSA DOS SANTOS</t>
  </si>
  <si>
    <t>316.573.588-36</t>
  </si>
  <si>
    <t>CLAUDIO AUGUSTO DOS SANTOS</t>
  </si>
  <si>
    <t>318.946.808-71</t>
  </si>
  <si>
    <t>FATIMA CABRAL SALES</t>
  </si>
  <si>
    <t>321.386.498-65</t>
  </si>
  <si>
    <t>RAFAEL AMARAL DA SILVA</t>
  </si>
  <si>
    <t>321.695.788-89</t>
  </si>
  <si>
    <t>WALTER DA SILVA COELHO</t>
  </si>
  <si>
    <t>322.610.058-06</t>
  </si>
  <si>
    <t>RENAN ROBERTO FERNANDES</t>
  </si>
  <si>
    <t>323.242.848-71</t>
  </si>
  <si>
    <t>EMERSON SANTOS GOMES</t>
  </si>
  <si>
    <t>324.394.468-66</t>
  </si>
  <si>
    <t>ADRIANO DA COSTA RAMALHO</t>
  </si>
  <si>
    <t>327.085.968-61</t>
  </si>
  <si>
    <t>RONALDO SANTOS DA CONCEICAO</t>
  </si>
  <si>
    <t>328.087.278-28</t>
  </si>
  <si>
    <t>DARKO ALVES DA SILVA ALONSO</t>
  </si>
  <si>
    <t>329.681.958-40</t>
  </si>
  <si>
    <t>ADRIANO DOS SANTOS NASCIMENTO</t>
  </si>
  <si>
    <t>330.679.078-84</t>
  </si>
  <si>
    <t>JONATHA SILVA DA CRUZ</t>
  </si>
  <si>
    <t>333.963.208-16</t>
  </si>
  <si>
    <t>CARLA DE SOUZA PERSICH TEIXEIRA</t>
  </si>
  <si>
    <t>334.827.128-24</t>
  </si>
  <si>
    <t>DANILO DE MATOS SANTOS</t>
  </si>
  <si>
    <t>335.770.518-41</t>
  </si>
  <si>
    <t>LEANDRO FELIPE DA SILVA</t>
  </si>
  <si>
    <t>LOGÍSTICA EAD</t>
  </si>
  <si>
    <t>337.258.148-21</t>
  </si>
  <si>
    <t>LEONARDO BERTOLA DE ALMEIDA</t>
  </si>
  <si>
    <t>337.448.278-36</t>
  </si>
  <si>
    <t>DIEGO MAFRA MELO</t>
  </si>
  <si>
    <t>LOGÍSTICA - PRESENCIAL</t>
  </si>
  <si>
    <t>339.506.968-06</t>
  </si>
  <si>
    <t>WILLIAM DE OLIVEIRA SANTOS</t>
  </si>
  <si>
    <t>342.532.248-65</t>
  </si>
  <si>
    <t>DANILO RODRIGUES DOS ANJOS</t>
  </si>
  <si>
    <t>347.290.058-05</t>
  </si>
  <si>
    <t>LEONARDO PEREIRA DOS SANTOS</t>
  </si>
  <si>
    <t>352.243.588-50</t>
  </si>
  <si>
    <t>RODRIGO CUNHA DO NASCIMENTO</t>
  </si>
  <si>
    <t>353.656.758-43</t>
  </si>
  <si>
    <t>11070-320</t>
  </si>
  <si>
    <t>R JOSE CLEMENTE PEREIRA</t>
  </si>
  <si>
    <t>Campo Grande</t>
  </si>
  <si>
    <t>ALEX SANDRO SANTOS MENESES</t>
  </si>
  <si>
    <t>355.216.138-46</t>
  </si>
  <si>
    <t>THIAGO GOMES DOS SANTOS</t>
  </si>
  <si>
    <t>356.097.428-38</t>
  </si>
  <si>
    <t>HELLEN CAMARGO NEVES</t>
  </si>
  <si>
    <t>357.736.448-35</t>
  </si>
  <si>
    <t>JUDSON MARINHO DOS SANTOS</t>
  </si>
  <si>
    <t>361.641.958-10</t>
  </si>
  <si>
    <t>RODRIGO DOS SANTOS VIANA</t>
  </si>
  <si>
    <t>363.677.078-08</t>
  </si>
  <si>
    <t>RENAN PEREIRA GONSALVES</t>
  </si>
  <si>
    <t>365.283728-29</t>
  </si>
  <si>
    <t>LINCOLN CORREA JUSTINIANO</t>
  </si>
  <si>
    <t>365.328.978-50</t>
  </si>
  <si>
    <t>ROBERTA RODRIGUES RIBEIRO</t>
  </si>
  <si>
    <t>366.290.088-20</t>
  </si>
  <si>
    <t>MAURICIO FERNANDES</t>
  </si>
  <si>
    <t>380.571.858-64</t>
  </si>
  <si>
    <t>MISAEL LEITE DA SILVA</t>
  </si>
  <si>
    <t>383.713.498-90</t>
  </si>
  <si>
    <t>VINICIUS PINTO DE CASTILHO</t>
  </si>
  <si>
    <t>386.041.818.14</t>
  </si>
  <si>
    <t>VINICIUS NUNES MARTINS DE SOUZA</t>
  </si>
  <si>
    <t>387.127.278-73</t>
  </si>
  <si>
    <t>GUILHERME HENRIQUE CAMARGO BASSO</t>
  </si>
  <si>
    <t>387.737.358-50</t>
  </si>
  <si>
    <t>WANDO DE SOUSA PEREIRA</t>
  </si>
  <si>
    <t>389.861.698-35</t>
  </si>
  <si>
    <t>FELIPE SILVA RUDRIGUES DOS SANTOS</t>
  </si>
  <si>
    <t>400.955.718-41</t>
  </si>
  <si>
    <t>BRUNO HENRIQUE DE SOUZA SANTOS</t>
  </si>
  <si>
    <t>402.628.958-38</t>
  </si>
  <si>
    <t>FELIPE DE GOUVEIA IBRAIM</t>
  </si>
  <si>
    <t>T.I - EAD</t>
  </si>
  <si>
    <t>407.952.218-51</t>
  </si>
  <si>
    <t>DANIEL SANTANA JUNIOR</t>
  </si>
  <si>
    <t>409.221.898-90</t>
  </si>
  <si>
    <t>MICHAEL DOS SANTOS SILVA</t>
  </si>
  <si>
    <t>409.651.608-23</t>
  </si>
  <si>
    <t>GUILHERME VASCONCELOS PEREIRA</t>
  </si>
  <si>
    <t>410.326.688-06</t>
  </si>
  <si>
    <t>NILSON PINHEIRO JUNIOR</t>
  </si>
  <si>
    <t>414.263.938-22</t>
  </si>
  <si>
    <t>THIAGO VASCONCELOS SANTOS NERES</t>
  </si>
  <si>
    <t>416.335.358-51</t>
  </si>
  <si>
    <t>ANDERSON CLEITON FERREIRA GALDINO</t>
  </si>
  <si>
    <t>420.033.828-95</t>
  </si>
  <si>
    <t>WALLACE FERREIRA BRAZ</t>
  </si>
  <si>
    <t>422.279.638-75</t>
  </si>
  <si>
    <t>ALEX JESUS DE ALMEIDA</t>
  </si>
  <si>
    <t>423.185.398-39</t>
  </si>
  <si>
    <t>FABRICIO DA SILVA FRANCISCO</t>
  </si>
  <si>
    <t>423.978.008-02</t>
  </si>
  <si>
    <t>ALLISON DA COSTA DE FREITAS</t>
  </si>
  <si>
    <t>428.235.348-14</t>
  </si>
  <si>
    <t>SABRINA MELO LIMA</t>
  </si>
  <si>
    <t>428.305.048-28</t>
  </si>
  <si>
    <t>MATHEUS SANTOS DE CARVALHO</t>
  </si>
  <si>
    <t>434.140.898-40</t>
  </si>
  <si>
    <t>CRISTIANO DE LIMA OLIVEIRA</t>
  </si>
  <si>
    <t>436.018.148-54</t>
  </si>
  <si>
    <t>JOAO VICTOR TORRES GUIMARAES</t>
  </si>
  <si>
    <t>453.217.998-06</t>
  </si>
  <si>
    <t>VLADIMIR DOS SANTOS PRADO JUNIOR</t>
  </si>
  <si>
    <t>453.788.318-90</t>
  </si>
  <si>
    <t>ARLINDO INACIO DOS SANTOS</t>
  </si>
  <si>
    <t>455.648.558-41</t>
  </si>
  <si>
    <t>JOAO KAIO GOMES FERNANDES</t>
  </si>
  <si>
    <t>482.478.308-92</t>
  </si>
  <si>
    <t>MARCELO DIAS DA SILVA JUNIOR</t>
  </si>
  <si>
    <t xml:space="preserve"> LOGÍSTICA - EAD</t>
  </si>
  <si>
    <t>514.431.088-55</t>
  </si>
  <si>
    <t>MATHEUS DA SILVA</t>
  </si>
  <si>
    <t>538.768.988-03</t>
  </si>
  <si>
    <t>RAFAELLE ALVES DOS SANTOS</t>
  </si>
  <si>
    <t>546.400.508-01</t>
  </si>
  <si>
    <t>VANDERLEI BEZERRA DA SILVA</t>
  </si>
  <si>
    <t>600.727.762-34</t>
  </si>
  <si>
    <t>IGOR PAULO CARDOSO DOS SANTOS</t>
  </si>
  <si>
    <t>799.619.756-34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</si>
</sst>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-&quot;R$&quot;\ * #,##0_-;\-&quot;R$&quot;\ * #,##0_-;_-&quot;R$&quot;\ * &quot;-&quot;_-;_-@_-"/>
    <numFmt numFmtId="164" formatCode="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left"/>
    </xf>
    <xf numFmtId="3" fontId="4" fillId="0" borderId="1" xfId="2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164" fontId="0" fillId="3" borderId="1" xfId="0" applyNumberForma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3" fontId="4" fillId="3" borderId="1" xfId="2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3" fontId="0" fillId="3" borderId="1" xfId="0" applyNumberForma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left"/>
    </xf>
    <xf numFmtId="3" fontId="2" fillId="0" borderId="1" xfId="0" applyNumberFormat="1" applyFont="1" applyBorder="1" applyAlignment="1">
      <alignment horizontal="center"/>
    </xf>
    <xf numFmtId="0" fontId="0" fillId="3" borderId="0" xfId="0" applyFill="1" applyAlignment="1">
      <alignment horizontal="left"/>
    </xf>
    <xf numFmtId="0" fontId="2" fillId="3" borderId="1" xfId="0" applyFont="1" applyFill="1" applyBorder="1" applyAlignment="1">
      <alignment horizontal="center"/>
    </xf>
    <xf numFmtId="0" fontId="5" fillId="0" borderId="1" xfId="1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3" fontId="4" fillId="0" borderId="1" xfId="2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left"/>
    </xf>
  </cellXfs>
  <cellStyles count="3">
    <cellStyle name="Hiperlink" xfId="2" builtinId="8"/>
    <cellStyle name="Mo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H\2%20-%20DO\70.%20Gradua&#231;&#227;o%20e%20P&#243;s-Gradua&#231;&#227;o\Universidade%20BTP%20-%20Programa%20de%20Gradua&#231;&#227;o%20e%20P&#243;s-Gradua&#231;&#227;o%20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.olah/AppData/Local/Microsoft/Windows/INetCache/Content.Outlook/LSNFKQVR/BASE%20CADASTRAL_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 t="str">
            <v>Nome Completo</v>
          </cell>
          <cell r="B1" t="str">
            <v>Matrícula</v>
          </cell>
          <cell r="C1" t="str">
            <v>E-mail</v>
          </cell>
        </row>
        <row r="2">
          <cell r="A2" t="str">
            <v>MIGUEL ANGEL FERNANDEZ DA SILVA</v>
          </cell>
          <cell r="B2">
            <v>8</v>
          </cell>
          <cell r="C2" t="str">
            <v>m.angel@btp.com.br</v>
          </cell>
        </row>
        <row r="3">
          <cell r="A3" t="str">
            <v>FABIO JOSE DE MELLO</v>
          </cell>
          <cell r="B3">
            <v>118</v>
          </cell>
          <cell r="C3" t="str">
            <v>f.melo@btp.com.br</v>
          </cell>
        </row>
        <row r="4">
          <cell r="A4" t="str">
            <v>FERNANDO LUIZ DE FRANCA</v>
          </cell>
          <cell r="B4">
            <v>133</v>
          </cell>
          <cell r="C4" t="str">
            <v>f.franca@brasilterminal.onmicrosoft.com</v>
          </cell>
        </row>
        <row r="5">
          <cell r="A5" t="str">
            <v>ROGERIO LINS DOS SANTOS</v>
          </cell>
          <cell r="B5">
            <v>153</v>
          </cell>
          <cell r="C5" t="str">
            <v>roger_lins81@hotmail.com</v>
          </cell>
        </row>
        <row r="6">
          <cell r="A6" t="str">
            <v>THIAGO AUGUSTO SANTOS NASCIMENTO</v>
          </cell>
          <cell r="B6">
            <v>161</v>
          </cell>
          <cell r="C6" t="str">
            <v>thiago.asn@hotmail.com</v>
          </cell>
        </row>
        <row r="7">
          <cell r="A7" t="str">
            <v>ANTONIO FERNANDO DO NASCIMENTO</v>
          </cell>
          <cell r="B7">
            <v>193</v>
          </cell>
          <cell r="C7" t="str">
            <v>antonionascimento3756@gmail.com</v>
          </cell>
        </row>
        <row r="8">
          <cell r="A8" t="str">
            <v>REGINALDO SOUSA MARIANO</v>
          </cell>
          <cell r="B8">
            <v>195</v>
          </cell>
          <cell r="C8" t="str">
            <v>REGE12M@HOTMAIL.COM</v>
          </cell>
        </row>
        <row r="9">
          <cell r="A9" t="str">
            <v>EDUARDO LORETO MACEDO</v>
          </cell>
          <cell r="B9">
            <v>218</v>
          </cell>
          <cell r="C9" t="str">
            <v>loretomacedo@hotmail.com</v>
          </cell>
        </row>
        <row r="10">
          <cell r="A10" t="str">
            <v>VICTOR CONRADO GONCALVES</v>
          </cell>
          <cell r="B10">
            <v>225</v>
          </cell>
          <cell r="C10" t="str">
            <v>v.conrado@btp.com.br</v>
          </cell>
        </row>
        <row r="11">
          <cell r="A11" t="str">
            <v>FELIPE MAFRA MELO</v>
          </cell>
          <cell r="B11">
            <v>228</v>
          </cell>
          <cell r="C11" t="str">
            <v>f.mafra@btp.com.br</v>
          </cell>
        </row>
        <row r="12">
          <cell r="A12" t="str">
            <v>FABIO NASCIMENTO DOS SANTOS</v>
          </cell>
          <cell r="B12">
            <v>233</v>
          </cell>
          <cell r="C12" t="str">
            <v>fabio.nascimento87@hotmail.com</v>
          </cell>
        </row>
        <row r="13">
          <cell r="A13" t="str">
            <v>FLAVIO FEITOSA SOARES</v>
          </cell>
          <cell r="B13">
            <v>251</v>
          </cell>
          <cell r="C13" t="str">
            <v>fts1980@hotmail.com</v>
          </cell>
        </row>
        <row r="14">
          <cell r="A14" t="str">
            <v>MISAEL LEITE DA SILVA</v>
          </cell>
          <cell r="B14">
            <v>266</v>
          </cell>
          <cell r="C14" t="str">
            <v>Misaelleite.dj@gmail.com</v>
          </cell>
        </row>
        <row r="15">
          <cell r="A15" t="str">
            <v>WALTER DA SILVA COELHO</v>
          </cell>
          <cell r="B15">
            <v>289</v>
          </cell>
          <cell r="C15" t="str">
            <v>waltersilvacoelho@hotmail.com</v>
          </cell>
        </row>
        <row r="16">
          <cell r="A16" t="str">
            <v>FLAVIO ROCHA DA SILVA</v>
          </cell>
          <cell r="B16">
            <v>313</v>
          </cell>
          <cell r="C16" t="str">
            <v>flavio_richas@hotmail.com</v>
          </cell>
        </row>
        <row r="17">
          <cell r="A17" t="str">
            <v>CASSIO GUILHERME COSTA</v>
          </cell>
          <cell r="B17">
            <v>343</v>
          </cell>
          <cell r="C17" t="str">
            <v>c.gcosta@btp.com.br</v>
          </cell>
        </row>
        <row r="18">
          <cell r="A18" t="str">
            <v>RICARDO MURILO ROSA</v>
          </cell>
          <cell r="B18">
            <v>354</v>
          </cell>
          <cell r="C18" t="str">
            <v xml:space="preserve">ricardo70murilo@hotmail.com </v>
          </cell>
        </row>
        <row r="19">
          <cell r="A19" t="str">
            <v>CLEITON ALVES REGO</v>
          </cell>
          <cell r="B19">
            <v>364</v>
          </cell>
          <cell r="C19" t="str">
            <v>cleiton-alves.r@hotmail.com</v>
          </cell>
        </row>
        <row r="20">
          <cell r="A20" t="str">
            <v>DANIEL SPOSITO DOS SANTOS</v>
          </cell>
          <cell r="B20">
            <v>371</v>
          </cell>
          <cell r="C20" t="str">
            <v>daniel.santos30@hotmail.com</v>
          </cell>
        </row>
        <row r="21">
          <cell r="A21" t="str">
            <v>RAFAEL DIAS DA SILVA</v>
          </cell>
          <cell r="B21">
            <v>373</v>
          </cell>
          <cell r="C21" t="str">
            <v>rafadias1982@yahoo.com.br</v>
          </cell>
        </row>
        <row r="22">
          <cell r="A22" t="str">
            <v>JOSE FABRICIO DE OLIVEIRA</v>
          </cell>
          <cell r="B22">
            <v>419</v>
          </cell>
          <cell r="C22" t="str">
            <v>gifaerafa@gmail.com</v>
          </cell>
        </row>
        <row r="23">
          <cell r="A23" t="str">
            <v>CIRO OLIVEIRA RIBEIRO</v>
          </cell>
          <cell r="B23">
            <v>434</v>
          </cell>
          <cell r="C23" t="str">
            <v xml:space="preserve">ciro_ol@hotmail.com </v>
          </cell>
        </row>
        <row r="24">
          <cell r="A24" t="str">
            <v>ANDERSON APARECIDO LIMA</v>
          </cell>
          <cell r="B24">
            <v>445</v>
          </cell>
          <cell r="C24" t="str">
            <v>nenem_lima_@hotmail.com</v>
          </cell>
        </row>
        <row r="25">
          <cell r="A25" t="str">
            <v>EDUARDO DE ALCANTARA TIBAGY</v>
          </cell>
          <cell r="B25">
            <v>448</v>
          </cell>
          <cell r="C25" t="str">
            <v>e.tibagy@btp.com.br</v>
          </cell>
        </row>
        <row r="26">
          <cell r="A26" t="str">
            <v>JAELSON PAULO DA SILVA</v>
          </cell>
          <cell r="B26">
            <v>471</v>
          </cell>
          <cell r="C26" t="str">
            <v>ricop180@hotmail.com</v>
          </cell>
        </row>
        <row r="27">
          <cell r="A27" t="str">
            <v>WAGNER DA SILVA VAZ</v>
          </cell>
          <cell r="B27">
            <v>480</v>
          </cell>
          <cell r="C27" t="str">
            <v>w.vaz@btp.com.br</v>
          </cell>
        </row>
        <row r="28">
          <cell r="A28" t="str">
            <v>FABIO DA SILVA VIEIRA</v>
          </cell>
          <cell r="B28">
            <v>515</v>
          </cell>
          <cell r="C28" t="str">
            <v xml:space="preserve">fabinhosurfsampa@hotmail.com </v>
          </cell>
        </row>
        <row r="29">
          <cell r="A29" t="str">
            <v>JOSE LUIZ DA MACENA</v>
          </cell>
          <cell r="B29">
            <v>542</v>
          </cell>
          <cell r="C29" t="str">
            <v>macena878@gmail.com</v>
          </cell>
        </row>
        <row r="30">
          <cell r="A30" t="str">
            <v>MARCIO MARQUES DE SOUZA</v>
          </cell>
          <cell r="B30">
            <v>574</v>
          </cell>
          <cell r="C30" t="str">
            <v>marciomarquesdesouza@yahoo.com.br</v>
          </cell>
        </row>
        <row r="31">
          <cell r="A31" t="str">
            <v>MICHAEL DOS SANTOS SILVA</v>
          </cell>
          <cell r="B31">
            <v>579</v>
          </cell>
          <cell r="C31" t="str">
            <v>michaelssilva12@gmail.com</v>
          </cell>
        </row>
        <row r="32">
          <cell r="A32" t="str">
            <v>RENATO MIRANDA ESTEVES</v>
          </cell>
          <cell r="B32">
            <v>599</v>
          </cell>
          <cell r="C32" t="str">
            <v>r.esteves@btp.com.br</v>
          </cell>
        </row>
        <row r="33">
          <cell r="A33" t="str">
            <v>VANDERLEI BEZERRA DA SILVA</v>
          </cell>
          <cell r="B33">
            <v>613</v>
          </cell>
          <cell r="C33" t="str">
            <v>Vander.bezerra@hotmail.com</v>
          </cell>
        </row>
        <row r="34">
          <cell r="A34" t="str">
            <v>LEONARDO DOS SANTOS OLIVEIRA</v>
          </cell>
          <cell r="B34">
            <v>622</v>
          </cell>
          <cell r="C34" t="str">
            <v>l.dsantos@btp.com.br</v>
          </cell>
        </row>
        <row r="35">
          <cell r="A35" t="str">
            <v>AILTON MESSIAS MACHADO</v>
          </cell>
          <cell r="B35">
            <v>640</v>
          </cell>
          <cell r="C35" t="str">
            <v>ailtonmachadotim071@hotmail.com</v>
          </cell>
        </row>
        <row r="36">
          <cell r="A36" t="str">
            <v>NOEMI PIMENTEL</v>
          </cell>
          <cell r="B36">
            <v>653</v>
          </cell>
          <cell r="C36" t="str">
            <v xml:space="preserve">mamipimentel0@gmail.com </v>
          </cell>
        </row>
        <row r="37">
          <cell r="A37" t="str">
            <v>RAFAEL ALVES CERQUEIRA DE SA</v>
          </cell>
          <cell r="B37">
            <v>677</v>
          </cell>
          <cell r="C37" t="str">
            <v>rafael-rua@hotmail.com</v>
          </cell>
        </row>
        <row r="38">
          <cell r="A38" t="str">
            <v>JAIRO SOARES FERREIRA</v>
          </cell>
          <cell r="B38">
            <v>682</v>
          </cell>
          <cell r="C38" t="str">
            <v>j.soares@btp.com.br</v>
          </cell>
        </row>
        <row r="39">
          <cell r="A39" t="str">
            <v>DEYVIS SILVA DE ARAUJO</v>
          </cell>
          <cell r="B39">
            <v>707</v>
          </cell>
          <cell r="C39" t="str">
            <v>Deyvisaraujo@hotmail.com</v>
          </cell>
        </row>
        <row r="40">
          <cell r="A40" t="str">
            <v>THIAGO MOREIRA QUEIROZ</v>
          </cell>
          <cell r="B40">
            <v>733</v>
          </cell>
          <cell r="C40" t="str">
            <v xml:space="preserve">thiagomoreiraqueiroz@gmail.com </v>
          </cell>
        </row>
        <row r="41">
          <cell r="A41" t="str">
            <v>DANILO DE MATOS SANTOS</v>
          </cell>
          <cell r="B41">
            <v>777</v>
          </cell>
          <cell r="C41" t="str">
            <v>kinder.dan@hotmail.com</v>
          </cell>
        </row>
        <row r="42">
          <cell r="A42" t="str">
            <v>CLAUDIO AUGUSTO DOS SANTOS</v>
          </cell>
          <cell r="B42">
            <v>801</v>
          </cell>
          <cell r="C42" t="str">
            <v>clau.augusto@yahoo.com.br</v>
          </cell>
        </row>
        <row r="43">
          <cell r="A43" t="str">
            <v>WILLIAM DE OLIVEIRA SANTOS</v>
          </cell>
          <cell r="B43">
            <v>810</v>
          </cell>
          <cell r="C43" t="str">
            <v>williamos786@gmail.com</v>
          </cell>
        </row>
        <row r="44">
          <cell r="A44" t="str">
            <v>ADRIANO DA COSTA RAMALHO</v>
          </cell>
          <cell r="B44">
            <v>851</v>
          </cell>
          <cell r="C44" t="str">
            <v>adrianocostaramalho@hotmail.com</v>
          </cell>
        </row>
        <row r="45">
          <cell r="A45" t="str">
            <v>RUI DIEGO ALVES DOS SANTOS VELOSO</v>
          </cell>
          <cell r="B45">
            <v>899</v>
          </cell>
          <cell r="C45" t="str">
            <v>ruidiego.dh@gmail.com</v>
          </cell>
        </row>
        <row r="46">
          <cell r="A46" t="str">
            <v>DIEGO DE LIMA RIBEIRO</v>
          </cell>
          <cell r="B46">
            <v>901</v>
          </cell>
          <cell r="C46" t="str">
            <v>diegolr83@hotmail.com</v>
          </cell>
        </row>
        <row r="47">
          <cell r="A47" t="str">
            <v>VITOR DOS SANTOS</v>
          </cell>
          <cell r="B47">
            <v>903</v>
          </cell>
          <cell r="C47" t="str">
            <v>vitorefe@hotmail.com</v>
          </cell>
        </row>
        <row r="48">
          <cell r="A48" t="str">
            <v>RAFAEL AMARAL DA SILVA</v>
          </cell>
          <cell r="B48">
            <v>927</v>
          </cell>
          <cell r="C48" t="str">
            <v>rafaelbombeirodox@hotmail.com</v>
          </cell>
        </row>
        <row r="49">
          <cell r="A49" t="str">
            <v>FABIO CORREIA DA SILVA</v>
          </cell>
          <cell r="B49">
            <v>948</v>
          </cell>
          <cell r="C49" t="str">
            <v>f.correia@btp.com.br</v>
          </cell>
        </row>
        <row r="50">
          <cell r="A50" t="str">
            <v>RODRIGO SILVA AMORIM</v>
          </cell>
          <cell r="B50">
            <v>950</v>
          </cell>
          <cell r="C50" t="str">
            <v>rodrigosilvaamorim.85@gmail.com</v>
          </cell>
        </row>
        <row r="51">
          <cell r="A51" t="str">
            <v>WALTER DE CARVALHO FERNANDES NETO</v>
          </cell>
          <cell r="B51">
            <v>1016</v>
          </cell>
          <cell r="C51" t="str">
            <v>walterfneto81@yahoo.com.br</v>
          </cell>
        </row>
        <row r="52">
          <cell r="A52" t="str">
            <v>GERSON DOS SANTOS</v>
          </cell>
          <cell r="B52">
            <v>1061</v>
          </cell>
          <cell r="C52" t="str">
            <v>ger.roqueiro2010@hotmail.com</v>
          </cell>
        </row>
        <row r="53">
          <cell r="A53" t="str">
            <v>JUDSON MARINHO DOS SANTOS</v>
          </cell>
          <cell r="B53">
            <v>1083</v>
          </cell>
          <cell r="C53" t="str">
            <v>judsonmarinho86@gmail.com</v>
          </cell>
        </row>
        <row r="54">
          <cell r="A54" t="str">
            <v>MARCO AURELIO ALVARES PEREIRA</v>
          </cell>
          <cell r="B54">
            <v>1090</v>
          </cell>
          <cell r="C54" t="str">
            <v>marcoalvares20@gmail.com</v>
          </cell>
        </row>
        <row r="55">
          <cell r="A55" t="str">
            <v>IGOR PAULO CARDOSO DOS SANTOS</v>
          </cell>
          <cell r="B55">
            <v>1091</v>
          </cell>
          <cell r="C55" t="str">
            <v>igorpaulocardoso@gmail.com</v>
          </cell>
        </row>
        <row r="56">
          <cell r="A56" t="str">
            <v>RENAN PEREIRA GONSALVES</v>
          </cell>
          <cell r="B56">
            <v>1093</v>
          </cell>
          <cell r="C56" t="str">
            <v xml:space="preserve">Renissu@gmail.com </v>
          </cell>
        </row>
        <row r="57">
          <cell r="A57" t="str">
            <v>MARCELO DE CARVALHO MOREIRA</v>
          </cell>
          <cell r="B57">
            <v>1104</v>
          </cell>
          <cell r="C57" t="str">
            <v>Marcelocm1969@outlook.com</v>
          </cell>
        </row>
        <row r="58">
          <cell r="A58" t="str">
            <v>RAFAEL HENRIQUE VARELLA SANTOS</v>
          </cell>
          <cell r="B58">
            <v>1108</v>
          </cell>
          <cell r="C58" t="str">
            <v>r.hvarella@btp.com.br</v>
          </cell>
        </row>
        <row r="59">
          <cell r="A59" t="str">
            <v>VINICIUS NUNES MARTINS DE SOUZA</v>
          </cell>
          <cell r="B59">
            <v>1116</v>
          </cell>
          <cell r="C59" t="str">
            <v>nunes238@hotmail.com</v>
          </cell>
        </row>
        <row r="60">
          <cell r="A60" t="str">
            <v>ANDRE LUIZ DE OLIVEIRA</v>
          </cell>
          <cell r="B60">
            <v>1145</v>
          </cell>
          <cell r="C60" t="str">
            <v>andrey.oliver@hotmail.com</v>
          </cell>
        </row>
        <row r="61">
          <cell r="A61" t="str">
            <v>FELIPE SANTOS DE ARAUJO</v>
          </cell>
          <cell r="B61">
            <v>1148</v>
          </cell>
          <cell r="C61" t="str">
            <v>guilherme_willian_03@hotmail.com</v>
          </cell>
        </row>
        <row r="62">
          <cell r="A62" t="str">
            <v>THIAGO GOMES DOS SANTOS</v>
          </cell>
          <cell r="B62">
            <v>1211</v>
          </cell>
          <cell r="C62" t="str">
            <v xml:space="preserve">thiago_c.t@hotmail.com </v>
          </cell>
        </row>
        <row r="63">
          <cell r="A63" t="str">
            <v>CARLOS ALBERTO DE JESUS</v>
          </cell>
          <cell r="B63">
            <v>1214</v>
          </cell>
          <cell r="C63" t="str">
            <v>carlosoperador42@hotmail.com</v>
          </cell>
        </row>
        <row r="64">
          <cell r="A64" t="str">
            <v>ANDERSON COELHO DE JESUS</v>
          </cell>
          <cell r="B64">
            <v>1232</v>
          </cell>
          <cell r="C64" t="str">
            <v>coelhotati@hotmail.com</v>
          </cell>
        </row>
        <row r="65">
          <cell r="A65" t="str">
            <v>RODRIGO CUNHA DO NASCIMENTO</v>
          </cell>
          <cell r="B65">
            <v>1233</v>
          </cell>
          <cell r="C65" t="str">
            <v>c.rodrigo@btp.com.br</v>
          </cell>
        </row>
        <row r="66">
          <cell r="A66" t="str">
            <v>YURI DE MEDEIROS VIANNA</v>
          </cell>
          <cell r="B66">
            <v>1235</v>
          </cell>
          <cell r="C66" t="str">
            <v>y.vianna@btp.com.br</v>
          </cell>
        </row>
        <row r="67">
          <cell r="A67" t="str">
            <v>ROBISON DOS SANTOS ROSARIO</v>
          </cell>
          <cell r="B67">
            <v>1258</v>
          </cell>
          <cell r="C67" t="str">
            <v>robisonrosario@gmail.com</v>
          </cell>
        </row>
        <row r="68">
          <cell r="A68" t="str">
            <v>RODRIGO DOS SANTOS VIANA</v>
          </cell>
          <cell r="B68">
            <v>1286</v>
          </cell>
          <cell r="C68" t="str">
            <v>rodrigosantosviana@yahoo.com.br</v>
          </cell>
        </row>
        <row r="69">
          <cell r="A69" t="str">
            <v>EVANDRO DA SILVA TAVARES</v>
          </cell>
          <cell r="B69">
            <v>1302</v>
          </cell>
          <cell r="C69" t="str">
            <v>evandrosilvatavares@hotmail.com</v>
          </cell>
        </row>
        <row r="70">
          <cell r="A70" t="str">
            <v>DANIELA CAETANO DOS SANTOS</v>
          </cell>
          <cell r="B70">
            <v>1305</v>
          </cell>
          <cell r="C70" t="str">
            <v>daniela.190582@gmail.com</v>
          </cell>
        </row>
        <row r="71">
          <cell r="A71" t="str">
            <v>JEFFERSON BARBOSA DOS SANTOS</v>
          </cell>
          <cell r="B71">
            <v>1309</v>
          </cell>
          <cell r="C71" t="str">
            <v>jjeffersonbarbosadossantos21@gmail.com</v>
          </cell>
        </row>
        <row r="72">
          <cell r="A72" t="str">
            <v>FABIO OLIVEIRA PEREIRA</v>
          </cell>
          <cell r="B72">
            <v>1311</v>
          </cell>
          <cell r="C72" t="str">
            <v xml:space="preserve">fabiocostasul@hotmail.com </v>
          </cell>
        </row>
        <row r="73">
          <cell r="A73" t="str">
            <v>EMERSON SANTOS GOMES</v>
          </cell>
          <cell r="B73">
            <v>1326</v>
          </cell>
          <cell r="C73" t="str">
            <v>Emerson.gomes@live.com</v>
          </cell>
        </row>
        <row r="74">
          <cell r="A74" t="str">
            <v>ALEX JESUS DE ALMEIDA</v>
          </cell>
          <cell r="B74">
            <v>1331</v>
          </cell>
          <cell r="C74" t="str">
            <v>alexjdealmeida@gmail.com</v>
          </cell>
        </row>
        <row r="75">
          <cell r="A75" t="str">
            <v>MAXIMILIANO DE BRITO DA SILVA</v>
          </cell>
          <cell r="B75">
            <v>1351</v>
          </cell>
          <cell r="C75" t="str">
            <v>daniemax@yahoo.com.br</v>
          </cell>
        </row>
        <row r="76">
          <cell r="A76" t="str">
            <v>ANDRE SANTOS DA SILVA</v>
          </cell>
          <cell r="B76">
            <v>1365</v>
          </cell>
          <cell r="C76" t="str">
            <v>a.sdasilva@btp.com.br</v>
          </cell>
        </row>
        <row r="77">
          <cell r="A77" t="str">
            <v>DANIEL PAULA PEREIRA</v>
          </cell>
          <cell r="B77">
            <v>1370</v>
          </cell>
          <cell r="C77" t="str">
            <v>D.paula@btp.com.br</v>
          </cell>
        </row>
        <row r="78">
          <cell r="A78" t="str">
            <v>LUCIANO DIONISIO DE JESUS</v>
          </cell>
          <cell r="B78">
            <v>1373</v>
          </cell>
          <cell r="C78" t="str">
            <v>giri3.4@hotmail.com</v>
          </cell>
        </row>
        <row r="79">
          <cell r="A79" t="str">
            <v>GUILHERME DE ALMEIDA SILVA</v>
          </cell>
          <cell r="B79">
            <v>1374</v>
          </cell>
          <cell r="C79" t="str">
            <v>guilherme.gas@hotmail.com</v>
          </cell>
        </row>
        <row r="80">
          <cell r="A80" t="str">
            <v>ANDERSON TAMAIO AZEVEDO</v>
          </cell>
          <cell r="B80">
            <v>1377</v>
          </cell>
          <cell r="C80" t="str">
            <v>a_tamaio@hotmail.com</v>
          </cell>
        </row>
        <row r="81">
          <cell r="A81" t="str">
            <v>RONALDO SANTOS DA CONCEICAO</v>
          </cell>
          <cell r="B81">
            <v>1395</v>
          </cell>
          <cell r="C81" t="str">
            <v>rone.sdc@hotmail.com</v>
          </cell>
        </row>
        <row r="82">
          <cell r="A82" t="str">
            <v>MOISES FELIPE SACRAMENTO DOS SANTOS</v>
          </cell>
          <cell r="B82">
            <v>1396</v>
          </cell>
          <cell r="C82" t="str">
            <v>m.felipe@btp.com.br</v>
          </cell>
        </row>
        <row r="83">
          <cell r="A83" t="str">
            <v>WELLINGTON LIMA FERNANDES</v>
          </cell>
          <cell r="B83">
            <v>1398</v>
          </cell>
          <cell r="C83" t="str">
            <v>wellington.lf.sfc@gmail.com</v>
          </cell>
        </row>
        <row r="84">
          <cell r="A84" t="str">
            <v>ADRIANO SILVANO DA SILVA</v>
          </cell>
          <cell r="B84">
            <v>1401</v>
          </cell>
          <cell r="C84" t="str">
            <v>a.silvano@btp.com.br</v>
          </cell>
        </row>
        <row r="85">
          <cell r="A85" t="str">
            <v>FABIO OLIVEIRA DA SILVA</v>
          </cell>
          <cell r="B85">
            <v>1421</v>
          </cell>
          <cell r="C85" t="str">
            <v xml:space="preserve">fabioolsilva2@gmail.com </v>
          </cell>
        </row>
        <row r="86">
          <cell r="A86" t="str">
            <v>WANDO DE SOUSA PEREIRA</v>
          </cell>
          <cell r="B86">
            <v>1424</v>
          </cell>
          <cell r="C86" t="str">
            <v>w.desouza@btp.com.br</v>
          </cell>
        </row>
        <row r="87">
          <cell r="A87" t="str">
            <v>PEDRO HENRIQUE DE ANDRADE</v>
          </cell>
          <cell r="B87">
            <v>1467</v>
          </cell>
          <cell r="C87" t="str">
            <v xml:space="preserve">Phahenrique@hotmail.com.br </v>
          </cell>
        </row>
        <row r="88">
          <cell r="A88" t="str">
            <v>DANIEL SANTANA JUNIOR</v>
          </cell>
          <cell r="B88">
            <v>1485</v>
          </cell>
          <cell r="C88" t="str">
            <v>d.santanajr@hotmail.com</v>
          </cell>
        </row>
        <row r="89">
          <cell r="A89" t="str">
            <v>MARCELO FERNANDO RANGEL</v>
          </cell>
          <cell r="B89">
            <v>1522</v>
          </cell>
          <cell r="C89" t="str">
            <v>mfmessias12@gmail.com</v>
          </cell>
        </row>
        <row r="90">
          <cell r="A90" t="str">
            <v>CLAUDIO HENRIQUE ALVES DE SIQUEIRA</v>
          </cell>
          <cell r="B90">
            <v>1525</v>
          </cell>
          <cell r="C90" t="str">
            <v>Claudio_h_a_s@hotnail.com</v>
          </cell>
        </row>
        <row r="91">
          <cell r="A91" t="str">
            <v>DIEGO MAFRA MELO</v>
          </cell>
          <cell r="B91">
            <v>1526</v>
          </cell>
          <cell r="C91" t="str">
            <v>tricolormafra@gmail.com</v>
          </cell>
        </row>
        <row r="92">
          <cell r="A92" t="str">
            <v>MOISES CORREA DE PAULA JUNIOR</v>
          </cell>
          <cell r="B92">
            <v>1534</v>
          </cell>
          <cell r="C92" t="str">
            <v xml:space="preserve">moises_junior73@outlook.com </v>
          </cell>
        </row>
        <row r="93">
          <cell r="A93" t="str">
            <v>ALDEMIR SILVA DE AZEVEDO</v>
          </cell>
          <cell r="B93">
            <v>1544</v>
          </cell>
          <cell r="C93" t="str">
            <v xml:space="preserve">nikesagold@gmail.com </v>
          </cell>
        </row>
        <row r="94">
          <cell r="A94" t="str">
            <v>VIRGINIA ALVES DE LIMA</v>
          </cell>
          <cell r="B94">
            <v>1553</v>
          </cell>
          <cell r="C94" t="str">
            <v xml:space="preserve">V.alves@btp.com.br </v>
          </cell>
        </row>
        <row r="95">
          <cell r="A95" t="str">
            <v>LINCOLN CORREA JUSTINIANO</v>
          </cell>
          <cell r="B95">
            <v>1570</v>
          </cell>
          <cell r="C95" t="str">
            <v>lincolnjustinianoo@gmail.com</v>
          </cell>
        </row>
        <row r="96">
          <cell r="A96" t="str">
            <v>RAMISSON VICENTE ALONSO</v>
          </cell>
          <cell r="B96">
            <v>1584</v>
          </cell>
          <cell r="C96" t="str">
            <v>ramisson.alonso@hotmail.com</v>
          </cell>
        </row>
        <row r="97">
          <cell r="A97" t="str">
            <v>RENATO BISPO DE FARIA</v>
          </cell>
          <cell r="B97">
            <v>1597</v>
          </cell>
          <cell r="C97" t="str">
            <v>otanerb17@gmail.com</v>
          </cell>
        </row>
        <row r="98">
          <cell r="A98" t="str">
            <v>ROGERIO OLIVEIRA LIMA</v>
          </cell>
          <cell r="B98">
            <v>1616</v>
          </cell>
          <cell r="C98" t="str">
            <v>roger2116@hotmail.com</v>
          </cell>
        </row>
        <row r="99">
          <cell r="A99" t="str">
            <v>LUIZ CLAUDIO MOREIRA SERRA</v>
          </cell>
          <cell r="B99">
            <v>1621</v>
          </cell>
          <cell r="C99" t="str">
            <v>lmserra72@gmail.com</v>
          </cell>
        </row>
        <row r="100">
          <cell r="A100" t="str">
            <v>WILSON RODRIGUES LOPES JUNIOR</v>
          </cell>
          <cell r="B100">
            <v>1622</v>
          </cell>
          <cell r="C100" t="str">
            <v xml:space="preserve">Wilsonrjunior@hotmail.com </v>
          </cell>
        </row>
        <row r="101">
          <cell r="A101" t="str">
            <v>MARCELO DE SOUZA LIMA</v>
          </cell>
          <cell r="B101">
            <v>1627</v>
          </cell>
          <cell r="C101" t="str">
            <v>celo.cbx@gmail.com</v>
          </cell>
        </row>
        <row r="102">
          <cell r="A102" t="str">
            <v>PEDRO HENRIQUE SANTANA DE LIMA</v>
          </cell>
          <cell r="B102">
            <v>1634</v>
          </cell>
          <cell r="C102" t="str">
            <v>p.henrique@btp.com.br</v>
          </cell>
        </row>
        <row r="103">
          <cell r="A103" t="str">
            <v>MARCOS DOMICIANO DE SOUZA</v>
          </cell>
          <cell r="B103">
            <v>1638</v>
          </cell>
          <cell r="C103" t="str">
            <v>marcosdomicianosouza@hotmail.com</v>
          </cell>
        </row>
        <row r="104">
          <cell r="A104" t="str">
            <v>MARCOS JOSE BRAGA</v>
          </cell>
          <cell r="B104">
            <v>1647</v>
          </cell>
          <cell r="C104" t="str">
            <v>bragajmarcos@gmail.com</v>
          </cell>
        </row>
        <row r="105">
          <cell r="A105" t="str">
            <v>MARCO MACEDONIO</v>
          </cell>
          <cell r="B105">
            <v>1677</v>
          </cell>
          <cell r="C105" t="str">
            <v>macedoniomotos@hotmail.com</v>
          </cell>
        </row>
        <row r="106">
          <cell r="A106" t="str">
            <v>MAURICIO FERNANDES</v>
          </cell>
          <cell r="B106">
            <v>1691</v>
          </cell>
          <cell r="C106" t="str">
            <v>mauriciothay@hotmail.com</v>
          </cell>
        </row>
        <row r="107">
          <cell r="A107" t="str">
            <v>JEFFERSON RODRIGUES LIMA</v>
          </cell>
          <cell r="B107">
            <v>1692</v>
          </cell>
          <cell r="C107" t="str">
            <v>jeffersonnicmilly@hotmail.com</v>
          </cell>
        </row>
        <row r="108">
          <cell r="A108" t="str">
            <v>CAMILA MARIANA DA SILVA SANTOS</v>
          </cell>
          <cell r="B108">
            <v>1701</v>
          </cell>
          <cell r="C108" t="str">
            <v>ca_mariana@hotmail.com</v>
          </cell>
        </row>
        <row r="109">
          <cell r="A109" t="str">
            <v>MOISES CLEMENTE FERREIRA</v>
          </cell>
          <cell r="B109">
            <v>1717</v>
          </cell>
          <cell r="C109" t="str">
            <v xml:space="preserve">Moisesclemente1@hotmail.com </v>
          </cell>
        </row>
        <row r="110">
          <cell r="A110" t="str">
            <v>RAFAEL RIBEIRO CORREA</v>
          </cell>
          <cell r="B110">
            <v>1718</v>
          </cell>
          <cell r="C110" t="str">
            <v>Rafael.ribeirocorrea@yahoo.com.br</v>
          </cell>
        </row>
        <row r="111">
          <cell r="A111" t="str">
            <v>PETTERSON SANTOS DE BARROS</v>
          </cell>
          <cell r="B111">
            <v>1742</v>
          </cell>
          <cell r="C111" t="str">
            <v>petterson.barros@outlook.com</v>
          </cell>
        </row>
        <row r="112">
          <cell r="A112" t="str">
            <v>ALESSANDRO SOLDA COELHO</v>
          </cell>
          <cell r="B112">
            <v>1746</v>
          </cell>
          <cell r="C112" t="str">
            <v>alessandrosoldac@gmaim.com</v>
          </cell>
        </row>
        <row r="113">
          <cell r="A113" t="str">
            <v>MOISES MAGALHAES DE LIMA</v>
          </cell>
          <cell r="B113">
            <v>1753</v>
          </cell>
          <cell r="C113" t="str">
            <v xml:space="preserve">moisesfloyd@msn.com </v>
          </cell>
        </row>
        <row r="114">
          <cell r="A114" t="str">
            <v>EDELMIR DOS SANTOS REIS</v>
          </cell>
          <cell r="B114">
            <v>1767</v>
          </cell>
          <cell r="C114" t="str">
            <v>edelmir_reis@hotmail.com</v>
          </cell>
        </row>
        <row r="115">
          <cell r="A115" t="str">
            <v>GERSONILDO MENESES SANTOS</v>
          </cell>
          <cell r="B115">
            <v>1781</v>
          </cell>
          <cell r="C115" t="str">
            <v>gersonildomrneses77@gmail.com</v>
          </cell>
        </row>
        <row r="116">
          <cell r="A116" t="str">
            <v>NILSON PINHEIRO JUNIOR</v>
          </cell>
          <cell r="B116">
            <v>1809</v>
          </cell>
          <cell r="C116" t="str">
            <v>nilsonp.nj67@gmail.com</v>
          </cell>
        </row>
        <row r="117">
          <cell r="A117" t="str">
            <v>ANTONIO HENRIQUE DA SILVA SANTOS</v>
          </cell>
          <cell r="B117">
            <v>1818</v>
          </cell>
          <cell r="C117" t="str">
            <v>antonio_henrique3@hotmail.com</v>
          </cell>
        </row>
        <row r="118">
          <cell r="A118" t="str">
            <v>VALTERVAN DE JESUS GERALDO</v>
          </cell>
          <cell r="B118">
            <v>1819</v>
          </cell>
          <cell r="C118" t="str">
            <v>valtervanjg@hotmail.com</v>
          </cell>
        </row>
        <row r="119">
          <cell r="A119" t="str">
            <v>FABIO MARQUES DA SILVA</v>
          </cell>
          <cell r="B119">
            <v>1821</v>
          </cell>
          <cell r="C119" t="str">
            <v>fmarques290@gmail.com</v>
          </cell>
        </row>
        <row r="120">
          <cell r="A120" t="str">
            <v>PAULO VINICIUS ALMEIDA DOS PASSOS</v>
          </cell>
          <cell r="B120">
            <v>1851</v>
          </cell>
          <cell r="C120" t="str">
            <v>cuidaresalvar@hotmail.com</v>
          </cell>
        </row>
        <row r="121">
          <cell r="A121" t="str">
            <v>LUIZ FERNANDO FRANCISCO DE OLIVEIRA</v>
          </cell>
          <cell r="B121">
            <v>1869</v>
          </cell>
          <cell r="C121" t="str">
            <v>luizfernandoecoporto@gmail.com</v>
          </cell>
        </row>
        <row r="122">
          <cell r="A122" t="str">
            <v>KARIN APARECIDA DE MOURA SANTOS</v>
          </cell>
          <cell r="B122">
            <v>1876</v>
          </cell>
          <cell r="C122" t="str">
            <v>k.moura@btp.com.br</v>
          </cell>
        </row>
        <row r="123">
          <cell r="A123" t="str">
            <v>THAIS KOJIMA MIRANDA</v>
          </cell>
          <cell r="B123">
            <v>1878</v>
          </cell>
          <cell r="C123" t="str">
            <v>t.kojima@btp.com.br</v>
          </cell>
        </row>
        <row r="124">
          <cell r="A124" t="str">
            <v>RONALDO MARCOS DOS SANTOS</v>
          </cell>
          <cell r="B124">
            <v>1880</v>
          </cell>
          <cell r="C124" t="str">
            <v xml:space="preserve">ronald.marcos@gmail.com </v>
          </cell>
        </row>
        <row r="125">
          <cell r="A125" t="str">
            <v>ANDERSON MIGUEL DOS ANJOS</v>
          </cell>
          <cell r="B125">
            <v>1891</v>
          </cell>
          <cell r="C125" t="str">
            <v>andersonmiguel_16@yahoo.com.br</v>
          </cell>
        </row>
        <row r="126">
          <cell r="A126" t="str">
            <v>JAIR TADEU XAVIER DE GUSMAO</v>
          </cell>
          <cell r="B126">
            <v>1894</v>
          </cell>
          <cell r="C126" t="str">
            <v>jairgusmao@outlook.com</v>
          </cell>
        </row>
        <row r="127">
          <cell r="A127" t="str">
            <v>LEONARDO BERTOLA DE ALMEIDA</v>
          </cell>
          <cell r="B127">
            <v>1895</v>
          </cell>
          <cell r="C127" t="str">
            <v>leonardobertola.mec@outlook.com</v>
          </cell>
        </row>
        <row r="128">
          <cell r="A128" t="str">
            <v>FELIPE DE GOUVEIA IBRAIM</v>
          </cell>
          <cell r="B128">
            <v>1896</v>
          </cell>
          <cell r="C128" t="str">
            <v>f.ibraim@btp.com.br</v>
          </cell>
        </row>
        <row r="129">
          <cell r="A129" t="str">
            <v>DARKO ALVES DA SILVA ALONSO</v>
          </cell>
          <cell r="B129">
            <v>1897</v>
          </cell>
          <cell r="C129" t="str">
            <v xml:space="preserve">Darkolonso@hotmail.com </v>
          </cell>
        </row>
        <row r="130">
          <cell r="A130" t="str">
            <v>FLAVIO JOSE DE MELO</v>
          </cell>
          <cell r="B130">
            <v>1908</v>
          </cell>
          <cell r="C130" t="str">
            <v xml:space="preserve">flajmelo@yahoo.com.br </v>
          </cell>
        </row>
        <row r="131">
          <cell r="A131" t="str">
            <v>KAUE GUEDES DA SILVA</v>
          </cell>
          <cell r="B131">
            <v>1909</v>
          </cell>
          <cell r="C131" t="str">
            <v>Kaue_guedes@yahoo.com.br</v>
          </cell>
        </row>
        <row r="132">
          <cell r="A132" t="str">
            <v>LUCIMAURO AQUINO PONTES</v>
          </cell>
          <cell r="B132">
            <v>1918</v>
          </cell>
          <cell r="C132" t="str">
            <v>edcpontes@gmail.com</v>
          </cell>
        </row>
        <row r="133">
          <cell r="A133" t="str">
            <v>RODRIGO ALVES DE FRANCA</v>
          </cell>
          <cell r="B133">
            <v>1933</v>
          </cell>
          <cell r="C133" t="str">
            <v>rodrigocrfranca@hotmail.com</v>
          </cell>
        </row>
        <row r="134">
          <cell r="A134" t="str">
            <v>WEVERLLYN EMMANOEL SOARES DO NASCIMENTO</v>
          </cell>
          <cell r="B134">
            <v>1935</v>
          </cell>
          <cell r="C134" t="str">
            <v>weverllyn.esn@gmail.com</v>
          </cell>
        </row>
        <row r="135">
          <cell r="A135" t="str">
            <v>THIAGO ORIVALDO DE OLIVEIRA</v>
          </cell>
          <cell r="B135">
            <v>1975</v>
          </cell>
          <cell r="C135" t="str">
            <v>T.ORIVALDO@BTP.COM.BR</v>
          </cell>
        </row>
        <row r="136">
          <cell r="A136" t="str">
            <v>MARCIO LUIS FERNANDES</v>
          </cell>
          <cell r="B136">
            <v>1976</v>
          </cell>
          <cell r="C136" t="str">
            <v>marcioarabesco@gmail.com</v>
          </cell>
        </row>
        <row r="137">
          <cell r="A137" t="str">
            <v>LEONARDO PEREIRA DOS SANTOS</v>
          </cell>
          <cell r="B137">
            <v>1982</v>
          </cell>
          <cell r="C137" t="str">
            <v>leonardolenilza46@gmail.com</v>
          </cell>
        </row>
        <row r="138">
          <cell r="A138" t="str">
            <v>MAIKON ANDERSON CARDOSO DE LIMA</v>
          </cell>
          <cell r="B138">
            <v>1987</v>
          </cell>
          <cell r="C138" t="str">
            <v>maikon_anderson@hotmail.com</v>
          </cell>
        </row>
        <row r="139">
          <cell r="A139" t="str">
            <v>ARLINDO INACIO DOS SANTOS</v>
          </cell>
          <cell r="B139">
            <v>1992</v>
          </cell>
          <cell r="C139" t="str">
            <v>arlindo_vp@live.com</v>
          </cell>
        </row>
        <row r="140">
          <cell r="A140" t="str">
            <v>RAFAEL GUSTAVO DE LIMA</v>
          </cell>
          <cell r="B140">
            <v>2008</v>
          </cell>
          <cell r="C140" t="str">
            <v>Rafael13gustavo@hotmail.com</v>
          </cell>
        </row>
        <row r="141">
          <cell r="A141" t="str">
            <v>JAILSON ROBERTO DOS SANTOS</v>
          </cell>
          <cell r="B141">
            <v>2013</v>
          </cell>
          <cell r="C141" t="str">
            <v>jailsonrs25@gmail.com</v>
          </cell>
        </row>
        <row r="142">
          <cell r="A142" t="str">
            <v>JOSE MARCIO DOS SANTOS</v>
          </cell>
          <cell r="B142">
            <v>2017</v>
          </cell>
          <cell r="C142" t="str">
            <v>marciosantos080476@gmail.com</v>
          </cell>
        </row>
        <row r="143">
          <cell r="A143" t="str">
            <v>CLAYTON SALES DOS SANTOS</v>
          </cell>
          <cell r="B143">
            <v>2019</v>
          </cell>
          <cell r="C143" t="str">
            <v xml:space="preserve">Clayton.sales@hotmail.com </v>
          </cell>
        </row>
        <row r="144">
          <cell r="A144" t="str">
            <v>SANDRA DA PAIXAO ANDRADE</v>
          </cell>
          <cell r="B144">
            <v>2026</v>
          </cell>
          <cell r="C144" t="str">
            <v>sandradapaixao@hotmail.com</v>
          </cell>
        </row>
        <row r="145">
          <cell r="A145" t="str">
            <v>JONATHA SILVA DA CRUZ</v>
          </cell>
          <cell r="B145">
            <v>2027</v>
          </cell>
          <cell r="C145" t="str">
            <v>jonathammf@hotmail.com</v>
          </cell>
        </row>
        <row r="146">
          <cell r="A146" t="str">
            <v>EDSON CARVALHO DE MACEDO</v>
          </cell>
          <cell r="B146">
            <v>2043</v>
          </cell>
          <cell r="C146" t="str">
            <v>edson.jjc@hotmail.com</v>
          </cell>
        </row>
        <row r="147">
          <cell r="A147" t="str">
            <v>MARCELO DIAS DA SILVA JUNIOR</v>
          </cell>
          <cell r="B147">
            <v>2049</v>
          </cell>
          <cell r="C147" t="str">
            <v>marcelinho.camps@gmail.com</v>
          </cell>
        </row>
        <row r="148">
          <cell r="A148" t="str">
            <v>CHAMBERLAIN DO CARMO SIERPINSKI</v>
          </cell>
          <cell r="B148">
            <v>2055</v>
          </cell>
          <cell r="C148" t="str">
            <v>c.sierpinski@gmail.com</v>
          </cell>
        </row>
        <row r="149">
          <cell r="A149" t="str">
            <v>MARIA LAUDICEA MENDES FELIPE</v>
          </cell>
          <cell r="B149">
            <v>2065</v>
          </cell>
          <cell r="C149" t="str">
            <v>Marialau557@gmail.com</v>
          </cell>
        </row>
        <row r="150">
          <cell r="A150" t="str">
            <v>ROGERIO REINALDO DE LIMA</v>
          </cell>
          <cell r="B150">
            <v>2075</v>
          </cell>
          <cell r="C150" t="str">
            <v>rogerioreinaldo12@gmail.com</v>
          </cell>
        </row>
        <row r="151">
          <cell r="A151" t="str">
            <v>MARCIO ROBERTO DA SILVA MENDES</v>
          </cell>
          <cell r="B151">
            <v>2077</v>
          </cell>
          <cell r="C151" t="str">
            <v>marciomendes.21@hotmail.com</v>
          </cell>
        </row>
        <row r="152">
          <cell r="A152" t="str">
            <v>WILSON DIAS DE CASTRO JUNIOR</v>
          </cell>
          <cell r="B152">
            <v>2079</v>
          </cell>
          <cell r="C152" t="str">
            <v>Diascastro17@gmail.com</v>
          </cell>
        </row>
        <row r="153">
          <cell r="A153" t="str">
            <v>JOAO PEDRO VIANA</v>
          </cell>
          <cell r="B153">
            <v>2086</v>
          </cell>
          <cell r="C153" t="str">
            <v xml:space="preserve">viana59br@gmail.com </v>
          </cell>
        </row>
        <row r="154">
          <cell r="A154" t="str">
            <v>CLAUDIO LUIZ ALVES VIANA</v>
          </cell>
          <cell r="B154">
            <v>2095</v>
          </cell>
          <cell r="C154" t="str">
            <v>claudiolaviana@icloud.com</v>
          </cell>
        </row>
        <row r="155">
          <cell r="A155" t="str">
            <v>GUILHERME HENRIQUE CAMARGO BASSO</v>
          </cell>
          <cell r="B155">
            <v>2099</v>
          </cell>
          <cell r="C155" t="str">
            <v>guihc.com@hotmail.com</v>
          </cell>
        </row>
        <row r="156">
          <cell r="A156" t="str">
            <v>SILVIO PEREIRA</v>
          </cell>
          <cell r="B156">
            <v>2105</v>
          </cell>
          <cell r="C156" t="str">
            <v>spefamilia@gmail.com</v>
          </cell>
        </row>
        <row r="157">
          <cell r="A157" t="str">
            <v>PAULO ROBERTO DE ARAUJO</v>
          </cell>
          <cell r="B157">
            <v>2124</v>
          </cell>
          <cell r="C157" t="str">
            <v>araujopaulo77@outlook.com</v>
          </cell>
        </row>
        <row r="158">
          <cell r="A158" t="str">
            <v>CARLOS ALBERTO DA SILVA OLIVEIRA ARAUJO</v>
          </cell>
          <cell r="B158">
            <v>2126</v>
          </cell>
          <cell r="C158" t="str">
            <v>albertooliveira.carlos12@gmail.com</v>
          </cell>
        </row>
        <row r="159">
          <cell r="A159" t="str">
            <v>ALEX SANDRO SANTOS MENESES</v>
          </cell>
          <cell r="B159">
            <v>2157</v>
          </cell>
          <cell r="C159" t="str">
            <v>alexsinis@gmail.com</v>
          </cell>
        </row>
        <row r="160">
          <cell r="A160" t="str">
            <v>ROBERTA RODRIGUES RIBEIRO</v>
          </cell>
          <cell r="B160">
            <v>2171</v>
          </cell>
          <cell r="C160" t="str">
            <v>robertarodriguesr@hotmail.com</v>
          </cell>
        </row>
        <row r="161">
          <cell r="A161" t="str">
            <v>ROBERTO BOMFIM DA SILVA</v>
          </cell>
          <cell r="B161">
            <v>2187</v>
          </cell>
          <cell r="C161" t="str">
            <v>rob.bomfim@gmail.com</v>
          </cell>
        </row>
        <row r="162">
          <cell r="A162" t="str">
            <v>SERGIO RICARDO MULERO</v>
          </cell>
          <cell r="B162">
            <v>2188</v>
          </cell>
          <cell r="C162" t="str">
            <v xml:space="preserve">Sergiomulero@gmail.com </v>
          </cell>
        </row>
        <row r="163">
          <cell r="A163" t="str">
            <v>CARLOS ANDRE FRAZAO FURTADO JUNIOR</v>
          </cell>
          <cell r="B163">
            <v>2201</v>
          </cell>
          <cell r="C163" t="str">
            <v>carlosfurtadojr@outlook.com</v>
          </cell>
        </row>
        <row r="164">
          <cell r="A164" t="str">
            <v>RAFAEL GALANTE DOS SANTOS</v>
          </cell>
          <cell r="B164">
            <v>2228</v>
          </cell>
          <cell r="C164" t="str">
            <v>rafa.galante@gmail.com</v>
          </cell>
        </row>
        <row r="165">
          <cell r="A165" t="str">
            <v>LUAN ANDRADE DOS SANTOS</v>
          </cell>
          <cell r="B165">
            <v>2230</v>
          </cell>
          <cell r="C165" t="str">
            <v xml:space="preserve">Luan_nsv2@hotmail.com </v>
          </cell>
        </row>
        <row r="166">
          <cell r="A166" t="str">
            <v>DANIELA CAMARA CHIORO</v>
          </cell>
          <cell r="B166">
            <v>2231</v>
          </cell>
          <cell r="C166" t="str">
            <v>d.chioro@btp.com.br</v>
          </cell>
        </row>
        <row r="167">
          <cell r="A167" t="str">
            <v>SERGIO RICARDO E SOUZA</v>
          </cell>
          <cell r="B167">
            <v>2233</v>
          </cell>
          <cell r="C167" t="str">
            <v>s.ricardo@btp.com.br</v>
          </cell>
        </row>
        <row r="168">
          <cell r="A168" t="str">
            <v>ANDERSON MARACAIPE LEITE</v>
          </cell>
          <cell r="B168">
            <v>2246</v>
          </cell>
          <cell r="C168" t="str">
            <v>maracaipeanderson@gmail.com</v>
          </cell>
        </row>
        <row r="169">
          <cell r="A169" t="str">
            <v>PAULO CESAR NASCIMENTO SANTOS</v>
          </cell>
          <cell r="B169">
            <v>2250</v>
          </cell>
          <cell r="C169" t="str">
            <v>Paulinho00013@hotmail.com</v>
          </cell>
        </row>
        <row r="170">
          <cell r="A170" t="str">
            <v>CARLOS ROBERTO LIMA MARTINS</v>
          </cell>
          <cell r="B170">
            <v>2258</v>
          </cell>
          <cell r="C170" t="str">
            <v>Cestarimartins@hotmail.com</v>
          </cell>
        </row>
        <row r="171">
          <cell r="A171" t="str">
            <v>REGINA CLAUDIA SANTOS MESQUITA</v>
          </cell>
          <cell r="B171">
            <v>2278</v>
          </cell>
          <cell r="C171" t="str">
            <v>gininhaalmeidazinha@gmail.com</v>
          </cell>
        </row>
        <row r="172">
          <cell r="A172" t="str">
            <v>MAYLSON DA SILVA PEDROSA</v>
          </cell>
          <cell r="B172">
            <v>2295</v>
          </cell>
          <cell r="C172" t="str">
            <v>Maylson.pedrosa@gmail.com</v>
          </cell>
        </row>
        <row r="173">
          <cell r="A173" t="str">
            <v>SHERIDAN ATANES</v>
          </cell>
          <cell r="B173">
            <v>2309</v>
          </cell>
          <cell r="C173" t="str">
            <v>atanes1978@gmail.com</v>
          </cell>
        </row>
        <row r="174">
          <cell r="A174" t="str">
            <v>RAFAELLE ALVES DOS SANTOS</v>
          </cell>
          <cell r="B174">
            <v>2316</v>
          </cell>
          <cell r="C174" t="str">
            <v>rafaellealves.camps@gmail.com</v>
          </cell>
        </row>
        <row r="175">
          <cell r="A175" t="str">
            <v>JOSE SOBRAL NETO</v>
          </cell>
          <cell r="B175">
            <v>2352</v>
          </cell>
          <cell r="C175" t="str">
            <v>jose-sobral-neto@hotmail.com</v>
          </cell>
        </row>
        <row r="176">
          <cell r="A176" t="str">
            <v>SANDRO ALVES DE SOUZA</v>
          </cell>
          <cell r="B176">
            <v>2355</v>
          </cell>
          <cell r="C176" t="str">
            <v>Sandroalves@gmail.com</v>
          </cell>
        </row>
        <row r="177">
          <cell r="A177" t="str">
            <v>PEDRO HENRIQUE TEIXEIRA EXPEDITO</v>
          </cell>
          <cell r="B177">
            <v>2362</v>
          </cell>
          <cell r="C177" t="str">
            <v>expeditopedrohenrique@gmail.com</v>
          </cell>
        </row>
        <row r="178">
          <cell r="A178" t="str">
            <v>WALTER DOS SANTOS ABREU</v>
          </cell>
          <cell r="B178">
            <v>2365</v>
          </cell>
          <cell r="C178" t="str">
            <v xml:space="preserve">Wsabreu1@hotmail.com </v>
          </cell>
        </row>
        <row r="179">
          <cell r="A179" t="str">
            <v>FABIANO RODRIGUES</v>
          </cell>
          <cell r="B179">
            <v>2366</v>
          </cell>
          <cell r="C179" t="str">
            <v>biano.tdb71@hotmail.com</v>
          </cell>
        </row>
        <row r="180">
          <cell r="A180" t="str">
            <v>MELKISEDEK ALMEIDA MASCARENHAS</v>
          </cell>
          <cell r="B180">
            <v>2367</v>
          </cell>
          <cell r="C180" t="str">
            <v>melkis155@gmail.com</v>
          </cell>
        </row>
        <row r="181">
          <cell r="A181" t="str">
            <v>FRANCISCO UBIRACI DE MOURA</v>
          </cell>
          <cell r="B181">
            <v>2371</v>
          </cell>
          <cell r="C181" t="str">
            <v>fubiraci@gmail.com</v>
          </cell>
        </row>
        <row r="182">
          <cell r="A182" t="str">
            <v>ISRAEL SOUZA DE JESUS</v>
          </cell>
          <cell r="B182">
            <v>2384</v>
          </cell>
          <cell r="C182" t="str">
            <v>israelsouzadejesus36@gmail.com</v>
          </cell>
        </row>
        <row r="183">
          <cell r="A183" t="str">
            <v>ADRIANO DA SILVA E SILVA</v>
          </cell>
          <cell r="B183">
            <v>2394</v>
          </cell>
          <cell r="C183" t="str">
            <v>adrianosl_silva@hotmail.com</v>
          </cell>
        </row>
        <row r="184">
          <cell r="A184" t="str">
            <v>ADRIANO DOS SANTOS NASCIMENTO</v>
          </cell>
          <cell r="B184">
            <v>2398</v>
          </cell>
          <cell r="C184" t="str">
            <v>Adrianodsnascimento03@gmail.com</v>
          </cell>
        </row>
        <row r="185">
          <cell r="A185" t="str">
            <v>EVERTON DA SILVA COSTA</v>
          </cell>
          <cell r="B185">
            <v>2419</v>
          </cell>
          <cell r="C185" t="str">
            <v>e.scosta@btp.com.br</v>
          </cell>
        </row>
        <row r="186">
          <cell r="A186" t="str">
            <v>JENIFFER VIEIRA</v>
          </cell>
          <cell r="B186">
            <v>2423</v>
          </cell>
          <cell r="C186" t="str">
            <v>jeniffer.veira1215@gmail.com</v>
          </cell>
        </row>
        <row r="187">
          <cell r="A187" t="str">
            <v>ALEX ALMEIDA DOS SANTOS</v>
          </cell>
          <cell r="B187">
            <v>2429</v>
          </cell>
          <cell r="C187" t="str">
            <v>Alexsantostt33@outlook.com</v>
          </cell>
        </row>
        <row r="188">
          <cell r="A188" t="str">
            <v>ALLISON DA COSTA DE FREITAS</v>
          </cell>
          <cell r="B188">
            <v>2431</v>
          </cell>
          <cell r="C188" t="str">
            <v>Allisongj2@gmail.com</v>
          </cell>
        </row>
        <row r="189">
          <cell r="A189" t="str">
            <v>FLAVIO TERTULIANO DA CRUZ</v>
          </cell>
          <cell r="B189">
            <v>2446</v>
          </cell>
          <cell r="C189" t="str">
            <v>cflavio285@gmail.com</v>
          </cell>
        </row>
        <row r="190">
          <cell r="A190" t="str">
            <v>ANDERSON LIMA DE SOUZA</v>
          </cell>
          <cell r="B190">
            <v>2468</v>
          </cell>
          <cell r="C190" t="str">
            <v>Anderson_lima_00@hotmail.com</v>
          </cell>
        </row>
        <row r="191">
          <cell r="A191" t="str">
            <v>BRUNO HENRIQUE DE SOUZA SANTOS</v>
          </cell>
          <cell r="B191">
            <v>2469</v>
          </cell>
          <cell r="C191" t="str">
            <v>bhs.santos@hotmail.com</v>
          </cell>
        </row>
        <row r="192">
          <cell r="A192" t="str">
            <v>CASSIO ONORIO DA SILVA JUNIOR</v>
          </cell>
          <cell r="B192">
            <v>2472</v>
          </cell>
          <cell r="C192" t="str">
            <v xml:space="preserve">cassio.o.silvajr@gmail.com </v>
          </cell>
        </row>
        <row r="193">
          <cell r="A193" t="str">
            <v>JOAO KAIO GOMES FERNANDES</v>
          </cell>
          <cell r="B193">
            <v>2481</v>
          </cell>
          <cell r="C193" t="str">
            <v>joaokaiog10@gmail.com</v>
          </cell>
        </row>
        <row r="194">
          <cell r="A194" t="str">
            <v>LUIZ RICARDO DE SOUZA</v>
          </cell>
          <cell r="B194">
            <v>2482</v>
          </cell>
          <cell r="C194" t="str">
            <v>Luiz Ricardo de Souza</v>
          </cell>
        </row>
        <row r="195">
          <cell r="A195" t="str">
            <v>JOSE CLAUDIO DOS SANTOS</v>
          </cell>
          <cell r="B195">
            <v>2491</v>
          </cell>
          <cell r="C195" t="str">
            <v>claudio.stoss39@gmail.com</v>
          </cell>
        </row>
        <row r="196">
          <cell r="A196" t="str">
            <v>NELSON MOREIRA</v>
          </cell>
          <cell r="B196">
            <v>2498</v>
          </cell>
          <cell r="C196" t="str">
            <v>nelsonmoreiraestiva@outlook.com</v>
          </cell>
        </row>
        <row r="197">
          <cell r="A197" t="str">
            <v>JOAO VICTOR TORRES GUIMARAES</v>
          </cell>
          <cell r="B197">
            <v>2505</v>
          </cell>
          <cell r="C197" t="str">
            <v>joaotorresguimaraes@gmail.com</v>
          </cell>
        </row>
        <row r="198">
          <cell r="A198" t="str">
            <v>EVANDRO MARTINS BORGES</v>
          </cell>
          <cell r="B198">
            <v>2508</v>
          </cell>
          <cell r="C198" t="str">
            <v>evandro.borges@hotmail.com</v>
          </cell>
        </row>
        <row r="199">
          <cell r="A199" t="str">
            <v>KLEBER CORREIA BONFIM</v>
          </cell>
          <cell r="B199">
            <v>2515</v>
          </cell>
          <cell r="C199" t="str">
            <v>klebercbonfimjuh1982@gmail.com</v>
          </cell>
        </row>
        <row r="200">
          <cell r="A200" t="str">
            <v>CARLOS RUBENS CRUZ JUNIOR</v>
          </cell>
          <cell r="B200">
            <v>2522</v>
          </cell>
          <cell r="C200" t="str">
            <v>carlosrevolta.cruz@gmail.com</v>
          </cell>
        </row>
        <row r="201">
          <cell r="A201" t="str">
            <v>MARCO DIMAS PEREIRA JUNIOR</v>
          </cell>
          <cell r="B201">
            <v>2533</v>
          </cell>
          <cell r="C201" t="str">
            <v>marcojuninho02@gmail.com</v>
          </cell>
        </row>
        <row r="202">
          <cell r="A202" t="str">
            <v>DANILO GOUVEIA FERNANDES</v>
          </cell>
          <cell r="B202">
            <v>2536</v>
          </cell>
          <cell r="C202" t="str">
            <v xml:space="preserve">Danilo Gouveia Fernandes </v>
          </cell>
        </row>
        <row r="203">
          <cell r="A203" t="str">
            <v>DANILO RODRIGUES DOS ANJOS</v>
          </cell>
          <cell r="B203">
            <v>2538</v>
          </cell>
          <cell r="C203" t="str">
            <v>danilo_anjos15@hotmail.com</v>
          </cell>
        </row>
        <row r="204">
          <cell r="A204" t="str">
            <v>ANDREIA ALONSO LINNA</v>
          </cell>
          <cell r="B204">
            <v>2542</v>
          </cell>
          <cell r="C204" t="str">
            <v>a.alonso@btp.com.br</v>
          </cell>
        </row>
        <row r="205">
          <cell r="A205" t="str">
            <v>SABRINA MELO LIMA</v>
          </cell>
          <cell r="B205">
            <v>2549</v>
          </cell>
          <cell r="C205" t="str">
            <v>sabrinamlima02@gmail.com</v>
          </cell>
        </row>
        <row r="206">
          <cell r="A206" t="str">
            <v>PAULA ROBERTA FLORINDO DOS SANTOS</v>
          </cell>
          <cell r="B206">
            <v>2561</v>
          </cell>
          <cell r="C206" t="str">
            <v>paulaflorindosantos@gmail.com</v>
          </cell>
        </row>
        <row r="207">
          <cell r="A207" t="str">
            <v>GUILHERME VASCONCELOS PEREIRA</v>
          </cell>
          <cell r="B207">
            <v>2576</v>
          </cell>
          <cell r="C207" t="str">
            <v>guilherme_vasconcelos@outlook.com.br</v>
          </cell>
        </row>
        <row r="208">
          <cell r="A208" t="str">
            <v>DANIELA SILVA DIAS</v>
          </cell>
          <cell r="B208">
            <v>2578</v>
          </cell>
          <cell r="C208" t="str">
            <v>danielasdias@bol.com.br</v>
          </cell>
        </row>
        <row r="209">
          <cell r="A209" t="str">
            <v>CARLA DE SOUZA PERSICH TEIXEIRA</v>
          </cell>
          <cell r="B209">
            <v>2580</v>
          </cell>
          <cell r="C209" t="str">
            <v>carlinha_persich@hotmail.com</v>
          </cell>
        </row>
        <row r="210">
          <cell r="A210" t="str">
            <v>FATIMA CABRAL SALES</v>
          </cell>
          <cell r="B210">
            <v>2581</v>
          </cell>
          <cell r="C210" t="str">
            <v>Fatimacabral@live.com</v>
          </cell>
        </row>
        <row r="211">
          <cell r="A211" t="str">
            <v>HELLEN CAMARGO NEVES</v>
          </cell>
          <cell r="B211">
            <v>2582</v>
          </cell>
          <cell r="C211" t="str">
            <v>hellencneves@outlook.com</v>
          </cell>
        </row>
        <row r="212">
          <cell r="A212" t="str">
            <v>RICARDO VIEIRA SILVA</v>
          </cell>
          <cell r="B212">
            <v>2584</v>
          </cell>
          <cell r="C212" t="str">
            <v>ricardo.vieiras@outlook.com.br</v>
          </cell>
        </row>
        <row r="213">
          <cell r="A213" t="str">
            <v>JAQUELINE NOGUEIRA CLEMENTINO</v>
          </cell>
          <cell r="B213">
            <v>2585</v>
          </cell>
          <cell r="C213" t="str">
            <v>jaquelinenogueira21253022@gmail.com</v>
          </cell>
        </row>
        <row r="214">
          <cell r="A214" t="str">
            <v>LEANDRO FELIPE DA SILVA</v>
          </cell>
          <cell r="B214">
            <v>2586</v>
          </cell>
          <cell r="C214" t="str">
            <v>leandrofesilva26@gmail.com</v>
          </cell>
        </row>
        <row r="215">
          <cell r="A215" t="str">
            <v>LEANDRO ALMEIDA SANTOS</v>
          </cell>
          <cell r="B215">
            <v>2587</v>
          </cell>
          <cell r="C215" t="str">
            <v>leandro.almeidasantos@gmail.com</v>
          </cell>
        </row>
        <row r="216">
          <cell r="A216" t="str">
            <v>WILSON DA PAIXAO DOS ANJOS</v>
          </cell>
          <cell r="B216">
            <v>2590</v>
          </cell>
          <cell r="C216" t="str">
            <v>WILSON.PANJOS282@GMAIL.COM</v>
          </cell>
        </row>
        <row r="217">
          <cell r="A217" t="str">
            <v>JAIRO MENEZES DA SILVA</v>
          </cell>
          <cell r="B217">
            <v>2592</v>
          </cell>
          <cell r="C217" t="str">
            <v>jairomenezes@hotmail.com</v>
          </cell>
        </row>
        <row r="218">
          <cell r="A218" t="str">
            <v>VICTOR CLAUDINEY BATISTA DO REGO</v>
          </cell>
          <cell r="B218">
            <v>2600</v>
          </cell>
          <cell r="C218" t="str">
            <v>victorcbr@bol.com.br</v>
          </cell>
        </row>
        <row r="219">
          <cell r="A219" t="str">
            <v>FELIPE SILVA RUDRIGUES DOS SANTOS</v>
          </cell>
          <cell r="B219">
            <v>2601</v>
          </cell>
          <cell r="C219" t="str">
            <v>felipes.r1212@gmail.com</v>
          </cell>
        </row>
        <row r="220">
          <cell r="A220" t="str">
            <v>VLADIMIR DOS SANTOS PRADO JUNIOR</v>
          </cell>
          <cell r="B220">
            <v>2602</v>
          </cell>
          <cell r="C220" t="str">
            <v>vladimir.prado94@gmail.com</v>
          </cell>
        </row>
        <row r="221">
          <cell r="A221" t="str">
            <v>FABRICIO DA SILVA FRANCISCO</v>
          </cell>
          <cell r="B221">
            <v>2604</v>
          </cell>
          <cell r="C221" t="str">
            <v>fabricio.silva31@hotmail.com</v>
          </cell>
        </row>
        <row r="222">
          <cell r="A222" t="str">
            <v>ANDRE LUIZ SILVA DA CRUZ</v>
          </cell>
          <cell r="B222">
            <v>2611</v>
          </cell>
          <cell r="C222" t="str">
            <v>Andrelscruz1982@gmail.com</v>
          </cell>
        </row>
        <row r="223">
          <cell r="A223" t="str">
            <v>MATHEUS DA SILVA</v>
          </cell>
          <cell r="B223">
            <v>2618</v>
          </cell>
          <cell r="C223" t="str">
            <v>matheusbnh1@gmail.com</v>
          </cell>
        </row>
        <row r="224">
          <cell r="A224" t="str">
            <v>SILAS FARIAS DA SILVA</v>
          </cell>
          <cell r="B224">
            <v>2619</v>
          </cell>
          <cell r="C224" t="str">
            <v>Silas.mavic@outlook.com</v>
          </cell>
        </row>
        <row r="225">
          <cell r="A225" t="str">
            <v>VINICIUS PINTO DE CASTILHO</v>
          </cell>
          <cell r="B225">
            <v>2641</v>
          </cell>
          <cell r="C225" t="str">
            <v>vini.jamy@hotmail.com</v>
          </cell>
        </row>
        <row r="226">
          <cell r="A226" t="str">
            <v>FABRICIO FREDERICO VALERI WALKER</v>
          </cell>
          <cell r="B226">
            <v>2648</v>
          </cell>
          <cell r="C226" t="str">
            <v>Fabriciofvw@uol.com.br</v>
          </cell>
        </row>
        <row r="227">
          <cell r="A227" t="str">
            <v>WALLACE FERREIRA BRAZ</v>
          </cell>
          <cell r="B227">
            <v>2662</v>
          </cell>
          <cell r="C227" t="str">
            <v>wallace_fb@hotmail.com</v>
          </cell>
        </row>
        <row r="228">
          <cell r="A228" t="str">
            <v>SERGIO ROGERIO CAMPOS CORREIA</v>
          </cell>
          <cell r="B228">
            <v>2669</v>
          </cell>
          <cell r="C228" t="str">
            <v>src.campos.correia@gmail.com</v>
          </cell>
        </row>
        <row r="229">
          <cell r="A229" t="str">
            <v>RENAN ROBERTO FERNANDES</v>
          </cell>
          <cell r="B229">
            <v>2670</v>
          </cell>
          <cell r="C229" t="str">
            <v>rrf.010201@gmail.com</v>
          </cell>
        </row>
        <row r="230">
          <cell r="A230" t="str">
            <v>MATHEUS SANTOS DE CARVALHO</v>
          </cell>
          <cell r="B230">
            <v>2672</v>
          </cell>
          <cell r="C230" t="str">
            <v>m.scarvalho@btp.com.br</v>
          </cell>
        </row>
        <row r="231">
          <cell r="A231" t="str">
            <v>ALEXANDRE SOARES VIEIRA DA SILVA</v>
          </cell>
          <cell r="B231">
            <v>2680</v>
          </cell>
          <cell r="C231" t="str">
            <v>alexandre_soaresgja@hotmail.com</v>
          </cell>
        </row>
        <row r="232">
          <cell r="A232" t="str">
            <v>GUILHERME TORRES TEIXEIRA</v>
          </cell>
          <cell r="B232">
            <v>2681</v>
          </cell>
          <cell r="C232" t="str">
            <v xml:space="preserve">gtorresteixeira@yahoo.com.br </v>
          </cell>
        </row>
        <row r="233">
          <cell r="A233" t="str">
            <v>THIAGO VASCONCELOS SANTOS NERES</v>
          </cell>
          <cell r="B233">
            <v>2691</v>
          </cell>
          <cell r="C233" t="str">
            <v>tvsn0077@gmail.com</v>
          </cell>
        </row>
        <row r="234">
          <cell r="A234" t="str">
            <v>MARCELLO AUGUSTO GODOY PEREZ</v>
          </cell>
          <cell r="B234">
            <v>2705</v>
          </cell>
          <cell r="C234" t="str">
            <v>Marcellobrancoperez@gmail.com</v>
          </cell>
        </row>
        <row r="235">
          <cell r="A235" t="str">
            <v>HENRIQUE AUGUSTO ALMEIDA SOARES</v>
          </cell>
          <cell r="B235">
            <v>2710</v>
          </cell>
          <cell r="C235" t="str">
            <v>henriqueaas20@gmail.com</v>
          </cell>
        </row>
        <row r="236">
          <cell r="A236" t="str">
            <v>RODRIGO BATISTA DOS REIS</v>
          </cell>
          <cell r="B236">
            <v>2711</v>
          </cell>
          <cell r="C236" t="str">
            <v>rodrigobp58@hotmail.com</v>
          </cell>
        </row>
        <row r="237">
          <cell r="A237" t="str">
            <v>FELIPE GOES NAZARIO</v>
          </cell>
          <cell r="B237">
            <v>2718</v>
          </cell>
          <cell r="C237" t="str">
            <v>Felipegoes.n@gmail.com</v>
          </cell>
        </row>
        <row r="238">
          <cell r="A238" t="str">
            <v>EDER SANTOS SANTANA</v>
          </cell>
          <cell r="B238">
            <v>2722</v>
          </cell>
          <cell r="C238" t="str">
            <v>ederemariaclara@hotmail.com</v>
          </cell>
        </row>
        <row r="239">
          <cell r="A239" t="str">
            <v>EDSON FLAVIO MEDEIROS DE FIGUEIREDO</v>
          </cell>
          <cell r="B239">
            <v>2724</v>
          </cell>
          <cell r="C239" t="str">
            <v>flavio2783@gmail.com</v>
          </cell>
        </row>
        <row r="240">
          <cell r="A240" t="str">
            <v>ROMERITO DA SILVA CRUZ</v>
          </cell>
          <cell r="B240">
            <v>2733</v>
          </cell>
          <cell r="C240" t="str">
            <v>r.silvacr@btp.com.br</v>
          </cell>
        </row>
        <row r="241">
          <cell r="A241" t="str">
            <v>HUMBERTO FRANCISCO SANTOS</v>
          </cell>
          <cell r="B241">
            <v>2735</v>
          </cell>
          <cell r="C241" t="str">
            <v>beto.hfs.95@hotmail.com</v>
          </cell>
        </row>
        <row r="242">
          <cell r="A242" t="str">
            <v>MATHEUS RITTER RUAS</v>
          </cell>
          <cell r="B242">
            <v>2744</v>
          </cell>
          <cell r="C242" t="str">
            <v>matheus.rruas@gmail.com / m.ruas@btp.com.br</v>
          </cell>
        </row>
        <row r="243">
          <cell r="A243" t="str">
            <v>ANDERSON CORREA JOAQUIM</v>
          </cell>
          <cell r="B243">
            <v>2748</v>
          </cell>
          <cell r="C243" t="str">
            <v>cometa16108@gmail.com</v>
          </cell>
        </row>
        <row r="244">
          <cell r="A244" t="str">
            <v>ANDERSON CLEITON FERREIRA GALDINO</v>
          </cell>
          <cell r="B244">
            <v>2750</v>
          </cell>
          <cell r="C244" t="str">
            <v>Atwist21.at@gmail.com</v>
          </cell>
        </row>
        <row r="245">
          <cell r="A245" t="str">
            <v>ALEXANDRE MENDONÇA LUTA</v>
          </cell>
          <cell r="B245">
            <v>2757</v>
          </cell>
          <cell r="C245" t="str">
            <v>a.luta@btp.com.br</v>
          </cell>
        </row>
        <row r="246">
          <cell r="A246" t="str">
            <v>GUILHERME LIMA DE OLIVEIRA</v>
          </cell>
          <cell r="B246">
            <v>2763</v>
          </cell>
          <cell r="C246" t="str">
            <v>Guilhermelimadeoliveirabr@gmail.com</v>
          </cell>
        </row>
        <row r="247">
          <cell r="A247" t="str">
            <v>MARIANA ZIMERMAN MILITAO</v>
          </cell>
          <cell r="B247">
            <v>2765</v>
          </cell>
          <cell r="C247" t="str">
            <v>marizimerman01@gmail.com</v>
          </cell>
        </row>
        <row r="248">
          <cell r="A248" t="str">
            <v>ALINNE ALCANTARA CARVALHO</v>
          </cell>
          <cell r="B248">
            <v>2772</v>
          </cell>
          <cell r="C248" t="str">
            <v>alinneacarvalho@gmail.com</v>
          </cell>
        </row>
        <row r="249">
          <cell r="A249" t="str">
            <v>NATALIA SANTOS REIS DE ANDRADE DA SILVA</v>
          </cell>
          <cell r="B249">
            <v>2774</v>
          </cell>
          <cell r="C249" t="str">
            <v>natalia_sras@yahoo.com.br</v>
          </cell>
        </row>
        <row r="250">
          <cell r="A250" t="str">
            <v>THIAGO BICHIAROV CORREA</v>
          </cell>
          <cell r="B250">
            <v>2776</v>
          </cell>
          <cell r="C250" t="str">
            <v>thiago.correa58@gmail.com</v>
          </cell>
        </row>
        <row r="251">
          <cell r="A251" t="str">
            <v>JOSE ROBERTO LAURIA JUNIOR</v>
          </cell>
          <cell r="B251">
            <v>2781</v>
          </cell>
          <cell r="C251" t="str">
            <v xml:space="preserve">betolauria@hotmail.com </v>
          </cell>
        </row>
        <row r="252">
          <cell r="A252" t="str">
            <v>CRISTIANO DE LIMA OLIVEIRA</v>
          </cell>
          <cell r="B252">
            <v>2791</v>
          </cell>
          <cell r="C252" t="str">
            <v>cristiano.vnr4@hotmail.com</v>
          </cell>
        </row>
        <row r="253">
          <cell r="A253" t="str">
            <v>CLAUDIO PIMENTEL LOPEZ</v>
          </cell>
          <cell r="B253">
            <v>2818</v>
          </cell>
          <cell r="C253" t="str">
            <v>c.pimentellopez@yahoo.com.br</v>
          </cell>
        </row>
        <row r="254">
          <cell r="A254" t="str">
            <v>EDEMILSON NASCIMENTO DOS SANTOS</v>
          </cell>
          <cell r="B254">
            <v>2828</v>
          </cell>
          <cell r="C254" t="str">
            <v>edienascimento@gmail.com</v>
          </cell>
        </row>
        <row r="255">
          <cell r="A255" t="str">
            <v>LUIZ ROBERTO BENEDITO JUNIOR</v>
          </cell>
          <cell r="B255">
            <v>2847</v>
          </cell>
          <cell r="C255" t="str">
            <v>luizbene80@gmail.com</v>
          </cell>
        </row>
        <row r="256">
          <cell r="A256" t="str">
            <v>LUAN BORGES DOS SANTOS</v>
          </cell>
          <cell r="B256">
            <v>2853</v>
          </cell>
          <cell r="C256" t="str">
            <v>Bluan903@gmail.com</v>
          </cell>
        </row>
        <row r="257">
          <cell r="A257" t="str">
            <v>ELISANGELA MARTINHO DA SILVA</v>
          </cell>
          <cell r="B257">
            <v>2872</v>
          </cell>
          <cell r="C257" t="str">
            <v>elisangelamartinho22@gmail.com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1"/>
    </sheetNames>
    <sheetDataSet>
      <sheetData sheetId="0" refreshError="1">
        <row r="1">
          <cell r="A1" t="str">
            <v>Nome</v>
          </cell>
          <cell r="B1" t="str">
            <v>Estado Civil</v>
          </cell>
          <cell r="C1" t="str">
            <v>Endereço LOGRADOURO</v>
          </cell>
          <cell r="D1" t="str">
            <v>Endereço BAIRRO</v>
          </cell>
          <cell r="E1" t="str">
            <v>Endereço MUNICIPIO</v>
          </cell>
          <cell r="F1" t="str">
            <v>Endereço ESTADO</v>
          </cell>
          <cell r="G1" t="str">
            <v>Endereço NUMERO</v>
          </cell>
          <cell r="H1" t="str">
            <v>Endereço COMPLEMENTO</v>
          </cell>
          <cell r="I1" t="str">
            <v>CEP</v>
          </cell>
          <cell r="J1" t="str">
            <v>Telefone 1</v>
          </cell>
          <cell r="K1" t="str">
            <v>Telefone 2</v>
          </cell>
          <cell r="L1" t="str">
            <v>SEXO</v>
          </cell>
          <cell r="M1" t="str">
            <v>RAÇA</v>
          </cell>
          <cell r="N1" t="str">
            <v>DATA DE NASCIMENTO</v>
          </cell>
          <cell r="O1" t="str">
            <v>RG</v>
          </cell>
          <cell r="P1" t="str">
            <v>UF</v>
          </cell>
          <cell r="Q1" t="str">
            <v>LOCAL EXPED</v>
          </cell>
          <cell r="R1" t="str">
            <v>NATURALIDADE</v>
          </cell>
        </row>
        <row r="2">
          <cell r="A2" t="str">
            <v>ELISABETE RAMOS ORIFICE</v>
          </cell>
          <cell r="B2" t="str">
            <v>Casado</v>
          </cell>
          <cell r="C2" t="str">
            <v>R Doutor Arnaldo de Carvalho</v>
          </cell>
          <cell r="D2" t="str">
            <v>Campo Grande</v>
          </cell>
          <cell r="E2" t="str">
            <v>SANTOS</v>
          </cell>
          <cell r="F2" t="str">
            <v>SP</v>
          </cell>
          <cell r="G2" t="str">
            <v>64</v>
          </cell>
          <cell r="H2" t="str">
            <v>Apto 1507</v>
          </cell>
          <cell r="I2" t="str">
            <v>11075-430</v>
          </cell>
          <cell r="J2" t="str">
            <v>997391130</v>
          </cell>
          <cell r="K2" t="str">
            <v/>
          </cell>
          <cell r="L2" t="str">
            <v>Feminino</v>
          </cell>
          <cell r="M2" t="str">
            <v>Branca</v>
          </cell>
          <cell r="N2">
            <v>25651</v>
          </cell>
          <cell r="O2" t="str">
            <v>20822180</v>
          </cell>
          <cell r="P2" t="str">
            <v>SP</v>
          </cell>
          <cell r="Q2" t="str">
            <v>SSP</v>
          </cell>
          <cell r="R2" t="str">
            <v>SANTOS</v>
          </cell>
        </row>
        <row r="3">
          <cell r="A3" t="str">
            <v>MIGUEL ANGEL FERNANDEZ DA SILVA</v>
          </cell>
          <cell r="B3" t="str">
            <v>Divorciado</v>
          </cell>
          <cell r="C3" t="str">
            <v>R COMENDADOR MARTINS</v>
          </cell>
          <cell r="D3" t="str">
            <v>Encruzilhada</v>
          </cell>
          <cell r="E3" t="str">
            <v>SANTOS</v>
          </cell>
          <cell r="F3" t="str">
            <v>SP</v>
          </cell>
          <cell r="G3" t="str">
            <v>349</v>
          </cell>
          <cell r="H3" t="str">
            <v>82 A</v>
          </cell>
          <cell r="I3" t="str">
            <v>11050-310</v>
          </cell>
          <cell r="J3" t="str">
            <v>981176190</v>
          </cell>
          <cell r="K3" t="str">
            <v>997720836</v>
          </cell>
          <cell r="L3" t="str">
            <v>Masculino</v>
          </cell>
          <cell r="M3" t="str">
            <v>Branca</v>
          </cell>
          <cell r="N3">
            <v>24633</v>
          </cell>
          <cell r="O3" t="str">
            <v>271070195</v>
          </cell>
          <cell r="P3" t="str">
            <v>SP</v>
          </cell>
          <cell r="Q3" t="str">
            <v>SSP</v>
          </cell>
          <cell r="R3" t="str">
            <v/>
          </cell>
        </row>
        <row r="4">
          <cell r="A4" t="str">
            <v>ALEXANDRE ALVES DOS SANTOS</v>
          </cell>
          <cell r="B4" t="str">
            <v>Casado</v>
          </cell>
          <cell r="C4" t="str">
            <v>R Saulo de Castro Bicudo</v>
          </cell>
          <cell r="D4" t="str">
            <v>Esplanada dos Barreiros</v>
          </cell>
          <cell r="E4" t="str">
            <v>PRAIA GRANDE</v>
          </cell>
          <cell r="F4" t="str">
            <v>SP</v>
          </cell>
          <cell r="G4" t="str">
            <v>115</v>
          </cell>
          <cell r="H4" t="str">
            <v>casa 01</v>
          </cell>
          <cell r="I4" t="str">
            <v>11340-030</v>
          </cell>
          <cell r="J4" t="str">
            <v>997389907</v>
          </cell>
          <cell r="K4" t="str">
            <v/>
          </cell>
          <cell r="L4" t="str">
            <v>Masculino</v>
          </cell>
          <cell r="M4" t="str">
            <v>Preta/Negra</v>
          </cell>
          <cell r="N4">
            <v>27916</v>
          </cell>
          <cell r="O4" t="str">
            <v>279269997</v>
          </cell>
          <cell r="P4" t="str">
            <v>SP</v>
          </cell>
          <cell r="Q4" t="str">
            <v>SSP</v>
          </cell>
          <cell r="R4" t="str">
            <v>SANTOS</v>
          </cell>
        </row>
        <row r="5">
          <cell r="A5" t="str">
            <v>GUILHERME BORTOLUZZI</v>
          </cell>
          <cell r="B5" t="str">
            <v>Solteiro</v>
          </cell>
          <cell r="C5" t="str">
            <v>R Doutor Arnaldo de Carvalho</v>
          </cell>
          <cell r="D5" t="str">
            <v>Campo Grande</v>
          </cell>
          <cell r="E5" t="str">
            <v>SANTOS</v>
          </cell>
          <cell r="F5" t="str">
            <v>SP</v>
          </cell>
          <cell r="G5" t="str">
            <v>64</v>
          </cell>
          <cell r="H5" t="str">
            <v>1603</v>
          </cell>
          <cell r="I5" t="str">
            <v>11075-430</v>
          </cell>
          <cell r="J5" t="str">
            <v>996362743</v>
          </cell>
          <cell r="K5" t="str">
            <v/>
          </cell>
          <cell r="L5" t="str">
            <v>Masculino</v>
          </cell>
          <cell r="M5" t="str">
            <v>Branca</v>
          </cell>
          <cell r="N5">
            <v>30808</v>
          </cell>
          <cell r="O5" t="str">
            <v>437685895</v>
          </cell>
          <cell r="P5" t="str">
            <v>SP</v>
          </cell>
          <cell r="Q5" t="str">
            <v>SSP</v>
          </cell>
          <cell r="R5" t="str">
            <v>SAO JOSE DOS PINHAIS</v>
          </cell>
        </row>
        <row r="6">
          <cell r="A6" t="str">
            <v>RICARDO SERRA CASASCO</v>
          </cell>
          <cell r="B6" t="str">
            <v>Casado</v>
          </cell>
          <cell r="C6" t="str">
            <v>AV General Francisco Glicério</v>
          </cell>
          <cell r="D6" t="str">
            <v>Jose Menino</v>
          </cell>
          <cell r="E6" t="str">
            <v>SANTOS</v>
          </cell>
          <cell r="F6" t="str">
            <v>SP</v>
          </cell>
          <cell r="G6" t="str">
            <v>435</v>
          </cell>
          <cell r="H6" t="str">
            <v>APTO 103</v>
          </cell>
          <cell r="I6" t="str">
            <v>11065-403</v>
          </cell>
          <cell r="J6" t="str">
            <v/>
          </cell>
          <cell r="K6" t="str">
            <v/>
          </cell>
          <cell r="L6" t="str">
            <v>Masculino</v>
          </cell>
          <cell r="M6" t="str">
            <v>Branca</v>
          </cell>
          <cell r="N6">
            <v>28507</v>
          </cell>
          <cell r="O6" t="str">
            <v>22545466X</v>
          </cell>
          <cell r="P6" t="str">
            <v>SP</v>
          </cell>
          <cell r="Q6" t="str">
            <v>SSP</v>
          </cell>
          <cell r="R6" t="str">
            <v>SANTOS</v>
          </cell>
        </row>
        <row r="7">
          <cell r="A7" t="str">
            <v>FABIANA MORGANTE DE ALENCAR</v>
          </cell>
          <cell r="B7" t="str">
            <v>Casado</v>
          </cell>
          <cell r="C7" t="str">
            <v>R SALDANHA DA GAMA</v>
          </cell>
          <cell r="D7" t="str">
            <v>Itarare</v>
          </cell>
          <cell r="E7" t="str">
            <v>SAO VICENTE</v>
          </cell>
          <cell r="F7" t="str">
            <v>SP</v>
          </cell>
          <cell r="G7" t="str">
            <v>18</v>
          </cell>
          <cell r="H7" t="str">
            <v>AP 502</v>
          </cell>
          <cell r="I7" t="str">
            <v>11320-180</v>
          </cell>
          <cell r="J7" t="str">
            <v>97612756</v>
          </cell>
          <cell r="K7" t="str">
            <v/>
          </cell>
          <cell r="L7" t="str">
            <v>Feminino</v>
          </cell>
          <cell r="M7" t="str">
            <v>Branca</v>
          </cell>
          <cell r="N7">
            <v>27506</v>
          </cell>
          <cell r="O7" t="str">
            <v>251034501</v>
          </cell>
          <cell r="P7" t="str">
            <v>SP</v>
          </cell>
          <cell r="Q7" t="str">
            <v>SSP</v>
          </cell>
          <cell r="R7" t="str">
            <v>SANTO ANDRE</v>
          </cell>
        </row>
        <row r="8">
          <cell r="A8" t="str">
            <v>RICARDO AUGUSTO SANTANA GARCIA</v>
          </cell>
          <cell r="B8" t="str">
            <v>Casado</v>
          </cell>
          <cell r="C8" t="str">
            <v>R LIBERDADE</v>
          </cell>
          <cell r="D8" t="str">
            <v>Boqueirao</v>
          </cell>
          <cell r="E8" t="str">
            <v>SANTOS</v>
          </cell>
          <cell r="F8" t="str">
            <v>SP</v>
          </cell>
          <cell r="G8" t="str">
            <v>249</v>
          </cell>
          <cell r="H8" t="str">
            <v>casa baixa</v>
          </cell>
          <cell r="I8" t="str">
            <v>11025-030</v>
          </cell>
          <cell r="J8" t="str">
            <v>974071592</v>
          </cell>
          <cell r="K8" t="str">
            <v/>
          </cell>
          <cell r="L8" t="str">
            <v>Masculino</v>
          </cell>
          <cell r="M8" t="str">
            <v>Branca</v>
          </cell>
          <cell r="N8">
            <v>23430</v>
          </cell>
          <cell r="O8" t="str">
            <v>133551787</v>
          </cell>
          <cell r="P8" t="str">
            <v>SP</v>
          </cell>
          <cell r="Q8" t="str">
            <v>SSP</v>
          </cell>
          <cell r="R8" t="str">
            <v>SANTOS</v>
          </cell>
        </row>
        <row r="9">
          <cell r="A9" t="str">
            <v>CARLA TRINDADE DOS SANTOS</v>
          </cell>
          <cell r="B9" t="str">
            <v>Casado</v>
          </cell>
          <cell r="C9" t="str">
            <v>R PASTEUR</v>
          </cell>
          <cell r="D9" t="str">
            <v>Gonzaga</v>
          </cell>
          <cell r="E9" t="str">
            <v>SANTOS</v>
          </cell>
          <cell r="F9" t="str">
            <v>SP</v>
          </cell>
          <cell r="G9" t="str">
            <v>63</v>
          </cell>
          <cell r="H9" t="str">
            <v>AP 14</v>
          </cell>
          <cell r="I9" t="str">
            <v>11060-440</v>
          </cell>
          <cell r="J9" t="str">
            <v>32222028</v>
          </cell>
          <cell r="K9" t="str">
            <v/>
          </cell>
          <cell r="L9" t="str">
            <v>Feminino</v>
          </cell>
          <cell r="M9" t="str">
            <v>Branca</v>
          </cell>
          <cell r="N9">
            <v>27670</v>
          </cell>
          <cell r="O9" t="str">
            <v>250050791</v>
          </cell>
          <cell r="P9" t="str">
            <v>SP</v>
          </cell>
          <cell r="Q9" t="str">
            <v>SSP</v>
          </cell>
          <cell r="R9" t="str">
            <v>SANTOS</v>
          </cell>
        </row>
        <row r="10">
          <cell r="A10" t="str">
            <v>LEIA ALVES REIS</v>
          </cell>
          <cell r="B10" t="str">
            <v>Casado</v>
          </cell>
          <cell r="C10" t="str">
            <v>R General San Martin</v>
          </cell>
          <cell r="D10" t="str">
            <v>Jardim Independencia</v>
          </cell>
          <cell r="E10" t="str">
            <v>SAO VICENTE</v>
          </cell>
          <cell r="F10" t="str">
            <v>SP</v>
          </cell>
          <cell r="G10" t="str">
            <v>75</v>
          </cell>
          <cell r="H10" t="str">
            <v>AP 13</v>
          </cell>
          <cell r="I10" t="str">
            <v>11380-480</v>
          </cell>
          <cell r="J10" t="str">
            <v>91163386</v>
          </cell>
          <cell r="K10" t="str">
            <v/>
          </cell>
          <cell r="L10" t="str">
            <v>Feminino</v>
          </cell>
          <cell r="M10" t="str">
            <v>Branca</v>
          </cell>
          <cell r="N10">
            <v>27874</v>
          </cell>
          <cell r="O10" t="str">
            <v>26483091X</v>
          </cell>
          <cell r="P10" t="str">
            <v>SP</v>
          </cell>
          <cell r="Q10" t="str">
            <v>SSP</v>
          </cell>
          <cell r="R10" t="str">
            <v>SANTOS</v>
          </cell>
        </row>
        <row r="11">
          <cell r="A11" t="str">
            <v>GILBERTO PERES JUNIOR</v>
          </cell>
          <cell r="B11" t="str">
            <v>Solteiro</v>
          </cell>
          <cell r="C11" t="str">
            <v>R VISCONDE DE FARIA</v>
          </cell>
          <cell r="D11" t="str">
            <v>Campo Grande</v>
          </cell>
          <cell r="E11" t="str">
            <v>SANTOS</v>
          </cell>
          <cell r="F11" t="str">
            <v>SP</v>
          </cell>
          <cell r="G11" t="str">
            <v>22</v>
          </cell>
          <cell r="H11" t="str">
            <v>CASA 5</v>
          </cell>
          <cell r="I11" t="str">
            <v>11075-710</v>
          </cell>
          <cell r="J11" t="str">
            <v/>
          </cell>
          <cell r="K11" t="str">
            <v/>
          </cell>
          <cell r="L11" t="str">
            <v>Masculino</v>
          </cell>
          <cell r="M11" t="str">
            <v>Branca</v>
          </cell>
          <cell r="N11">
            <v>32092</v>
          </cell>
          <cell r="O11" t="str">
            <v>33877984X</v>
          </cell>
          <cell r="P11" t="str">
            <v>SP</v>
          </cell>
          <cell r="Q11" t="str">
            <v>SSP</v>
          </cell>
          <cell r="R11" t="str">
            <v>SAO PAULO</v>
          </cell>
        </row>
        <row r="12">
          <cell r="A12" t="str">
            <v>FABIO ANTONIO LOPEZ CARVALHO</v>
          </cell>
          <cell r="B12" t="str">
            <v>Casado</v>
          </cell>
          <cell r="C12" t="str">
            <v>R Jacob Emerick</v>
          </cell>
          <cell r="D12" t="str">
            <v>Centro</v>
          </cell>
          <cell r="E12" t="str">
            <v>SAO VICENTE</v>
          </cell>
          <cell r="F12" t="str">
            <v>SP</v>
          </cell>
          <cell r="G12" t="str">
            <v>154</v>
          </cell>
          <cell r="H12" t="str">
            <v>BL B AP 208</v>
          </cell>
          <cell r="I12" t="str">
            <v>11310-070</v>
          </cell>
          <cell r="J12" t="str">
            <v/>
          </cell>
          <cell r="K12" t="str">
            <v/>
          </cell>
          <cell r="L12" t="str">
            <v>Masculino</v>
          </cell>
          <cell r="M12" t="str">
            <v>Branca</v>
          </cell>
          <cell r="N12">
            <v>28094</v>
          </cell>
          <cell r="O12" t="str">
            <v>272345295</v>
          </cell>
          <cell r="P12" t="str">
            <v>SP</v>
          </cell>
          <cell r="Q12" t="str">
            <v>SSP</v>
          </cell>
          <cell r="R12" t="str">
            <v>SANTOS</v>
          </cell>
        </row>
        <row r="13">
          <cell r="A13" t="str">
            <v>JOEL CONTENTE DA SILVA JUNIOR</v>
          </cell>
          <cell r="B13" t="str">
            <v>Casado</v>
          </cell>
          <cell r="C13" t="str">
            <v>R Periquito</v>
          </cell>
          <cell r="D13" t="str">
            <v>Vila Uberabinha</v>
          </cell>
          <cell r="E13" t="str">
            <v>SAO PAULO</v>
          </cell>
          <cell r="F13" t="str">
            <v>SP</v>
          </cell>
          <cell r="G13" t="str">
            <v>210</v>
          </cell>
          <cell r="H13" t="str">
            <v>APTO 91 BL</v>
          </cell>
          <cell r="I13" t="str">
            <v>04514-050</v>
          </cell>
          <cell r="J13" t="str">
            <v>997373256</v>
          </cell>
          <cell r="K13" t="str">
            <v/>
          </cell>
          <cell r="L13" t="str">
            <v>Masculino</v>
          </cell>
          <cell r="M13" t="str">
            <v>Branca</v>
          </cell>
          <cell r="N13">
            <v>22846</v>
          </cell>
          <cell r="O13" t="str">
            <v>103719714</v>
          </cell>
          <cell r="P13" t="str">
            <v>SP</v>
          </cell>
          <cell r="Q13" t="str">
            <v>SSP</v>
          </cell>
          <cell r="R13" t="str">
            <v>ITAJAI</v>
          </cell>
        </row>
        <row r="14">
          <cell r="A14" t="str">
            <v>SIGRID MARIA MORAIS CLASS</v>
          </cell>
          <cell r="B14" t="str">
            <v>Divorciado</v>
          </cell>
          <cell r="C14" t="str">
            <v>R Particular Um</v>
          </cell>
          <cell r="D14" t="str">
            <v>Boqueirão</v>
          </cell>
          <cell r="E14" t="str">
            <v>PRAIA GRANDE</v>
          </cell>
          <cell r="F14" t="str">
            <v>SP</v>
          </cell>
          <cell r="G14" t="str">
            <v>50</v>
          </cell>
          <cell r="H14" t="str">
            <v>AP 72</v>
          </cell>
          <cell r="I14" t="str">
            <v>11701-022</v>
          </cell>
          <cell r="J14" t="str">
            <v/>
          </cell>
          <cell r="K14" t="str">
            <v/>
          </cell>
          <cell r="L14" t="str">
            <v>Feminino</v>
          </cell>
          <cell r="M14" t="str">
            <v>Branca</v>
          </cell>
          <cell r="N14">
            <v>29511</v>
          </cell>
          <cell r="O14" t="str">
            <v>305977465</v>
          </cell>
          <cell r="P14" t="str">
            <v>SP</v>
          </cell>
          <cell r="Q14" t="str">
            <v>SSP</v>
          </cell>
          <cell r="R14" t="str">
            <v>SAO PAULO</v>
          </cell>
        </row>
        <row r="15">
          <cell r="A15" t="str">
            <v>TIAGO FALASCA SILVA</v>
          </cell>
          <cell r="B15" t="str">
            <v>Solteiro</v>
          </cell>
          <cell r="C15" t="str">
            <v>AV Almirante Cochrane</v>
          </cell>
          <cell r="D15" t="str">
            <v>Aparecida</v>
          </cell>
          <cell r="E15" t="str">
            <v>SANTOS</v>
          </cell>
          <cell r="F15" t="str">
            <v>SP</v>
          </cell>
          <cell r="G15" t="str">
            <v>20</v>
          </cell>
          <cell r="H15" t="str">
            <v>ap 32</v>
          </cell>
          <cell r="I15" t="str">
            <v>11040-000</v>
          </cell>
          <cell r="J15" t="str">
            <v>997901953</v>
          </cell>
          <cell r="K15" t="str">
            <v/>
          </cell>
          <cell r="L15" t="str">
            <v>Masculino</v>
          </cell>
          <cell r="M15" t="str">
            <v>Branca</v>
          </cell>
          <cell r="N15">
            <v>29048</v>
          </cell>
          <cell r="O15" t="str">
            <v>304602097</v>
          </cell>
          <cell r="P15" t="str">
            <v>SP</v>
          </cell>
          <cell r="Q15" t="str">
            <v>SSP</v>
          </cell>
          <cell r="R15" t="str">
            <v>SAO PAULO</v>
          </cell>
        </row>
        <row r="16">
          <cell r="A16" t="str">
            <v>JEFFERSON COSTA FERNANDES WILKENS</v>
          </cell>
          <cell r="B16" t="str">
            <v>Solteiro</v>
          </cell>
          <cell r="C16" t="str">
            <v>R Santa Catarina</v>
          </cell>
          <cell r="D16" t="str">
            <v>Boqueirão</v>
          </cell>
          <cell r="E16" t="str">
            <v>PRAIA GRANDE</v>
          </cell>
          <cell r="F16" t="str">
            <v>SP</v>
          </cell>
          <cell r="G16" t="str">
            <v>36</v>
          </cell>
          <cell r="H16" t="str">
            <v/>
          </cell>
          <cell r="I16" t="str">
            <v>11700-040</v>
          </cell>
          <cell r="J16" t="str">
            <v>34698549</v>
          </cell>
          <cell r="K16" t="str">
            <v/>
          </cell>
          <cell r="L16" t="str">
            <v>Masculino</v>
          </cell>
          <cell r="M16" t="str">
            <v>Preta/Negra</v>
          </cell>
          <cell r="N16">
            <v>32087</v>
          </cell>
          <cell r="O16" t="str">
            <v>43452346X</v>
          </cell>
          <cell r="P16" t="str">
            <v>SP</v>
          </cell>
          <cell r="Q16" t="str">
            <v>SSP</v>
          </cell>
          <cell r="R16" t="str">
            <v>SANTOS</v>
          </cell>
        </row>
        <row r="17">
          <cell r="A17" t="str">
            <v>ELIZABETH SOUSA DO NASCIMENTO</v>
          </cell>
          <cell r="B17" t="str">
            <v>Solteiro</v>
          </cell>
          <cell r="C17" t="str">
            <v>R PRF CARLOS ESCOBAR</v>
          </cell>
          <cell r="D17" t="str">
            <v>Ponta da Praia</v>
          </cell>
          <cell r="E17" t="str">
            <v>SANTOS</v>
          </cell>
          <cell r="F17" t="str">
            <v>SP</v>
          </cell>
          <cell r="G17" t="str">
            <v>66</v>
          </cell>
          <cell r="H17" t="str">
            <v>253</v>
          </cell>
          <cell r="I17" t="str">
            <v>11030-030</v>
          </cell>
          <cell r="J17" t="str">
            <v>91211976</v>
          </cell>
          <cell r="K17" t="str">
            <v/>
          </cell>
          <cell r="L17" t="str">
            <v>Feminino</v>
          </cell>
          <cell r="M17" t="str">
            <v>Branca</v>
          </cell>
          <cell r="N17">
            <v>29894</v>
          </cell>
          <cell r="O17" t="str">
            <v>28013421</v>
          </cell>
          <cell r="P17" t="str">
            <v>SP</v>
          </cell>
          <cell r="Q17" t="str">
            <v>SSP</v>
          </cell>
          <cell r="R17" t="str">
            <v>SANTOS</v>
          </cell>
        </row>
        <row r="18">
          <cell r="A18" t="str">
            <v>KARLA ANDREZZA LIMA DA SILVA</v>
          </cell>
          <cell r="B18" t="str">
            <v>Divorciado</v>
          </cell>
          <cell r="C18" t="str">
            <v>AV SENADOR PINHEIRO MACHADO</v>
          </cell>
          <cell r="D18" t="str">
            <v>Marapé</v>
          </cell>
          <cell r="E18" t="str">
            <v>SANTOS</v>
          </cell>
          <cell r="F18" t="str">
            <v>SP</v>
          </cell>
          <cell r="G18" t="str">
            <v>960</v>
          </cell>
          <cell r="H18" t="str">
            <v>AP 124</v>
          </cell>
          <cell r="I18" t="str">
            <v>11075-002</v>
          </cell>
          <cell r="J18" t="str">
            <v>32258527</v>
          </cell>
          <cell r="K18" t="str">
            <v/>
          </cell>
          <cell r="L18" t="str">
            <v>Feminino</v>
          </cell>
          <cell r="M18" t="str">
            <v>Branca</v>
          </cell>
          <cell r="N18">
            <v>27867</v>
          </cell>
          <cell r="O18" t="str">
            <v>257006655</v>
          </cell>
          <cell r="P18" t="str">
            <v>SP</v>
          </cell>
          <cell r="Q18" t="str">
            <v>SSP</v>
          </cell>
          <cell r="R18" t="str">
            <v>SANTOS</v>
          </cell>
        </row>
        <row r="19">
          <cell r="A19" t="str">
            <v>YARA GONCALVES DA MOTA</v>
          </cell>
          <cell r="B19" t="str">
            <v>Solteiro</v>
          </cell>
          <cell r="C19" t="str">
            <v>R Doutor Arnaldo de Carvalho</v>
          </cell>
          <cell r="D19" t="str">
            <v>Campo Grande</v>
          </cell>
          <cell r="E19" t="str">
            <v>SANTOS</v>
          </cell>
          <cell r="F19" t="str">
            <v>SP</v>
          </cell>
          <cell r="G19" t="str">
            <v>64</v>
          </cell>
          <cell r="H19" t="str">
            <v>apt 2602</v>
          </cell>
          <cell r="I19" t="str">
            <v>11075-430</v>
          </cell>
          <cell r="J19" t="str">
            <v>32321444</v>
          </cell>
          <cell r="K19" t="str">
            <v/>
          </cell>
          <cell r="L19" t="str">
            <v>Feminino</v>
          </cell>
          <cell r="M19" t="str">
            <v>Branca</v>
          </cell>
          <cell r="N19">
            <v>28971</v>
          </cell>
          <cell r="O19" t="str">
            <v>332535022</v>
          </cell>
          <cell r="P19" t="str">
            <v>SP</v>
          </cell>
          <cell r="Q19" t="str">
            <v>SSP</v>
          </cell>
          <cell r="R19" t="str">
            <v>SANTOS</v>
          </cell>
        </row>
        <row r="20">
          <cell r="A20" t="str">
            <v>DECIO GOMES CUNHA</v>
          </cell>
          <cell r="B20" t="str">
            <v>Casado</v>
          </cell>
          <cell r="C20" t="str">
            <v>R Inglaterra</v>
          </cell>
          <cell r="D20" t="str">
            <v>Ponta da Praia</v>
          </cell>
          <cell r="E20" t="str">
            <v>SANTOS</v>
          </cell>
          <cell r="F20" t="str">
            <v>SP</v>
          </cell>
          <cell r="G20" t="str">
            <v>12</v>
          </cell>
          <cell r="H20" t="str">
            <v>ap 52</v>
          </cell>
          <cell r="I20" t="str">
            <v>11030-510</v>
          </cell>
          <cell r="J20" t="str">
            <v>996496821</v>
          </cell>
          <cell r="K20" t="str">
            <v>996496821</v>
          </cell>
          <cell r="L20" t="str">
            <v>Masculino</v>
          </cell>
          <cell r="M20" t="str">
            <v>Branca</v>
          </cell>
          <cell r="N20">
            <v>25824</v>
          </cell>
          <cell r="O20" t="str">
            <v>225455894</v>
          </cell>
          <cell r="P20" t="str">
            <v>SP</v>
          </cell>
          <cell r="Q20" t="str">
            <v>SSP</v>
          </cell>
          <cell r="R20" t="str">
            <v>SANTOS</v>
          </cell>
        </row>
        <row r="21">
          <cell r="A21" t="str">
            <v>LUIS SERGIO DA SILVA</v>
          </cell>
          <cell r="B21" t="str">
            <v>Casado</v>
          </cell>
          <cell r="C21" t="str">
            <v>R MARIA CRISTINA</v>
          </cell>
          <cell r="D21" t="str">
            <v>Jardim Casqueiro</v>
          </cell>
          <cell r="E21" t="str">
            <v>CUBATAO</v>
          </cell>
          <cell r="F21" t="str">
            <v>SP</v>
          </cell>
          <cell r="G21" t="str">
            <v>144</v>
          </cell>
          <cell r="H21" t="str">
            <v/>
          </cell>
          <cell r="I21" t="str">
            <v>11533-160</v>
          </cell>
          <cell r="J21" t="str">
            <v>991069386</v>
          </cell>
          <cell r="K21" t="str">
            <v/>
          </cell>
          <cell r="L21" t="str">
            <v>Masculino</v>
          </cell>
          <cell r="M21" t="str">
            <v>Parda</v>
          </cell>
          <cell r="N21">
            <v>20961</v>
          </cell>
          <cell r="O21" t="str">
            <v>117330176</v>
          </cell>
          <cell r="P21" t="str">
            <v>SP</v>
          </cell>
          <cell r="Q21" t="str">
            <v>SSP</v>
          </cell>
          <cell r="R21" t="str">
            <v>SANTOS</v>
          </cell>
        </row>
        <row r="22">
          <cell r="A22" t="str">
            <v>FABIO JOSE DE MELLO</v>
          </cell>
          <cell r="B22" t="str">
            <v>Casado</v>
          </cell>
          <cell r="C22" t="str">
            <v>R Antilhas</v>
          </cell>
          <cell r="D22" t="str">
            <v>Guilhermina</v>
          </cell>
          <cell r="E22" t="str">
            <v>PRAIA GRANDE</v>
          </cell>
          <cell r="F22" t="str">
            <v>SP</v>
          </cell>
          <cell r="G22" t="str">
            <v>670</v>
          </cell>
          <cell r="H22" t="str">
            <v>APT. 94</v>
          </cell>
          <cell r="I22" t="str">
            <v>11702-160</v>
          </cell>
          <cell r="J22" t="str">
            <v>33017260</v>
          </cell>
          <cell r="K22" t="str">
            <v/>
          </cell>
          <cell r="L22" t="str">
            <v>Masculino</v>
          </cell>
          <cell r="M22" t="str">
            <v>Parda</v>
          </cell>
          <cell r="N22">
            <v>26959</v>
          </cell>
          <cell r="O22" t="str">
            <v>242712885</v>
          </cell>
          <cell r="P22" t="str">
            <v>SP</v>
          </cell>
          <cell r="Q22" t="str">
            <v>SSP</v>
          </cell>
          <cell r="R22" t="str">
            <v>VINHEDO</v>
          </cell>
        </row>
        <row r="23">
          <cell r="A23" t="str">
            <v>PAULO FERNANDO MARTINS CLEMENTE</v>
          </cell>
          <cell r="B23" t="str">
            <v>Casado</v>
          </cell>
          <cell r="C23" t="str">
            <v>R General Rondon</v>
          </cell>
          <cell r="D23" t="str">
            <v>Aparecida</v>
          </cell>
          <cell r="E23" t="str">
            <v>SANTOS</v>
          </cell>
          <cell r="F23" t="str">
            <v>SP</v>
          </cell>
          <cell r="G23" t="str">
            <v>26</v>
          </cell>
          <cell r="H23" t="str">
            <v>AP 42</v>
          </cell>
          <cell r="I23" t="str">
            <v>11030-570</v>
          </cell>
          <cell r="J23" t="str">
            <v>97837114</v>
          </cell>
          <cell r="K23" t="str">
            <v>32276868</v>
          </cell>
          <cell r="L23" t="str">
            <v>Masculino</v>
          </cell>
          <cell r="M23" t="str">
            <v>Branca</v>
          </cell>
          <cell r="N23">
            <v>26124</v>
          </cell>
          <cell r="O23" t="str">
            <v>19899738</v>
          </cell>
          <cell r="P23" t="str">
            <v>SP</v>
          </cell>
          <cell r="Q23" t="str">
            <v>SSP</v>
          </cell>
          <cell r="R23" t="str">
            <v>SANTOS</v>
          </cell>
        </row>
        <row r="24">
          <cell r="A24" t="str">
            <v>WEDSON DOS ANJOS SILVA</v>
          </cell>
          <cell r="B24" t="str">
            <v>Solteiro</v>
          </cell>
          <cell r="C24" t="str">
            <v>R Doutor Ciro Carneiro</v>
          </cell>
          <cell r="D24" t="str">
            <v>Guilhermina</v>
          </cell>
          <cell r="E24" t="str">
            <v>PRAIA GRANDE</v>
          </cell>
          <cell r="F24" t="str">
            <v>SP</v>
          </cell>
          <cell r="G24" t="str">
            <v>318</v>
          </cell>
          <cell r="H24" t="str">
            <v>AP 76</v>
          </cell>
          <cell r="I24" t="str">
            <v>11702-220</v>
          </cell>
          <cell r="J24" t="str">
            <v>991930348</v>
          </cell>
          <cell r="K24" t="str">
            <v/>
          </cell>
          <cell r="L24" t="str">
            <v>Masculino</v>
          </cell>
          <cell r="M24" t="str">
            <v>Parda</v>
          </cell>
          <cell r="N24">
            <v>31629</v>
          </cell>
          <cell r="O24" t="str">
            <v>30925134</v>
          </cell>
          <cell r="P24" t="str">
            <v>SE</v>
          </cell>
          <cell r="Q24" t="str">
            <v>SSP</v>
          </cell>
          <cell r="R24" t="str">
            <v>PROPRIA</v>
          </cell>
        </row>
        <row r="25">
          <cell r="A25" t="str">
            <v>ALAOR TRINDADE MOURAO</v>
          </cell>
          <cell r="B25" t="str">
            <v>Casado</v>
          </cell>
          <cell r="C25" t="str">
            <v>R Raul Serapião Barroso</v>
          </cell>
          <cell r="D25" t="str">
            <v>Esplanada dos Barrei</v>
          </cell>
          <cell r="E25" t="str">
            <v>SAO VICENTE</v>
          </cell>
          <cell r="F25" t="str">
            <v>SP</v>
          </cell>
          <cell r="G25" t="str">
            <v>292</v>
          </cell>
          <cell r="H25" t="str">
            <v>FD 2</v>
          </cell>
          <cell r="I25" t="str">
            <v>11340-330</v>
          </cell>
          <cell r="J25" t="str">
            <v>988624689</v>
          </cell>
          <cell r="K25" t="str">
            <v/>
          </cell>
          <cell r="L25" t="str">
            <v>Masculino</v>
          </cell>
          <cell r="M25" t="str">
            <v>Parda</v>
          </cell>
          <cell r="N25">
            <v>25192</v>
          </cell>
          <cell r="O25" t="str">
            <v>219367905</v>
          </cell>
          <cell r="P25" t="str">
            <v>SP</v>
          </cell>
          <cell r="Q25" t="str">
            <v>SSP</v>
          </cell>
          <cell r="R25" t="str">
            <v>SANTOS</v>
          </cell>
        </row>
        <row r="26">
          <cell r="A26" t="str">
            <v>FERNANDO LUIZ DE FRANCA</v>
          </cell>
          <cell r="B26" t="str">
            <v>Casado</v>
          </cell>
          <cell r="C26" t="str">
            <v>R SANTO ANTONIO DE PADUA</v>
          </cell>
          <cell r="D26" t="str">
            <v>Vila Sao Jose</v>
          </cell>
          <cell r="E26" t="str">
            <v>CUBATAO</v>
          </cell>
          <cell r="F26" t="str">
            <v>SP</v>
          </cell>
          <cell r="G26" t="str">
            <v>2</v>
          </cell>
          <cell r="H26" t="str">
            <v/>
          </cell>
          <cell r="I26" t="str">
            <v>11523-020</v>
          </cell>
          <cell r="J26" t="str">
            <v>33619708</v>
          </cell>
          <cell r="K26" t="str">
            <v/>
          </cell>
          <cell r="L26" t="str">
            <v>Masculino</v>
          </cell>
          <cell r="M26" t="str">
            <v>Parda</v>
          </cell>
          <cell r="N26">
            <v>30686</v>
          </cell>
          <cell r="O26" t="str">
            <v>342493097</v>
          </cell>
          <cell r="P26" t="str">
            <v>SP</v>
          </cell>
          <cell r="Q26" t="str">
            <v>SSP</v>
          </cell>
          <cell r="R26" t="str">
            <v>CUBATAO</v>
          </cell>
        </row>
        <row r="27">
          <cell r="A27" t="str">
            <v>CRISTHIANE VOJEVODOVAS RAMOS</v>
          </cell>
          <cell r="B27" t="str">
            <v>Casado</v>
          </cell>
          <cell r="C27" t="str">
            <v>R Doutor Egydio Martins</v>
          </cell>
          <cell r="D27" t="str">
            <v>Ponta da Praia</v>
          </cell>
          <cell r="E27" t="str">
            <v>SANTOS</v>
          </cell>
          <cell r="F27" t="str">
            <v>SP</v>
          </cell>
          <cell r="G27" t="str">
            <v>160</v>
          </cell>
          <cell r="H27" t="str">
            <v>AP.125</v>
          </cell>
          <cell r="I27" t="str">
            <v>11030-160</v>
          </cell>
          <cell r="J27" t="str">
            <v>22023505</v>
          </cell>
          <cell r="K27" t="str">
            <v/>
          </cell>
          <cell r="L27" t="str">
            <v>Feminino</v>
          </cell>
          <cell r="M27" t="str">
            <v>Branca</v>
          </cell>
          <cell r="N27">
            <v>29743</v>
          </cell>
          <cell r="O27" t="str">
            <v>29864322</v>
          </cell>
          <cell r="P27" t="str">
            <v>SP</v>
          </cell>
          <cell r="Q27" t="str">
            <v>SSP</v>
          </cell>
          <cell r="R27" t="str">
            <v>SANTOS</v>
          </cell>
        </row>
        <row r="28">
          <cell r="A28" t="str">
            <v>DANIELLA MORAES PEREIRA</v>
          </cell>
          <cell r="B28" t="str">
            <v>Solteiro</v>
          </cell>
          <cell r="C28" t="str">
            <v>R FREI VITAL</v>
          </cell>
          <cell r="D28" t="str">
            <v>Embare</v>
          </cell>
          <cell r="E28" t="str">
            <v>SANTOS</v>
          </cell>
          <cell r="F28" t="str">
            <v>SP</v>
          </cell>
          <cell r="G28" t="str">
            <v>10</v>
          </cell>
          <cell r="H28" t="str">
            <v>AP 35</v>
          </cell>
          <cell r="I28" t="str">
            <v>11025-090</v>
          </cell>
          <cell r="J28" t="str">
            <v/>
          </cell>
          <cell r="K28" t="str">
            <v/>
          </cell>
          <cell r="L28" t="str">
            <v>Feminino</v>
          </cell>
          <cell r="M28" t="str">
            <v>Branca</v>
          </cell>
          <cell r="N28">
            <v>31246</v>
          </cell>
          <cell r="O28" t="str">
            <v>275584525</v>
          </cell>
          <cell r="P28" t="str">
            <v>SP</v>
          </cell>
          <cell r="Q28" t="str">
            <v>SSP</v>
          </cell>
          <cell r="R28" t="str">
            <v>SANTOS</v>
          </cell>
        </row>
        <row r="29">
          <cell r="A29" t="str">
            <v>MARCIO SOARES DOS REIS JUNIOR</v>
          </cell>
          <cell r="B29" t="str">
            <v>Solteiro</v>
          </cell>
          <cell r="C29" t="str">
            <v>AV Presidente Wilson</v>
          </cell>
          <cell r="D29" t="str">
            <v>Gonzaga</v>
          </cell>
          <cell r="E29" t="str">
            <v>SANTOS</v>
          </cell>
          <cell r="F29" t="str">
            <v>SP</v>
          </cell>
          <cell r="G29" t="str">
            <v>18</v>
          </cell>
          <cell r="H29" t="str">
            <v>Ap 81 B</v>
          </cell>
          <cell r="I29" t="str">
            <v>11065-200</v>
          </cell>
          <cell r="J29" t="str">
            <v>988184546</v>
          </cell>
          <cell r="K29" t="str">
            <v/>
          </cell>
          <cell r="L29" t="str">
            <v>Masculino</v>
          </cell>
          <cell r="M29" t="str">
            <v>Branca</v>
          </cell>
          <cell r="N29">
            <v>34049</v>
          </cell>
          <cell r="O29" t="str">
            <v>493166786</v>
          </cell>
          <cell r="P29" t="str">
            <v>SP</v>
          </cell>
          <cell r="Q29" t="str">
            <v>SSP</v>
          </cell>
          <cell r="R29" t="str">
            <v>GUARUJA</v>
          </cell>
        </row>
        <row r="30">
          <cell r="A30" t="str">
            <v>FABIO DOS SANTOS MENEZES</v>
          </cell>
          <cell r="B30" t="str">
            <v>União Estável</v>
          </cell>
          <cell r="C30" t="str">
            <v>R Rubens Ferreira Martins</v>
          </cell>
          <cell r="D30" t="str">
            <v>Guilhermina</v>
          </cell>
          <cell r="E30" t="str">
            <v>PRAIA GRANDE</v>
          </cell>
          <cell r="F30" t="str">
            <v>SP</v>
          </cell>
          <cell r="G30" t="str">
            <v>806</v>
          </cell>
          <cell r="H30" t="str">
            <v>Casa</v>
          </cell>
          <cell r="I30" t="str">
            <v>11702-280</v>
          </cell>
          <cell r="J30" t="str">
            <v>974095024</v>
          </cell>
          <cell r="K30" t="str">
            <v/>
          </cell>
          <cell r="L30" t="str">
            <v>Masculino</v>
          </cell>
          <cell r="M30" t="str">
            <v>Branca</v>
          </cell>
          <cell r="N30">
            <v>28968</v>
          </cell>
          <cell r="O30" t="str">
            <v>347427625</v>
          </cell>
          <cell r="P30" t="str">
            <v>SP</v>
          </cell>
          <cell r="Q30" t="str">
            <v>SSP</v>
          </cell>
          <cell r="R30" t="str">
            <v>SANTOS</v>
          </cell>
        </row>
        <row r="31">
          <cell r="A31" t="str">
            <v>ALEX APARECIDO LIMA</v>
          </cell>
          <cell r="B31" t="str">
            <v>Divorciado</v>
          </cell>
          <cell r="C31" t="str">
            <v>R Julio Amaro Ribeiro</v>
          </cell>
          <cell r="D31" t="str">
            <v>Vila Natal</v>
          </cell>
          <cell r="E31" t="str">
            <v>CUBATAO</v>
          </cell>
          <cell r="F31" t="str">
            <v>SP</v>
          </cell>
          <cell r="G31" t="str">
            <v>10</v>
          </cell>
          <cell r="H31" t="str">
            <v>AP 41</v>
          </cell>
          <cell r="I31" t="str">
            <v>11538-105</v>
          </cell>
          <cell r="J31" t="str">
            <v>88295132</v>
          </cell>
          <cell r="K31" t="str">
            <v/>
          </cell>
          <cell r="L31" t="str">
            <v>Masculino</v>
          </cell>
          <cell r="M31" t="str">
            <v>Parda</v>
          </cell>
          <cell r="N31">
            <v>29150</v>
          </cell>
          <cell r="O31" t="str">
            <v>284862319</v>
          </cell>
          <cell r="P31" t="str">
            <v>SP</v>
          </cell>
          <cell r="Q31" t="str">
            <v>SSP</v>
          </cell>
          <cell r="R31" t="str">
            <v>CUBATAO</v>
          </cell>
        </row>
        <row r="32">
          <cell r="A32" t="str">
            <v>DIEGO MARQUES</v>
          </cell>
          <cell r="B32" t="str">
            <v>Casado</v>
          </cell>
          <cell r="C32" t="str">
            <v>R da Imprensa</v>
          </cell>
          <cell r="D32" t="str">
            <v>Esplanada dos Barreiros</v>
          </cell>
          <cell r="E32" t="str">
            <v>SAO VICENTE</v>
          </cell>
          <cell r="F32" t="str">
            <v>SP</v>
          </cell>
          <cell r="G32" t="str">
            <v>75</v>
          </cell>
          <cell r="H32" t="str">
            <v>Casa 5</v>
          </cell>
          <cell r="I32" t="str">
            <v>11340-120</v>
          </cell>
          <cell r="J32" t="str">
            <v>78116185</v>
          </cell>
          <cell r="K32" t="str">
            <v/>
          </cell>
          <cell r="L32" t="str">
            <v>Masculino</v>
          </cell>
          <cell r="M32" t="str">
            <v>Branca</v>
          </cell>
          <cell r="N32">
            <v>31538</v>
          </cell>
          <cell r="O32" t="str">
            <v>41748401</v>
          </cell>
          <cell r="P32" t="str">
            <v>SP</v>
          </cell>
          <cell r="Q32" t="str">
            <v>SSP</v>
          </cell>
          <cell r="R32" t="str">
            <v>SANTOS</v>
          </cell>
        </row>
        <row r="33">
          <cell r="A33" t="str">
            <v>RAPHAEL FERREIRA SANTANA</v>
          </cell>
          <cell r="B33" t="str">
            <v>Casado</v>
          </cell>
          <cell r="C33" t="str">
            <v>R João Jesus Rubio Garcia</v>
          </cell>
          <cell r="D33" t="str">
            <v>Maracanã</v>
          </cell>
          <cell r="E33" t="str">
            <v>PRAIA GRANDE</v>
          </cell>
          <cell r="F33" t="str">
            <v>SP</v>
          </cell>
          <cell r="G33" t="str">
            <v>588</v>
          </cell>
          <cell r="H33" t="str">
            <v>QD 9 L 5</v>
          </cell>
          <cell r="I33" t="str">
            <v>11705-540</v>
          </cell>
          <cell r="J33" t="str">
            <v>974160772</v>
          </cell>
          <cell r="K33" t="str">
            <v/>
          </cell>
          <cell r="L33" t="str">
            <v>Masculino</v>
          </cell>
          <cell r="M33" t="str">
            <v>Parda</v>
          </cell>
          <cell r="N33">
            <v>30282</v>
          </cell>
          <cell r="O33" t="str">
            <v>443084324</v>
          </cell>
          <cell r="P33" t="str">
            <v>SP</v>
          </cell>
          <cell r="Q33" t="str">
            <v>SSP</v>
          </cell>
          <cell r="R33" t="str">
            <v>SANTOS</v>
          </cell>
        </row>
        <row r="34">
          <cell r="A34" t="str">
            <v>ROGERIO LINS DOS SANTOS</v>
          </cell>
          <cell r="B34" t="str">
            <v>Divorciado</v>
          </cell>
          <cell r="C34" t="str">
            <v>R Doutor Clóvis Galvão de Moura Lacerda</v>
          </cell>
          <cell r="D34" t="str">
            <v>Macuco</v>
          </cell>
          <cell r="E34" t="str">
            <v>SANTOS</v>
          </cell>
          <cell r="F34" t="str">
            <v>SP</v>
          </cell>
          <cell r="G34" t="str">
            <v>136</v>
          </cell>
          <cell r="H34" t="str">
            <v>Casa 3</v>
          </cell>
          <cell r="I34" t="str">
            <v>11015-310</v>
          </cell>
          <cell r="J34" t="str">
            <v>974048885</v>
          </cell>
          <cell r="K34" t="str">
            <v/>
          </cell>
          <cell r="L34" t="str">
            <v>Masculino</v>
          </cell>
          <cell r="M34" t="str">
            <v>Parda</v>
          </cell>
          <cell r="N34">
            <v>29801</v>
          </cell>
          <cell r="O34" t="str">
            <v>340264809</v>
          </cell>
          <cell r="P34" t="str">
            <v>SP</v>
          </cell>
          <cell r="Q34" t="str">
            <v>SSP</v>
          </cell>
          <cell r="R34" t="str">
            <v>SANTOS</v>
          </cell>
        </row>
        <row r="35">
          <cell r="A35" t="str">
            <v>PAULO ANDRE MARCHETTI</v>
          </cell>
          <cell r="B35" t="str">
            <v>Divorciado</v>
          </cell>
          <cell r="C35" t="str">
            <v>AV Celso de Maria Glerean</v>
          </cell>
          <cell r="D35" t="str">
            <v>Glória</v>
          </cell>
          <cell r="E35" t="str">
            <v>PRAIA GRANDE</v>
          </cell>
          <cell r="F35" t="str">
            <v>SP</v>
          </cell>
          <cell r="G35" t="str">
            <v>664</v>
          </cell>
          <cell r="H35" t="str">
            <v/>
          </cell>
          <cell r="I35" t="str">
            <v>11724-190</v>
          </cell>
          <cell r="J35" t="str">
            <v>981102407</v>
          </cell>
          <cell r="K35" t="str">
            <v/>
          </cell>
          <cell r="L35" t="str">
            <v>Masculino</v>
          </cell>
          <cell r="M35" t="str">
            <v>Branca</v>
          </cell>
          <cell r="N35">
            <v>27959</v>
          </cell>
          <cell r="O35" t="str">
            <v>289623650</v>
          </cell>
          <cell r="P35" t="str">
            <v>SP</v>
          </cell>
          <cell r="Q35" t="str">
            <v>SSP</v>
          </cell>
          <cell r="R35" t="str">
            <v>LONDRINA</v>
          </cell>
        </row>
        <row r="36">
          <cell r="A36" t="str">
            <v>MARCIO JOSE DA SILVA</v>
          </cell>
          <cell r="B36" t="str">
            <v>Casado</v>
          </cell>
          <cell r="C36" t="str">
            <v>R Manoel de Pinho Júnior</v>
          </cell>
          <cell r="D36" t="str">
            <v>Jardim São Francisco</v>
          </cell>
          <cell r="E36" t="str">
            <v>CUBATAO</v>
          </cell>
          <cell r="F36" t="str">
            <v>SP</v>
          </cell>
          <cell r="G36" t="str">
            <v>77</v>
          </cell>
          <cell r="H36" t="str">
            <v>Ap11</v>
          </cell>
          <cell r="I36" t="str">
            <v>11500-110</v>
          </cell>
          <cell r="J36" t="str">
            <v/>
          </cell>
          <cell r="K36" t="str">
            <v/>
          </cell>
          <cell r="L36" t="str">
            <v>Masculino</v>
          </cell>
          <cell r="M36" t="str">
            <v>Parda</v>
          </cell>
          <cell r="N36">
            <v>30088</v>
          </cell>
          <cell r="O36" t="str">
            <v>284862022</v>
          </cell>
          <cell r="P36" t="str">
            <v>SP</v>
          </cell>
          <cell r="Q36" t="str">
            <v>SSP</v>
          </cell>
          <cell r="R36" t="str">
            <v>CUBATAO</v>
          </cell>
        </row>
        <row r="37">
          <cell r="A37" t="str">
            <v>CARLOS JOSE VIEIRA</v>
          </cell>
          <cell r="B37" t="str">
            <v>Casado</v>
          </cell>
          <cell r="C37" t="str">
            <v>R Godofredo Fraga</v>
          </cell>
          <cell r="D37" t="str">
            <v>Marapé</v>
          </cell>
          <cell r="E37" t="str">
            <v>SANTOS</v>
          </cell>
          <cell r="F37" t="str">
            <v>SP</v>
          </cell>
          <cell r="G37" t="str">
            <v>35</v>
          </cell>
          <cell r="H37" t="str">
            <v>A</v>
          </cell>
          <cell r="I37" t="str">
            <v>11070-400</v>
          </cell>
          <cell r="J37" t="str">
            <v>33277952</v>
          </cell>
          <cell r="K37" t="str">
            <v/>
          </cell>
          <cell r="L37" t="str">
            <v>Masculino</v>
          </cell>
          <cell r="M37" t="str">
            <v>Branca</v>
          </cell>
          <cell r="N37">
            <v>26161</v>
          </cell>
          <cell r="O37" t="str">
            <v>208219055</v>
          </cell>
          <cell r="P37" t="str">
            <v>SP</v>
          </cell>
          <cell r="Q37" t="str">
            <v>SSP</v>
          </cell>
          <cell r="R37" t="str">
            <v>SANTOS</v>
          </cell>
        </row>
        <row r="38">
          <cell r="A38" t="str">
            <v>MAURICIO LOPES DA SILVA</v>
          </cell>
          <cell r="B38" t="str">
            <v>Casado</v>
          </cell>
          <cell r="C38" t="str">
            <v>AV Thiago Ferreira</v>
          </cell>
          <cell r="D38" t="str">
            <v>Vila Alice (Vicente de Carvalho)</v>
          </cell>
          <cell r="E38" t="str">
            <v>GUARUJA</v>
          </cell>
          <cell r="F38" t="str">
            <v>SP</v>
          </cell>
          <cell r="G38" t="str">
            <v>1040</v>
          </cell>
          <cell r="H38" t="str">
            <v>Apartamento 11</v>
          </cell>
          <cell r="I38" t="str">
            <v>11450-002</v>
          </cell>
          <cell r="J38" t="str">
            <v>998047878</v>
          </cell>
          <cell r="K38" t="str">
            <v/>
          </cell>
          <cell r="L38" t="str">
            <v>Masculino</v>
          </cell>
          <cell r="M38" t="str">
            <v>Parda</v>
          </cell>
          <cell r="N38">
            <v>28642</v>
          </cell>
          <cell r="O38" t="str">
            <v>28744722</v>
          </cell>
          <cell r="P38" t="str">
            <v>SP</v>
          </cell>
          <cell r="Q38" t="str">
            <v>SSP</v>
          </cell>
          <cell r="R38" t="str">
            <v>SANTO ANDRE</v>
          </cell>
        </row>
        <row r="39">
          <cell r="A39" t="str">
            <v>RAFAEL HENRIQUE NASCIMENTO DE ALMEIDA</v>
          </cell>
          <cell r="B39" t="str">
            <v>Casado</v>
          </cell>
          <cell r="C39" t="str">
            <v>R Iguape</v>
          </cell>
          <cell r="D39" t="str">
            <v>Vila Áurea (Vicente</v>
          </cell>
          <cell r="E39" t="str">
            <v>GUARUJA</v>
          </cell>
          <cell r="F39" t="str">
            <v>SP</v>
          </cell>
          <cell r="G39" t="str">
            <v>183</v>
          </cell>
          <cell r="H39" t="str">
            <v>CASA 3</v>
          </cell>
          <cell r="I39" t="str">
            <v>11454-050</v>
          </cell>
          <cell r="J39" t="str">
            <v>974040201</v>
          </cell>
          <cell r="K39" t="str">
            <v/>
          </cell>
          <cell r="L39" t="str">
            <v>Masculino</v>
          </cell>
          <cell r="M39" t="str">
            <v>Branca</v>
          </cell>
          <cell r="N39">
            <v>29973</v>
          </cell>
          <cell r="O39" t="str">
            <v>351492598</v>
          </cell>
          <cell r="P39" t="str">
            <v>SP</v>
          </cell>
          <cell r="Q39" t="str">
            <v>SSP</v>
          </cell>
          <cell r="R39" t="str">
            <v>SANTOS</v>
          </cell>
        </row>
        <row r="40">
          <cell r="A40" t="str">
            <v>THIAGO AUGUSTO SANTOS NASCIMENTO</v>
          </cell>
          <cell r="B40" t="str">
            <v>Solteiro</v>
          </cell>
          <cell r="C40" t="str">
            <v>R Engenheiro Manoel Ferramenta Júnior</v>
          </cell>
          <cell r="D40" t="str">
            <v>Areia Branca</v>
          </cell>
          <cell r="E40" t="str">
            <v>SANTOS</v>
          </cell>
          <cell r="F40" t="str">
            <v>SP</v>
          </cell>
          <cell r="G40" t="str">
            <v>363</v>
          </cell>
          <cell r="H40" t="str">
            <v>Ap 106 Bloco D</v>
          </cell>
          <cell r="I40" t="str">
            <v>11086-400</v>
          </cell>
          <cell r="J40" t="str">
            <v>33851810</v>
          </cell>
          <cell r="K40" t="str">
            <v/>
          </cell>
          <cell r="L40" t="str">
            <v>Masculino</v>
          </cell>
          <cell r="M40" t="str">
            <v>Branca</v>
          </cell>
          <cell r="N40">
            <v>30688</v>
          </cell>
          <cell r="O40" t="str">
            <v>353949516</v>
          </cell>
          <cell r="P40" t="str">
            <v>SP</v>
          </cell>
          <cell r="Q40" t="str">
            <v>SSP</v>
          </cell>
          <cell r="R40" t="str">
            <v>SANTOS</v>
          </cell>
        </row>
        <row r="41">
          <cell r="A41" t="str">
            <v>MARCIO AURELIO DA SILVA ANDRADE</v>
          </cell>
          <cell r="B41" t="str">
            <v>Solteiro</v>
          </cell>
          <cell r="C41" t="str">
            <v>AV Affonso Penna</v>
          </cell>
          <cell r="D41" t="str">
            <v>Boqueirao</v>
          </cell>
          <cell r="E41" t="str">
            <v>SANTOS</v>
          </cell>
          <cell r="F41" t="str">
            <v>SP</v>
          </cell>
          <cell r="G41" t="str">
            <v>416</v>
          </cell>
          <cell r="H41" t="str">
            <v>AP 64</v>
          </cell>
          <cell r="I41" t="str">
            <v>11020-000</v>
          </cell>
          <cell r="J41" t="str">
            <v>974122336</v>
          </cell>
          <cell r="K41" t="str">
            <v/>
          </cell>
          <cell r="L41" t="str">
            <v>Masculino</v>
          </cell>
          <cell r="M41" t="str">
            <v>Parda</v>
          </cell>
          <cell r="N41">
            <v>26701</v>
          </cell>
          <cell r="O41" t="str">
            <v>245442054</v>
          </cell>
          <cell r="P41" t="str">
            <v>SP</v>
          </cell>
          <cell r="Q41" t="str">
            <v>SSP</v>
          </cell>
          <cell r="R41" t="str">
            <v>SANTOS</v>
          </cell>
        </row>
        <row r="42">
          <cell r="A42" t="str">
            <v>FABIO GENTIL FABIAO</v>
          </cell>
          <cell r="B42" t="str">
            <v>Casado</v>
          </cell>
          <cell r="C42" t="str">
            <v>R Quarenta</v>
          </cell>
          <cell r="D42" t="str">
            <v>Parque Continental</v>
          </cell>
          <cell r="E42" t="str">
            <v>SAO VICENTE</v>
          </cell>
          <cell r="F42" t="str">
            <v>SP</v>
          </cell>
          <cell r="G42" t="str">
            <v>25</v>
          </cell>
          <cell r="H42" t="str">
            <v>FUNDOS</v>
          </cell>
          <cell r="I42" t="str">
            <v>11348-220</v>
          </cell>
          <cell r="J42" t="str">
            <v>34060973</v>
          </cell>
          <cell r="K42" t="str">
            <v>988494342</v>
          </cell>
          <cell r="L42" t="str">
            <v>Masculino</v>
          </cell>
          <cell r="M42" t="str">
            <v>Preta/Negra</v>
          </cell>
          <cell r="N42">
            <v>26392</v>
          </cell>
          <cell r="O42" t="str">
            <v>197565852</v>
          </cell>
          <cell r="P42" t="str">
            <v>SP</v>
          </cell>
          <cell r="Q42" t="str">
            <v>SSP</v>
          </cell>
          <cell r="R42" t="str">
            <v>SANTOS</v>
          </cell>
        </row>
        <row r="43">
          <cell r="A43" t="str">
            <v>FLAVIO PEREIRA DOS SANTOS JUNIOR</v>
          </cell>
          <cell r="B43" t="str">
            <v>Casado</v>
          </cell>
          <cell r="C43" t="str">
            <v>R Coronel Pinto Novaes</v>
          </cell>
          <cell r="D43" t="str">
            <v>Itarare</v>
          </cell>
          <cell r="E43" t="str">
            <v>SAO VICENTE</v>
          </cell>
          <cell r="F43" t="str">
            <v>SP</v>
          </cell>
          <cell r="G43" t="str">
            <v>124</v>
          </cell>
          <cell r="H43" t="str">
            <v>41</v>
          </cell>
          <cell r="I43" t="str">
            <v>11320-150</v>
          </cell>
          <cell r="J43" t="str">
            <v>78059572</v>
          </cell>
          <cell r="K43" t="str">
            <v/>
          </cell>
          <cell r="L43" t="str">
            <v>Masculino</v>
          </cell>
          <cell r="M43" t="str">
            <v>Parda</v>
          </cell>
          <cell r="N43">
            <v>24131</v>
          </cell>
          <cell r="O43" t="str">
            <v>18501089</v>
          </cell>
          <cell r="P43" t="str">
            <v>SP</v>
          </cell>
          <cell r="Q43" t="str">
            <v>SSP</v>
          </cell>
          <cell r="R43" t="str">
            <v>SANTOS</v>
          </cell>
        </row>
        <row r="44">
          <cell r="A44" t="str">
            <v>ANDRE BILRO BELEN</v>
          </cell>
          <cell r="B44" t="str">
            <v>Casado</v>
          </cell>
          <cell r="C44" t="str">
            <v>R Agenor de Assis</v>
          </cell>
          <cell r="D44" t="str">
            <v>Vila Alice (Vicente de Carvalho)</v>
          </cell>
          <cell r="E44" t="str">
            <v>GUARUJA</v>
          </cell>
          <cell r="F44" t="str">
            <v>SP</v>
          </cell>
          <cell r="G44" t="str">
            <v>105</v>
          </cell>
          <cell r="H44" t="str">
            <v>Apto 03</v>
          </cell>
          <cell r="I44" t="str">
            <v>11450-180</v>
          </cell>
          <cell r="J44" t="str">
            <v>974076077</v>
          </cell>
          <cell r="K44" t="str">
            <v/>
          </cell>
          <cell r="L44" t="str">
            <v>Masculino</v>
          </cell>
          <cell r="M44" t="str">
            <v>Branca</v>
          </cell>
          <cell r="N44">
            <v>28983</v>
          </cell>
          <cell r="O44" t="str">
            <v>308125319</v>
          </cell>
          <cell r="P44" t="str">
            <v>SP</v>
          </cell>
          <cell r="Q44" t="str">
            <v>SSP</v>
          </cell>
          <cell r="R44" t="str">
            <v>SANTOS</v>
          </cell>
        </row>
        <row r="45">
          <cell r="A45" t="str">
            <v>REGINALDO LOPES DE OLIVEIRA</v>
          </cell>
          <cell r="B45" t="str">
            <v>Casado</v>
          </cell>
          <cell r="C45" t="str">
            <v>R Dom Idílio José Soares</v>
          </cell>
          <cell r="D45" t="str">
            <v>Vila Nova</v>
          </cell>
          <cell r="E45" t="str">
            <v>CUBATAO</v>
          </cell>
          <cell r="F45" t="str">
            <v>SP</v>
          </cell>
          <cell r="G45" t="str">
            <v>648</v>
          </cell>
          <cell r="H45" t="str">
            <v/>
          </cell>
          <cell r="I45" t="str">
            <v>11525-010</v>
          </cell>
          <cell r="J45" t="str">
            <v>974059177</v>
          </cell>
          <cell r="K45" t="str">
            <v/>
          </cell>
          <cell r="L45" t="str">
            <v>Masculino</v>
          </cell>
          <cell r="M45" t="str">
            <v>Parda</v>
          </cell>
          <cell r="N45">
            <v>27140</v>
          </cell>
          <cell r="O45" t="str">
            <v>217473210</v>
          </cell>
          <cell r="P45" t="str">
            <v>SP</v>
          </cell>
          <cell r="Q45" t="str">
            <v>SSP</v>
          </cell>
          <cell r="R45" t="str">
            <v>CUBATAO</v>
          </cell>
        </row>
        <row r="46">
          <cell r="A46" t="str">
            <v>ALCIDESIO JOSE SILVA DE SOUZA</v>
          </cell>
          <cell r="B46" t="str">
            <v>Casado</v>
          </cell>
          <cell r="C46" t="str">
            <v>R Três</v>
          </cell>
          <cell r="D46" t="str">
            <v>Vila Áurea (Vicente</v>
          </cell>
          <cell r="E46" t="str">
            <v>GUARUJA</v>
          </cell>
          <cell r="F46" t="str">
            <v>SP</v>
          </cell>
          <cell r="G46" t="str">
            <v>65</v>
          </cell>
          <cell r="H46" t="str">
            <v>CASA</v>
          </cell>
          <cell r="I46" t="str">
            <v>11454-375</v>
          </cell>
          <cell r="J46" t="str">
            <v>991664807</v>
          </cell>
          <cell r="K46" t="str">
            <v/>
          </cell>
          <cell r="L46" t="str">
            <v>Masculino</v>
          </cell>
          <cell r="M46" t="str">
            <v>Preta/Negra</v>
          </cell>
          <cell r="N46">
            <v>29311</v>
          </cell>
          <cell r="O46" t="str">
            <v>32562740X</v>
          </cell>
          <cell r="P46" t="str">
            <v>SP</v>
          </cell>
          <cell r="Q46" t="str">
            <v>SSP</v>
          </cell>
          <cell r="R46" t="str">
            <v>GUARUJA</v>
          </cell>
        </row>
        <row r="47">
          <cell r="A47" t="str">
            <v>VANDERLEI FRANCZAK DOS SANTOS</v>
          </cell>
          <cell r="B47" t="str">
            <v>Casado</v>
          </cell>
          <cell r="C47" t="str">
            <v>R DIDIMO VERISSIMO</v>
          </cell>
          <cell r="D47" t="str">
            <v>Vila Santa Clara</v>
          </cell>
          <cell r="E47" t="str">
            <v>GUARUJA</v>
          </cell>
          <cell r="F47" t="str">
            <v>SP</v>
          </cell>
          <cell r="G47" t="str">
            <v>225</v>
          </cell>
          <cell r="H47" t="str">
            <v/>
          </cell>
          <cell r="I47" t="str">
            <v>11435-100</v>
          </cell>
          <cell r="J47" t="str">
            <v>997655031</v>
          </cell>
          <cell r="K47" t="str">
            <v>988136717</v>
          </cell>
          <cell r="L47" t="str">
            <v>Masculino</v>
          </cell>
          <cell r="M47" t="str">
            <v>Branca</v>
          </cell>
          <cell r="N47">
            <v>29010</v>
          </cell>
          <cell r="O47" t="str">
            <v>332544655</v>
          </cell>
          <cell r="P47" t="str">
            <v>SP</v>
          </cell>
          <cell r="Q47" t="str">
            <v>SSP</v>
          </cell>
          <cell r="R47" t="str">
            <v>GUARUJA</v>
          </cell>
        </row>
        <row r="48">
          <cell r="A48" t="str">
            <v>MARCOS ANTONIO DOS SANTOS</v>
          </cell>
          <cell r="B48" t="str">
            <v>Casado</v>
          </cell>
          <cell r="C48" t="str">
            <v>R Bolívia</v>
          </cell>
          <cell r="D48" t="str">
            <v>Guilhermina</v>
          </cell>
          <cell r="E48" t="str">
            <v>PRAIA GRANDE</v>
          </cell>
          <cell r="F48" t="str">
            <v>SP</v>
          </cell>
          <cell r="G48" t="str">
            <v>636</v>
          </cell>
          <cell r="H48" t="str">
            <v>Apto 83</v>
          </cell>
          <cell r="I48" t="str">
            <v>11701-850</v>
          </cell>
          <cell r="J48" t="str">
            <v/>
          </cell>
          <cell r="K48" t="str">
            <v>988700668</v>
          </cell>
          <cell r="L48" t="str">
            <v>Masculino</v>
          </cell>
          <cell r="M48" t="str">
            <v>Branca</v>
          </cell>
          <cell r="N48">
            <v>29448</v>
          </cell>
          <cell r="O48" t="str">
            <v>338829854</v>
          </cell>
          <cell r="P48" t="str">
            <v>SP</v>
          </cell>
          <cell r="Q48" t="str">
            <v>SSP</v>
          </cell>
          <cell r="R48" t="str">
            <v>PRESIDENTE PRUDENTE</v>
          </cell>
        </row>
        <row r="49">
          <cell r="A49" t="str">
            <v>GILBERTO MARTINS ARLINDO</v>
          </cell>
          <cell r="B49" t="str">
            <v>Casado</v>
          </cell>
          <cell r="C49" t="str">
            <v>R GABRIEL LOPES PEREIRA FILHO</v>
          </cell>
          <cell r="D49" t="str">
            <v>Vila Cascatinha</v>
          </cell>
          <cell r="E49" t="str">
            <v>SAO VICENTE</v>
          </cell>
          <cell r="F49" t="str">
            <v>SP</v>
          </cell>
          <cell r="G49" t="str">
            <v>28</v>
          </cell>
          <cell r="H49" t="str">
            <v/>
          </cell>
          <cell r="I49" t="str">
            <v>11370-170</v>
          </cell>
          <cell r="J49" t="str">
            <v>35611872</v>
          </cell>
          <cell r="K49" t="str">
            <v>991156141</v>
          </cell>
          <cell r="L49" t="str">
            <v>Masculino</v>
          </cell>
          <cell r="M49" t="str">
            <v>Mulato</v>
          </cell>
          <cell r="N49">
            <v>26018</v>
          </cell>
          <cell r="O49" t="str">
            <v>215258691</v>
          </cell>
          <cell r="P49" t="str">
            <v>SP</v>
          </cell>
          <cell r="Q49" t="str">
            <v>SSP</v>
          </cell>
          <cell r="R49" t="str">
            <v>SANTOS</v>
          </cell>
        </row>
        <row r="50">
          <cell r="A50" t="str">
            <v>GEORGE DA SILVA VIZOSO</v>
          </cell>
          <cell r="B50" t="str">
            <v>Casado</v>
          </cell>
          <cell r="C50" t="str">
            <v>AV Presidente Costa e Silva</v>
          </cell>
          <cell r="D50" t="str">
            <v>Boqueirao</v>
          </cell>
          <cell r="E50" t="str">
            <v>PRAIA GRANDE</v>
          </cell>
          <cell r="F50" t="str">
            <v>SP</v>
          </cell>
          <cell r="G50" t="str">
            <v>597</v>
          </cell>
          <cell r="H50" t="str">
            <v>APTO 26</v>
          </cell>
          <cell r="I50" t="str">
            <v>11701-000</v>
          </cell>
          <cell r="J50" t="str">
            <v>981660888</v>
          </cell>
          <cell r="K50" t="str">
            <v/>
          </cell>
          <cell r="L50" t="str">
            <v>Masculino</v>
          </cell>
          <cell r="M50" t="str">
            <v>Branca</v>
          </cell>
          <cell r="N50">
            <v>30638</v>
          </cell>
          <cell r="O50" t="str">
            <v>452228244</v>
          </cell>
          <cell r="P50" t="str">
            <v>SP</v>
          </cell>
          <cell r="Q50" t="str">
            <v>SSP</v>
          </cell>
          <cell r="R50" t="str">
            <v>PRAIA GRANDE</v>
          </cell>
        </row>
        <row r="51">
          <cell r="A51" t="str">
            <v>JOSE APARECIDO SANTOS DO NASCIMENTO</v>
          </cell>
          <cell r="B51" t="str">
            <v>Divorciado</v>
          </cell>
          <cell r="C51" t="str">
            <v>R Solemar</v>
          </cell>
          <cell r="D51" t="str">
            <v>Sítio Paecara (Vicen</v>
          </cell>
          <cell r="E51" t="str">
            <v>GUARUJA</v>
          </cell>
          <cell r="F51" t="str">
            <v>SP</v>
          </cell>
          <cell r="G51" t="str">
            <v>50</v>
          </cell>
          <cell r="H51" t="str">
            <v>CASA</v>
          </cell>
          <cell r="I51" t="str">
            <v>11460-290</v>
          </cell>
          <cell r="J51" t="str">
            <v>974065821</v>
          </cell>
          <cell r="K51" t="str">
            <v/>
          </cell>
          <cell r="L51" t="str">
            <v>Masculino</v>
          </cell>
          <cell r="M51" t="str">
            <v>Branca</v>
          </cell>
          <cell r="N51">
            <v>29287</v>
          </cell>
          <cell r="O51" t="str">
            <v>348957506</v>
          </cell>
          <cell r="P51" t="str">
            <v>SP</v>
          </cell>
          <cell r="Q51" t="str">
            <v>SSP</v>
          </cell>
          <cell r="R51" t="str">
            <v>GUARUJA</v>
          </cell>
        </row>
        <row r="52">
          <cell r="A52" t="str">
            <v>FIORE ZOPPELLO JUNIOR</v>
          </cell>
          <cell r="B52" t="str">
            <v>Solteiro</v>
          </cell>
          <cell r="C52" t="str">
            <v>R BARÃO DE PARANAPIACABA</v>
          </cell>
          <cell r="D52" t="str">
            <v>Encruzilhada</v>
          </cell>
          <cell r="E52" t="str">
            <v>SANTOS</v>
          </cell>
          <cell r="F52" t="str">
            <v>SP</v>
          </cell>
          <cell r="G52" t="str">
            <v>160</v>
          </cell>
          <cell r="H52" t="str">
            <v>AP 11</v>
          </cell>
          <cell r="I52" t="str">
            <v>11050-250</v>
          </cell>
          <cell r="J52" t="str">
            <v>32239126</v>
          </cell>
          <cell r="K52" t="str">
            <v/>
          </cell>
          <cell r="L52" t="str">
            <v>Masculino</v>
          </cell>
          <cell r="M52" t="str">
            <v>Parda</v>
          </cell>
          <cell r="N52">
            <v>31800</v>
          </cell>
          <cell r="O52" t="str">
            <v>443081281</v>
          </cell>
          <cell r="P52" t="str">
            <v>SP</v>
          </cell>
          <cell r="Q52" t="str">
            <v>SSP</v>
          </cell>
          <cell r="R52" t="str">
            <v>SANTOS</v>
          </cell>
        </row>
        <row r="53">
          <cell r="A53" t="str">
            <v>ANTONIO FERNANDO DO NASCIMENTO</v>
          </cell>
          <cell r="B53" t="str">
            <v>Casado</v>
          </cell>
          <cell r="C53" t="str">
            <v>R Luiz Felipe Machado</v>
          </cell>
          <cell r="D53" t="str">
            <v>Vila Santa Rosa</v>
          </cell>
          <cell r="E53" t="str">
            <v>GUARUJA</v>
          </cell>
          <cell r="F53" t="str">
            <v>SP</v>
          </cell>
          <cell r="G53" t="str">
            <v>1366</v>
          </cell>
          <cell r="H53" t="str">
            <v/>
          </cell>
          <cell r="I53" t="str">
            <v>11431-101</v>
          </cell>
          <cell r="J53" t="str">
            <v>991778882</v>
          </cell>
          <cell r="K53" t="str">
            <v/>
          </cell>
          <cell r="L53" t="str">
            <v>Masculino</v>
          </cell>
          <cell r="M53" t="str">
            <v>Parda</v>
          </cell>
          <cell r="N53">
            <v>24142</v>
          </cell>
          <cell r="O53" t="str">
            <v>186488452</v>
          </cell>
          <cell r="P53" t="str">
            <v>SP</v>
          </cell>
          <cell r="Q53" t="str">
            <v>SSP</v>
          </cell>
          <cell r="R53" t="str">
            <v>SANTOS</v>
          </cell>
        </row>
        <row r="54">
          <cell r="A54" t="str">
            <v>REGINALDO SOUSA MARIANO</v>
          </cell>
          <cell r="B54" t="str">
            <v>Casado</v>
          </cell>
          <cell r="C54" t="str">
            <v>R JOSE ALVES DE OLIVEIRA</v>
          </cell>
          <cell r="D54" t="str">
            <v>Jardim Las Palmas</v>
          </cell>
          <cell r="E54" t="str">
            <v>GUARUJA</v>
          </cell>
          <cell r="F54" t="str">
            <v>SP</v>
          </cell>
          <cell r="G54" t="str">
            <v>90</v>
          </cell>
          <cell r="H54" t="str">
            <v>CASA 5</v>
          </cell>
          <cell r="I54" t="str">
            <v>11420-445</v>
          </cell>
          <cell r="J54" t="str">
            <v>96016041</v>
          </cell>
          <cell r="K54" t="str">
            <v>988806204</v>
          </cell>
          <cell r="L54" t="str">
            <v>Masculino</v>
          </cell>
          <cell r="M54" t="str">
            <v>Branca</v>
          </cell>
          <cell r="N54">
            <v>25450</v>
          </cell>
          <cell r="O54" t="str">
            <v>234663194</v>
          </cell>
          <cell r="P54" t="str">
            <v>SP</v>
          </cell>
          <cell r="Q54" t="str">
            <v>SSP</v>
          </cell>
          <cell r="R54" t="str">
            <v>GUARUJA</v>
          </cell>
        </row>
        <row r="55">
          <cell r="A55" t="str">
            <v>HENRIQUE DE OLIVEIRA FERNANDES</v>
          </cell>
          <cell r="B55" t="str">
            <v>Solteiro</v>
          </cell>
          <cell r="C55" t="str">
            <v>R Álvaro Parente</v>
          </cell>
          <cell r="D55" t="str">
            <v>Parque Estuário (Vic</v>
          </cell>
          <cell r="E55" t="str">
            <v>GUARUJA</v>
          </cell>
          <cell r="F55" t="str">
            <v>SP</v>
          </cell>
          <cell r="G55" t="str">
            <v>313</v>
          </cell>
          <cell r="H55" t="str">
            <v>CASA</v>
          </cell>
          <cell r="I55" t="str">
            <v>11451-020</v>
          </cell>
          <cell r="J55" t="str">
            <v>991607084</v>
          </cell>
          <cell r="K55" t="str">
            <v>33412618</v>
          </cell>
          <cell r="L55" t="str">
            <v>Masculino</v>
          </cell>
          <cell r="M55" t="str">
            <v>Branca</v>
          </cell>
          <cell r="N55">
            <v>30878</v>
          </cell>
          <cell r="O55" t="str">
            <v>44531767X</v>
          </cell>
          <cell r="P55" t="str">
            <v>SP</v>
          </cell>
          <cell r="Q55" t="str">
            <v>SSP</v>
          </cell>
          <cell r="R55" t="str">
            <v>SANTOS</v>
          </cell>
        </row>
        <row r="56">
          <cell r="A56" t="str">
            <v>GILMAR SANTANA DA SILVA</v>
          </cell>
          <cell r="B56" t="str">
            <v>Casado</v>
          </cell>
          <cell r="C56" t="str">
            <v>R Octacílio Faustino dos Santos</v>
          </cell>
          <cell r="D56" t="str">
            <v>Jardim Progresso (Vi</v>
          </cell>
          <cell r="E56" t="str">
            <v>GUARUJA</v>
          </cell>
          <cell r="F56" t="str">
            <v>SP</v>
          </cell>
          <cell r="G56" t="str">
            <v>17</v>
          </cell>
          <cell r="H56" t="str">
            <v>CASA 2</v>
          </cell>
          <cell r="I56" t="str">
            <v>11453-240</v>
          </cell>
          <cell r="J56" t="str">
            <v>91769733</v>
          </cell>
          <cell r="K56" t="str">
            <v/>
          </cell>
          <cell r="L56" t="str">
            <v>Masculino</v>
          </cell>
          <cell r="M56" t="str">
            <v>Mulato</v>
          </cell>
          <cell r="N56">
            <v>29749</v>
          </cell>
          <cell r="O56" t="str">
            <v>354892983</v>
          </cell>
          <cell r="P56" t="str">
            <v>SP</v>
          </cell>
          <cell r="Q56" t="str">
            <v>SSP</v>
          </cell>
          <cell r="R56" t="str">
            <v>GUARUJA</v>
          </cell>
        </row>
        <row r="57">
          <cell r="A57" t="str">
            <v>FABIO DE CARVALHO NEVES</v>
          </cell>
          <cell r="B57" t="str">
            <v>Casado</v>
          </cell>
          <cell r="C57" t="str">
            <v>R MARIVALDO FERNANDES</v>
          </cell>
          <cell r="D57" t="str">
            <v>Enseada</v>
          </cell>
          <cell r="E57" t="str">
            <v>GUARUJA</v>
          </cell>
          <cell r="F57" t="str">
            <v>SP</v>
          </cell>
          <cell r="G57" t="str">
            <v>270</v>
          </cell>
          <cell r="H57" t="str">
            <v>APTO 21</v>
          </cell>
          <cell r="I57" t="str">
            <v>11440-050</v>
          </cell>
          <cell r="J57" t="str">
            <v>974038677</v>
          </cell>
          <cell r="K57" t="str">
            <v/>
          </cell>
          <cell r="L57" t="str">
            <v>Masculino</v>
          </cell>
          <cell r="M57" t="str">
            <v>Branca</v>
          </cell>
          <cell r="N57">
            <v>27560</v>
          </cell>
          <cell r="O57" t="str">
            <v>53926037</v>
          </cell>
          <cell r="P57" t="str">
            <v>PR</v>
          </cell>
          <cell r="Q57" t="str">
            <v>SPPR</v>
          </cell>
          <cell r="R57" t="str">
            <v>LONDRINA</v>
          </cell>
        </row>
        <row r="58">
          <cell r="A58" t="str">
            <v>GERLANIO CARVALHO DE LIMA</v>
          </cell>
          <cell r="B58" t="str">
            <v>Casado</v>
          </cell>
          <cell r="C58" t="str">
            <v>R João Carlos da Silva</v>
          </cell>
          <cell r="D58" t="str">
            <v>São Manoel</v>
          </cell>
          <cell r="E58" t="str">
            <v>SANTOS</v>
          </cell>
          <cell r="F58" t="str">
            <v>SP</v>
          </cell>
          <cell r="G58" t="str">
            <v>82</v>
          </cell>
          <cell r="H58" t="str">
            <v>altos</v>
          </cell>
          <cell r="I58" t="str">
            <v>11095-130</v>
          </cell>
          <cell r="J58" t="str">
            <v>996673435</v>
          </cell>
          <cell r="K58" t="str">
            <v/>
          </cell>
          <cell r="L58" t="str">
            <v>Masculino</v>
          </cell>
          <cell r="M58" t="str">
            <v>Branca</v>
          </cell>
          <cell r="N58">
            <v>30672</v>
          </cell>
          <cell r="O58" t="str">
            <v>1159566976</v>
          </cell>
          <cell r="P58" t="str">
            <v>BA</v>
          </cell>
          <cell r="Q58" t="str">
            <v>SPBA</v>
          </cell>
          <cell r="R58" t="str">
            <v>FEIRA DE SANTANA</v>
          </cell>
        </row>
        <row r="59">
          <cell r="A59" t="str">
            <v>SUZANA LORENA QUINTEROS SAEZ</v>
          </cell>
          <cell r="B59" t="str">
            <v>Casado</v>
          </cell>
          <cell r="C59" t="str">
            <v>AV Manoel da Cruz Michael</v>
          </cell>
          <cell r="D59" t="str">
            <v>Jardim São Manoel</v>
          </cell>
          <cell r="E59" t="str">
            <v>GUARUJA</v>
          </cell>
          <cell r="F59" t="str">
            <v>SP</v>
          </cell>
          <cell r="G59" t="str">
            <v>470</v>
          </cell>
          <cell r="H59" t="str">
            <v/>
          </cell>
          <cell r="I59" t="str">
            <v>11430-090</v>
          </cell>
          <cell r="J59" t="str">
            <v>33584092</v>
          </cell>
          <cell r="K59" t="str">
            <v/>
          </cell>
          <cell r="L59" t="str">
            <v>Feminino</v>
          </cell>
          <cell r="M59" t="str">
            <v>Branca</v>
          </cell>
          <cell r="N59">
            <v>29918</v>
          </cell>
          <cell r="O59" t="str">
            <v>534030300</v>
          </cell>
          <cell r="P59" t="str">
            <v>SP</v>
          </cell>
          <cell r="Q59" t="str">
            <v>SSP</v>
          </cell>
          <cell r="R59" t="str">
            <v>GOVERNADOR VALADARES</v>
          </cell>
        </row>
        <row r="60">
          <cell r="A60" t="str">
            <v>VITOR SILVA DE OLIVEIRA</v>
          </cell>
          <cell r="B60" t="str">
            <v>Solteiro</v>
          </cell>
          <cell r="C60" t="str">
            <v>R Comendador Aristides Cabrera Correa da C</v>
          </cell>
          <cell r="D60" t="str">
            <v>Estuario</v>
          </cell>
          <cell r="E60" t="str">
            <v>SANTOS</v>
          </cell>
          <cell r="F60" t="str">
            <v>SP</v>
          </cell>
          <cell r="G60" t="str">
            <v>79</v>
          </cell>
          <cell r="H60" t="str">
            <v/>
          </cell>
          <cell r="I60" t="str">
            <v>11020-360</v>
          </cell>
          <cell r="J60" t="str">
            <v/>
          </cell>
          <cell r="K60" t="str">
            <v/>
          </cell>
          <cell r="L60" t="str">
            <v>Masculino</v>
          </cell>
          <cell r="M60" t="str">
            <v>Branca</v>
          </cell>
          <cell r="N60">
            <v>31190</v>
          </cell>
          <cell r="O60" t="str">
            <v>29948435X</v>
          </cell>
          <cell r="P60" t="str">
            <v>SP</v>
          </cell>
          <cell r="Q60" t="str">
            <v>SSP</v>
          </cell>
          <cell r="R60" t="str">
            <v>SANTOS</v>
          </cell>
        </row>
        <row r="61">
          <cell r="A61" t="str">
            <v>LAYS OLIVEIRA FERRAZ</v>
          </cell>
          <cell r="B61" t="str">
            <v>Casado</v>
          </cell>
          <cell r="C61" t="str">
            <v>R Renata Câmara Agondi</v>
          </cell>
          <cell r="D61" t="str">
            <v>Saboo</v>
          </cell>
          <cell r="E61" t="str">
            <v>SANTOS</v>
          </cell>
          <cell r="F61" t="str">
            <v>SP</v>
          </cell>
          <cell r="G61" t="str">
            <v>179</v>
          </cell>
          <cell r="H61" t="str">
            <v>AP 23</v>
          </cell>
          <cell r="I61" t="str">
            <v>11085-070</v>
          </cell>
          <cell r="J61" t="str">
            <v>32196776</v>
          </cell>
          <cell r="K61" t="str">
            <v/>
          </cell>
          <cell r="L61" t="str">
            <v>Feminino</v>
          </cell>
          <cell r="M61" t="str">
            <v>Branca</v>
          </cell>
          <cell r="N61">
            <v>32618</v>
          </cell>
          <cell r="O61" t="str">
            <v>449595225</v>
          </cell>
          <cell r="P61" t="str">
            <v>SP</v>
          </cell>
          <cell r="Q61" t="str">
            <v>SSP</v>
          </cell>
          <cell r="R61" t="str">
            <v>SANTOS</v>
          </cell>
        </row>
        <row r="62">
          <cell r="A62" t="str">
            <v>JULIANA FERNANDES PATARO</v>
          </cell>
          <cell r="B62" t="str">
            <v>Casado</v>
          </cell>
          <cell r="C62" t="str">
            <v>PC VISCONDE DE OURO PRETO</v>
          </cell>
          <cell r="D62" t="str">
            <v>Estuario</v>
          </cell>
          <cell r="E62" t="str">
            <v>SANTOS</v>
          </cell>
          <cell r="F62" t="str">
            <v>SP</v>
          </cell>
          <cell r="G62" t="str">
            <v>21</v>
          </cell>
          <cell r="H62" t="str">
            <v>28</v>
          </cell>
          <cell r="I62" t="str">
            <v>11025-190</v>
          </cell>
          <cell r="J62" t="str">
            <v>33013632</v>
          </cell>
          <cell r="K62" t="str">
            <v/>
          </cell>
          <cell r="L62" t="str">
            <v>Feminino</v>
          </cell>
          <cell r="M62" t="str">
            <v>Branca</v>
          </cell>
          <cell r="N62">
            <v>30702</v>
          </cell>
          <cell r="O62" t="str">
            <v>419763211</v>
          </cell>
          <cell r="P62" t="str">
            <v>SP</v>
          </cell>
          <cell r="Q62" t="str">
            <v>SSP</v>
          </cell>
          <cell r="R62" t="str">
            <v>SANTOS</v>
          </cell>
        </row>
        <row r="63">
          <cell r="A63" t="str">
            <v>NARAA GAMA DE OLIVEIRA MEIRELES</v>
          </cell>
          <cell r="B63" t="str">
            <v>Solteiro</v>
          </cell>
          <cell r="C63" t="str">
            <v>AV Siqueira Campos</v>
          </cell>
          <cell r="D63" t="str">
            <v>Boqueirão</v>
          </cell>
          <cell r="E63" t="str">
            <v>SANTOS</v>
          </cell>
          <cell r="F63" t="str">
            <v>SP</v>
          </cell>
          <cell r="G63" t="str">
            <v>490</v>
          </cell>
          <cell r="H63" t="str">
            <v>ap 115</v>
          </cell>
          <cell r="I63" t="str">
            <v>11045-200</v>
          </cell>
          <cell r="J63" t="str">
            <v>996688442</v>
          </cell>
          <cell r="K63" t="str">
            <v/>
          </cell>
          <cell r="L63" t="str">
            <v>Feminino</v>
          </cell>
          <cell r="M63" t="str">
            <v>Branca</v>
          </cell>
          <cell r="N63">
            <v>32256</v>
          </cell>
          <cell r="O63" t="str">
            <v>343500644</v>
          </cell>
          <cell r="P63" t="str">
            <v>SP</v>
          </cell>
          <cell r="Q63" t="str">
            <v>SSP</v>
          </cell>
          <cell r="R63" t="str">
            <v>SANTOS</v>
          </cell>
        </row>
        <row r="64">
          <cell r="A64" t="str">
            <v>ARIANE TEIXEIRA OLIVEIRA</v>
          </cell>
          <cell r="B64" t="str">
            <v>Solteiro</v>
          </cell>
          <cell r="C64" t="str">
            <v>R Guilherme Raposo de Almeida</v>
          </cell>
          <cell r="D64" t="str">
            <v>Cidade Nautica</v>
          </cell>
          <cell r="E64" t="str">
            <v>SAO VICENTE</v>
          </cell>
          <cell r="F64" t="str">
            <v>SP</v>
          </cell>
          <cell r="G64" t="str">
            <v>665</v>
          </cell>
          <cell r="H64" t="str">
            <v/>
          </cell>
          <cell r="I64" t="str">
            <v>11350-200</v>
          </cell>
          <cell r="J64" t="str">
            <v>996722026</v>
          </cell>
          <cell r="K64" t="str">
            <v/>
          </cell>
          <cell r="L64" t="str">
            <v>Feminino</v>
          </cell>
          <cell r="M64" t="str">
            <v>Branca</v>
          </cell>
          <cell r="N64">
            <v>33158</v>
          </cell>
          <cell r="O64" t="str">
            <v>472321821</v>
          </cell>
          <cell r="P64" t="str">
            <v>SP</v>
          </cell>
          <cell r="Q64" t="str">
            <v>SSP</v>
          </cell>
          <cell r="R64" t="str">
            <v>SAO VICENTE</v>
          </cell>
        </row>
        <row r="65">
          <cell r="A65" t="str">
            <v>EDUARDO LORETO MACEDO</v>
          </cell>
          <cell r="B65" t="str">
            <v>Casado</v>
          </cell>
          <cell r="C65" t="str">
            <v>R Doutor Roberto de Almeida Vinhas</v>
          </cell>
          <cell r="D65" t="str">
            <v>Vila Sao Jorge</v>
          </cell>
          <cell r="E65" t="str">
            <v>SAO VICENTE</v>
          </cell>
          <cell r="F65" t="str">
            <v>SP</v>
          </cell>
          <cell r="G65" t="str">
            <v>98</v>
          </cell>
          <cell r="H65" t="str">
            <v/>
          </cell>
          <cell r="I65" t="str">
            <v>11380-190</v>
          </cell>
          <cell r="J65" t="str">
            <v>33853194</v>
          </cell>
          <cell r="K65" t="str">
            <v/>
          </cell>
          <cell r="L65" t="str">
            <v>Masculino</v>
          </cell>
          <cell r="M65" t="str">
            <v>Branca</v>
          </cell>
          <cell r="N65">
            <v>31336</v>
          </cell>
          <cell r="O65" t="str">
            <v>444689461</v>
          </cell>
          <cell r="P65" t="str">
            <v>SP</v>
          </cell>
          <cell r="Q65" t="str">
            <v>SSP</v>
          </cell>
          <cell r="R65" t="str">
            <v>SANTOS</v>
          </cell>
        </row>
        <row r="66">
          <cell r="A66" t="str">
            <v>ELTON SANTOS DA COSTA</v>
          </cell>
          <cell r="B66" t="str">
            <v>Casado</v>
          </cell>
          <cell r="C66" t="str">
            <v>R Quinze de Novembro</v>
          </cell>
          <cell r="D66" t="str">
            <v>Vila Nova</v>
          </cell>
          <cell r="E66" t="str">
            <v>CUBATAO</v>
          </cell>
          <cell r="F66" t="str">
            <v>SP</v>
          </cell>
          <cell r="G66" t="str">
            <v>624</v>
          </cell>
          <cell r="H66" t="str">
            <v/>
          </cell>
          <cell r="I66" t="str">
            <v>11520-010</v>
          </cell>
          <cell r="J66" t="str">
            <v>988398100</v>
          </cell>
          <cell r="K66" t="str">
            <v/>
          </cell>
          <cell r="L66" t="str">
            <v>Masculino</v>
          </cell>
          <cell r="M66" t="str">
            <v>Branca</v>
          </cell>
          <cell r="N66">
            <v>32787</v>
          </cell>
          <cell r="O66" t="str">
            <v>365009519</v>
          </cell>
          <cell r="P66" t="str">
            <v>SP</v>
          </cell>
          <cell r="Q66" t="str">
            <v>SSP</v>
          </cell>
          <cell r="R66" t="str">
            <v>CUBATAO</v>
          </cell>
        </row>
        <row r="67">
          <cell r="A67" t="str">
            <v>JOSE ROBERTO SABINO PIMENTEL</v>
          </cell>
          <cell r="B67" t="str">
            <v>Solteiro</v>
          </cell>
          <cell r="C67" t="str">
            <v>R Comandante Bulcão Vianna</v>
          </cell>
          <cell r="D67" t="str">
            <v>Bom Retiro</v>
          </cell>
          <cell r="E67" t="str">
            <v>SANTOS</v>
          </cell>
          <cell r="F67" t="str">
            <v>SP</v>
          </cell>
          <cell r="G67" t="str">
            <v>716</v>
          </cell>
          <cell r="H67" t="str">
            <v>CASA A</v>
          </cell>
          <cell r="I67" t="str">
            <v>11090-000</v>
          </cell>
          <cell r="J67" t="str">
            <v>97555288</v>
          </cell>
          <cell r="K67" t="str">
            <v/>
          </cell>
          <cell r="L67" t="str">
            <v>Masculino</v>
          </cell>
          <cell r="M67" t="str">
            <v>Branca</v>
          </cell>
          <cell r="N67">
            <v>30594</v>
          </cell>
          <cell r="O67" t="str">
            <v>446642502</v>
          </cell>
          <cell r="P67" t="str">
            <v>SP</v>
          </cell>
          <cell r="Q67" t="str">
            <v>SSP</v>
          </cell>
          <cell r="R67" t="str">
            <v>SANTOS</v>
          </cell>
        </row>
        <row r="68">
          <cell r="A68" t="str">
            <v>VICTOR CONRADO GONCALVES</v>
          </cell>
          <cell r="B68" t="str">
            <v>Solteiro</v>
          </cell>
          <cell r="C68" t="str">
            <v>R MARIA DE JESUS JARDIM</v>
          </cell>
          <cell r="D68" t="str">
            <v>Vila Sonia</v>
          </cell>
          <cell r="E68" t="str">
            <v>PRAIA GRANDE</v>
          </cell>
          <cell r="F68" t="str">
            <v>SP</v>
          </cell>
          <cell r="G68" t="str">
            <v>11923</v>
          </cell>
          <cell r="H68" t="str">
            <v/>
          </cell>
          <cell r="I68" t="str">
            <v>11722-090</v>
          </cell>
          <cell r="J68" t="str">
            <v>988546513</v>
          </cell>
          <cell r="K68" t="str">
            <v/>
          </cell>
          <cell r="L68" t="str">
            <v>Masculino</v>
          </cell>
          <cell r="M68" t="str">
            <v>Parda</v>
          </cell>
          <cell r="N68">
            <v>33261</v>
          </cell>
          <cell r="O68" t="str">
            <v>300187142</v>
          </cell>
          <cell r="P68" t="str">
            <v>SP</v>
          </cell>
          <cell r="Q68" t="str">
            <v>SSP</v>
          </cell>
          <cell r="R68" t="str">
            <v>SAO VICENTE</v>
          </cell>
        </row>
        <row r="69">
          <cell r="A69" t="str">
            <v>PATRICIA COSTA SENA DE ALMEIDA</v>
          </cell>
          <cell r="B69" t="str">
            <v>Casado</v>
          </cell>
          <cell r="C69" t="str">
            <v>R FLAMINIO LEVY</v>
          </cell>
          <cell r="D69" t="str">
            <v>Saboo</v>
          </cell>
          <cell r="E69" t="str">
            <v>SANTOS</v>
          </cell>
          <cell r="F69" t="str">
            <v>SP</v>
          </cell>
          <cell r="G69" t="str">
            <v>460</v>
          </cell>
          <cell r="H69" t="str">
            <v>BL26 AP 94</v>
          </cell>
          <cell r="I69" t="str">
            <v>11085-080</v>
          </cell>
          <cell r="J69" t="str">
            <v>988836959</v>
          </cell>
          <cell r="K69" t="str">
            <v/>
          </cell>
          <cell r="L69" t="str">
            <v>Feminino</v>
          </cell>
          <cell r="M69" t="str">
            <v>Preta/Negra</v>
          </cell>
          <cell r="N69">
            <v>28530</v>
          </cell>
          <cell r="O69" t="str">
            <v>294065581</v>
          </cell>
          <cell r="P69" t="str">
            <v>SP</v>
          </cell>
          <cell r="Q69" t="str">
            <v>SSP</v>
          </cell>
          <cell r="R69" t="str">
            <v>SANTOS</v>
          </cell>
        </row>
        <row r="70">
          <cell r="A70" t="str">
            <v>FELIPE MAFRA MELO</v>
          </cell>
          <cell r="B70" t="str">
            <v>Casado</v>
          </cell>
          <cell r="C70" t="str">
            <v>R Miguel Rocha Corrêa</v>
          </cell>
          <cell r="D70" t="str">
            <v>Caneleira</v>
          </cell>
          <cell r="E70" t="str">
            <v>SANTOS</v>
          </cell>
          <cell r="F70" t="str">
            <v>SP</v>
          </cell>
          <cell r="G70" t="str">
            <v>288</v>
          </cell>
          <cell r="H70" t="str">
            <v>BLOCO L AP 23</v>
          </cell>
          <cell r="I70" t="str">
            <v>11085-520</v>
          </cell>
          <cell r="J70" t="str">
            <v>991027692</v>
          </cell>
          <cell r="K70" t="str">
            <v/>
          </cell>
          <cell r="L70" t="str">
            <v>Masculino</v>
          </cell>
          <cell r="M70" t="str">
            <v>Branca</v>
          </cell>
          <cell r="N70">
            <v>32725</v>
          </cell>
          <cell r="O70" t="str">
            <v>449157878</v>
          </cell>
          <cell r="P70" t="str">
            <v>SP</v>
          </cell>
          <cell r="Q70" t="str">
            <v>SSP</v>
          </cell>
          <cell r="R70" t="str">
            <v>SAO BERNARDO DO CAMPO</v>
          </cell>
        </row>
        <row r="71">
          <cell r="A71" t="str">
            <v>CAIO ALVES DOS SANTOS</v>
          </cell>
          <cell r="B71" t="str">
            <v>Casado</v>
          </cell>
          <cell r="C71" t="str">
            <v>R Marina Lourenço de Oliveira (Bolsão 7)</v>
          </cell>
          <cell r="D71" t="str">
            <v>Jardim Nova República</v>
          </cell>
          <cell r="E71" t="str">
            <v>CUBATAO</v>
          </cell>
          <cell r="F71" t="str">
            <v>SP</v>
          </cell>
          <cell r="G71" t="str">
            <v>25</v>
          </cell>
          <cell r="H71" t="str">
            <v>BLOCO A, APTO 34</v>
          </cell>
          <cell r="I71" t="str">
            <v>11534-530</v>
          </cell>
          <cell r="J71" t="str">
            <v>81848226</v>
          </cell>
          <cell r="K71" t="str">
            <v/>
          </cell>
          <cell r="L71" t="str">
            <v>Masculino</v>
          </cell>
          <cell r="M71" t="str">
            <v>Branca</v>
          </cell>
          <cell r="N71">
            <v>33470</v>
          </cell>
          <cell r="O71" t="str">
            <v>479939081</v>
          </cell>
          <cell r="P71" t="str">
            <v>SP</v>
          </cell>
          <cell r="Q71" t="str">
            <v>SSP</v>
          </cell>
          <cell r="R71" t="str">
            <v>CUBATAO</v>
          </cell>
        </row>
        <row r="72">
          <cell r="A72" t="str">
            <v>CARLOS EDUARDO CARVALHO DE SANTANA</v>
          </cell>
          <cell r="B72" t="str">
            <v>Casado</v>
          </cell>
          <cell r="C72" t="str">
            <v>R RENATA CAMERA AGONDI</v>
          </cell>
          <cell r="D72" t="str">
            <v>Saboó</v>
          </cell>
          <cell r="E72" t="str">
            <v>SANTOS</v>
          </cell>
          <cell r="F72" t="str">
            <v>SP</v>
          </cell>
          <cell r="G72" t="str">
            <v>55</v>
          </cell>
          <cell r="H72" t="str">
            <v>APARTAMENTO 26-BL 14</v>
          </cell>
          <cell r="I72" t="str">
            <v>11085-070</v>
          </cell>
          <cell r="J72" t="str">
            <v>991655718</v>
          </cell>
          <cell r="K72" t="str">
            <v/>
          </cell>
          <cell r="L72" t="str">
            <v>Masculino</v>
          </cell>
          <cell r="M72" t="str">
            <v>Branca</v>
          </cell>
          <cell r="N72">
            <v>28655</v>
          </cell>
          <cell r="O72" t="str">
            <v>285347196</v>
          </cell>
          <cell r="P72" t="str">
            <v>SP</v>
          </cell>
          <cell r="Q72" t="str">
            <v>SSP</v>
          </cell>
          <cell r="R72" t="str">
            <v>SANTOS</v>
          </cell>
        </row>
        <row r="73">
          <cell r="A73" t="str">
            <v>LEONARDO HENRIQUE CORDEIRO GOIS MACIEL</v>
          </cell>
          <cell r="B73" t="str">
            <v>Casado</v>
          </cell>
          <cell r="C73" t="str">
            <v>R Guimarães Rosa</v>
          </cell>
          <cell r="D73" t="str">
            <v>Ocian</v>
          </cell>
          <cell r="E73" t="str">
            <v>PRAIA GRANDE</v>
          </cell>
          <cell r="F73" t="str">
            <v>SP</v>
          </cell>
          <cell r="G73" t="str">
            <v>902</v>
          </cell>
          <cell r="H73" t="str">
            <v>Ap54</v>
          </cell>
          <cell r="I73" t="str">
            <v>11704-160</v>
          </cell>
          <cell r="J73" t="str">
            <v>996942084</v>
          </cell>
          <cell r="K73" t="str">
            <v/>
          </cell>
          <cell r="L73" t="str">
            <v>Masculino</v>
          </cell>
          <cell r="M73" t="str">
            <v>Branca</v>
          </cell>
          <cell r="N73">
            <v>32238</v>
          </cell>
          <cell r="O73" t="str">
            <v>419438580</v>
          </cell>
          <cell r="P73" t="str">
            <v>SP</v>
          </cell>
          <cell r="Q73" t="str">
            <v>SSP</v>
          </cell>
          <cell r="R73" t="str">
            <v>SANTOS</v>
          </cell>
        </row>
        <row r="74">
          <cell r="A74" t="str">
            <v>FABIO NASCIMENTO DOS SANTOS</v>
          </cell>
          <cell r="B74" t="str">
            <v>Separado</v>
          </cell>
          <cell r="C74" t="str">
            <v>R Tamoios</v>
          </cell>
          <cell r="D74" t="str">
            <v>Parque São Vicente</v>
          </cell>
          <cell r="E74" t="str">
            <v>SAO VICENTE</v>
          </cell>
          <cell r="F74" t="str">
            <v>SP</v>
          </cell>
          <cell r="G74" t="str">
            <v>121</v>
          </cell>
          <cell r="H74" t="str">
            <v>APT 22</v>
          </cell>
          <cell r="I74" t="str">
            <v>11360-070</v>
          </cell>
          <cell r="J74" t="str">
            <v>991033338</v>
          </cell>
          <cell r="K74" t="str">
            <v/>
          </cell>
          <cell r="L74" t="str">
            <v>Masculino</v>
          </cell>
          <cell r="M74" t="str">
            <v>Parda</v>
          </cell>
          <cell r="N74">
            <v>31838</v>
          </cell>
          <cell r="O74" t="str">
            <v>304907418</v>
          </cell>
          <cell r="P74" t="str">
            <v>SP</v>
          </cell>
          <cell r="Q74" t="str">
            <v>SSP</v>
          </cell>
          <cell r="R74" t="str">
            <v>SANTOS</v>
          </cell>
        </row>
        <row r="75">
          <cell r="A75" t="str">
            <v>VALDEMIR LIMA DE SANTANA MARINHEIRO</v>
          </cell>
          <cell r="B75" t="str">
            <v>Divorciado</v>
          </cell>
          <cell r="C75" t="str">
            <v>R VIRIATO CORREA DA COSTA</v>
          </cell>
          <cell r="D75" t="str">
            <v>Santa Maria</v>
          </cell>
          <cell r="E75" t="str">
            <v>SANTOS</v>
          </cell>
          <cell r="F75" t="str">
            <v>SP</v>
          </cell>
          <cell r="G75" t="str">
            <v>276</v>
          </cell>
          <cell r="H75" t="str">
            <v/>
          </cell>
          <cell r="I75" t="str">
            <v>11089-020</v>
          </cell>
          <cell r="J75" t="str">
            <v>978007661</v>
          </cell>
          <cell r="K75" t="str">
            <v>988748200</v>
          </cell>
          <cell r="L75" t="str">
            <v>Masculino</v>
          </cell>
          <cell r="M75" t="str">
            <v>Preta/Negra</v>
          </cell>
          <cell r="N75">
            <v>29783</v>
          </cell>
          <cell r="O75" t="str">
            <v>345070902</v>
          </cell>
          <cell r="P75" t="str">
            <v>SE</v>
          </cell>
          <cell r="Q75" t="str">
            <v>SPSE</v>
          </cell>
          <cell r="R75" t="str">
            <v>FREI PAULO</v>
          </cell>
        </row>
        <row r="76">
          <cell r="A76" t="str">
            <v>GILDEVAN OLIMPIO FARIAS</v>
          </cell>
          <cell r="B76" t="str">
            <v>Solteiro</v>
          </cell>
          <cell r="C76" t="str">
            <v>ROD Padre Manoel da Nóbrega</v>
          </cell>
          <cell r="D76" t="str">
            <v>VILA ESPERANÇA</v>
          </cell>
          <cell r="E76" t="str">
            <v>CUBATAO</v>
          </cell>
          <cell r="F76" t="str">
            <v>SP</v>
          </cell>
          <cell r="G76" t="str">
            <v>416</v>
          </cell>
          <cell r="H76" t="str">
            <v/>
          </cell>
          <cell r="I76" t="str">
            <v>11540-000</v>
          </cell>
          <cell r="J76" t="str">
            <v>81565962</v>
          </cell>
          <cell r="K76" t="str">
            <v/>
          </cell>
          <cell r="L76" t="str">
            <v>Masculino</v>
          </cell>
          <cell r="M76" t="str">
            <v>Branca</v>
          </cell>
          <cell r="N76">
            <v>26869</v>
          </cell>
          <cell r="O76" t="str">
            <v>1204764</v>
          </cell>
          <cell r="P76" t="str">
            <v>SE</v>
          </cell>
          <cell r="Q76" t="str">
            <v>SSP</v>
          </cell>
          <cell r="R76" t="str">
            <v>RIACHAO DO DANTAS</v>
          </cell>
        </row>
        <row r="77">
          <cell r="A77" t="str">
            <v>JAYSON FELICIO PEREIRA DA SILVA</v>
          </cell>
          <cell r="B77" t="str">
            <v>Solteiro</v>
          </cell>
          <cell r="C77" t="str">
            <v>AV Almeida Júnior</v>
          </cell>
          <cell r="D77" t="str">
            <v>Samambaia</v>
          </cell>
          <cell r="E77" t="str">
            <v>PRAIA GRANDE</v>
          </cell>
          <cell r="F77" t="str">
            <v>SP</v>
          </cell>
          <cell r="G77" t="str">
            <v>518</v>
          </cell>
          <cell r="H77" t="str">
            <v>Casa 03</v>
          </cell>
          <cell r="I77" t="str">
            <v>11713-050</v>
          </cell>
          <cell r="J77" t="str">
            <v>974139547</v>
          </cell>
          <cell r="K77" t="str">
            <v/>
          </cell>
          <cell r="L77" t="str">
            <v>Masculino</v>
          </cell>
          <cell r="M77" t="str">
            <v>Preta/Negra</v>
          </cell>
          <cell r="N77">
            <v>31810</v>
          </cell>
          <cell r="O77" t="str">
            <v>443997779</v>
          </cell>
          <cell r="P77" t="str">
            <v>SP</v>
          </cell>
          <cell r="Q77" t="str">
            <v>SSP</v>
          </cell>
          <cell r="R77" t="str">
            <v>CUBATAO</v>
          </cell>
        </row>
        <row r="78">
          <cell r="A78" t="str">
            <v>FELIPE CORREIA DA COSTA</v>
          </cell>
          <cell r="B78" t="str">
            <v>Casado</v>
          </cell>
          <cell r="C78" t="str">
            <v>R Teixeira de Freitas</v>
          </cell>
          <cell r="D78" t="str">
            <v>Campo Grande</v>
          </cell>
          <cell r="E78" t="str">
            <v>SANTOS</v>
          </cell>
          <cell r="F78" t="str">
            <v>SP</v>
          </cell>
          <cell r="G78" t="str">
            <v>154</v>
          </cell>
          <cell r="H78" t="str">
            <v/>
          </cell>
          <cell r="I78" t="str">
            <v>11075-721</v>
          </cell>
          <cell r="J78" t="str">
            <v>988047467</v>
          </cell>
          <cell r="K78" t="str">
            <v/>
          </cell>
          <cell r="L78" t="str">
            <v>Masculino</v>
          </cell>
          <cell r="M78" t="str">
            <v>Branca</v>
          </cell>
          <cell r="N78">
            <v>29337</v>
          </cell>
          <cell r="O78" t="str">
            <v>329154205</v>
          </cell>
          <cell r="P78" t="str">
            <v>SP</v>
          </cell>
          <cell r="Q78" t="str">
            <v>SSP</v>
          </cell>
          <cell r="R78" t="str">
            <v>SANTOS</v>
          </cell>
        </row>
        <row r="79">
          <cell r="A79" t="str">
            <v>RUBENS CONRADO DA FONSECA</v>
          </cell>
          <cell r="B79" t="str">
            <v>Casado</v>
          </cell>
          <cell r="C79" t="str">
            <v>R DOUTOR BATISTA PEREIRA</v>
          </cell>
          <cell r="D79" t="str">
            <v>Macuco</v>
          </cell>
          <cell r="E79" t="str">
            <v>SANTOS</v>
          </cell>
          <cell r="F79" t="str">
            <v>SP</v>
          </cell>
          <cell r="G79" t="str">
            <v>297</v>
          </cell>
          <cell r="H79" t="str">
            <v/>
          </cell>
          <cell r="I79" t="str">
            <v>11015-101</v>
          </cell>
          <cell r="J79" t="str">
            <v>991659251</v>
          </cell>
          <cell r="K79" t="str">
            <v/>
          </cell>
          <cell r="L79" t="str">
            <v>Masculino</v>
          </cell>
          <cell r="M79" t="str">
            <v>Parda</v>
          </cell>
          <cell r="N79">
            <v>24693</v>
          </cell>
          <cell r="O79" t="str">
            <v>20459912X</v>
          </cell>
          <cell r="P79" t="str">
            <v>SP</v>
          </cell>
          <cell r="Q79" t="str">
            <v>SSP</v>
          </cell>
          <cell r="R79" t="str">
            <v>SANTOS</v>
          </cell>
        </row>
        <row r="80">
          <cell r="A80" t="str">
            <v>LUIZ FERNANDO SANTOS SERPA</v>
          </cell>
          <cell r="B80" t="str">
            <v>Solteiro</v>
          </cell>
          <cell r="C80" t="str">
            <v>R Cunha Moreira</v>
          </cell>
          <cell r="D80" t="str">
            <v>Encruzilhada</v>
          </cell>
          <cell r="E80" t="str">
            <v>SANTOS</v>
          </cell>
          <cell r="F80" t="str">
            <v>SP</v>
          </cell>
          <cell r="G80" t="str">
            <v>11121</v>
          </cell>
          <cell r="H80" t="str">
            <v/>
          </cell>
          <cell r="I80" t="str">
            <v>11050-241</v>
          </cell>
          <cell r="J80" t="str">
            <v>974057906</v>
          </cell>
          <cell r="K80" t="str">
            <v>974057906</v>
          </cell>
          <cell r="L80" t="str">
            <v>Masculino</v>
          </cell>
          <cell r="M80" t="str">
            <v>Preta/Negra</v>
          </cell>
          <cell r="N80">
            <v>29827</v>
          </cell>
          <cell r="O80" t="str">
            <v>276615098</v>
          </cell>
          <cell r="P80" t="str">
            <v>SP</v>
          </cell>
          <cell r="Q80" t="str">
            <v>SSP</v>
          </cell>
          <cell r="R80" t="str">
            <v>SANTOS</v>
          </cell>
        </row>
        <row r="81">
          <cell r="A81" t="str">
            <v>FLAVIO FEITOSA SOARES</v>
          </cell>
          <cell r="B81" t="str">
            <v>Casado</v>
          </cell>
          <cell r="C81" t="str">
            <v>R Guimarães Rosa</v>
          </cell>
          <cell r="D81" t="str">
            <v>Ocian</v>
          </cell>
          <cell r="E81" t="str">
            <v>PRAIA GRANDE</v>
          </cell>
          <cell r="F81" t="str">
            <v>SP</v>
          </cell>
          <cell r="G81" t="str">
            <v>547</v>
          </cell>
          <cell r="H81" t="str">
            <v>apartamento 36</v>
          </cell>
          <cell r="I81" t="str">
            <v>11704-160</v>
          </cell>
          <cell r="J81" t="str">
            <v>974043027</v>
          </cell>
          <cell r="K81" t="str">
            <v/>
          </cell>
          <cell r="L81" t="str">
            <v>Masculino</v>
          </cell>
          <cell r="M81" t="str">
            <v>Branca</v>
          </cell>
          <cell r="N81">
            <v>29508</v>
          </cell>
          <cell r="O81" t="str">
            <v>29408485X</v>
          </cell>
          <cell r="P81" t="str">
            <v>SP</v>
          </cell>
          <cell r="Q81" t="str">
            <v>SSP</v>
          </cell>
          <cell r="R81" t="str">
            <v>PAULO AFONSO</v>
          </cell>
        </row>
        <row r="82">
          <cell r="A82" t="str">
            <v>RIVISSON GOMES PAIVA</v>
          </cell>
          <cell r="B82" t="str">
            <v>Solteiro</v>
          </cell>
          <cell r="C82" t="str">
            <v>R Passagem Bertioga</v>
          </cell>
          <cell r="D82" t="str">
            <v>Vila Áurea (Vicente de Carvalho)</v>
          </cell>
          <cell r="E82" t="str">
            <v>GUARUJA</v>
          </cell>
          <cell r="F82" t="str">
            <v>SP</v>
          </cell>
          <cell r="G82" t="str">
            <v>24 FD</v>
          </cell>
          <cell r="H82" t="str">
            <v>Fundo</v>
          </cell>
          <cell r="I82" t="str">
            <v>11454-410</v>
          </cell>
          <cell r="J82" t="str">
            <v>991967944</v>
          </cell>
          <cell r="K82" t="str">
            <v/>
          </cell>
          <cell r="L82" t="str">
            <v>Masculino</v>
          </cell>
          <cell r="M82" t="str">
            <v>Branca</v>
          </cell>
          <cell r="N82">
            <v>31899</v>
          </cell>
          <cell r="O82" t="str">
            <v>34407220</v>
          </cell>
          <cell r="P82" t="str">
            <v>SP</v>
          </cell>
          <cell r="Q82" t="str">
            <v>SSP</v>
          </cell>
          <cell r="R82" t="str">
            <v>RECIFE</v>
          </cell>
        </row>
        <row r="83">
          <cell r="A83" t="str">
            <v>MARCIO CARLOS FERREIRA DOS SANTOS JUNIOR</v>
          </cell>
          <cell r="B83" t="str">
            <v>Divorciado</v>
          </cell>
          <cell r="C83" t="str">
            <v>R Tsume Oyama</v>
          </cell>
          <cell r="D83" t="str">
            <v>Parque São Luis</v>
          </cell>
          <cell r="E83" t="str">
            <v>CUBATAO</v>
          </cell>
          <cell r="F83" t="str">
            <v>SP</v>
          </cell>
          <cell r="G83" t="str">
            <v>50</v>
          </cell>
          <cell r="H83" t="str">
            <v/>
          </cell>
          <cell r="I83" t="str">
            <v>11533-450</v>
          </cell>
          <cell r="J83" t="str">
            <v>99968138</v>
          </cell>
          <cell r="K83" t="str">
            <v/>
          </cell>
          <cell r="L83" t="str">
            <v>Masculino</v>
          </cell>
          <cell r="M83" t="str">
            <v>Parda</v>
          </cell>
          <cell r="N83">
            <v>32210</v>
          </cell>
          <cell r="O83" t="str">
            <v>441170468</v>
          </cell>
          <cell r="P83" t="str">
            <v>SP</v>
          </cell>
          <cell r="Q83" t="str">
            <v>SSP</v>
          </cell>
          <cell r="R83" t="str">
            <v>CUBATAO</v>
          </cell>
        </row>
        <row r="84">
          <cell r="A84" t="str">
            <v>MISAEL LEITE DA SILVA</v>
          </cell>
          <cell r="B84" t="str">
            <v>Casado</v>
          </cell>
          <cell r="C84" t="str">
            <v>R Raja Atique</v>
          </cell>
          <cell r="D84" t="str">
            <v>Maracanã</v>
          </cell>
          <cell r="E84" t="str">
            <v>PRAIA GRANDE</v>
          </cell>
          <cell r="F84" t="str">
            <v>SP</v>
          </cell>
          <cell r="G84" t="str">
            <v>999</v>
          </cell>
          <cell r="H84" t="str">
            <v>Casa</v>
          </cell>
          <cell r="I84" t="str">
            <v>11705-640</v>
          </cell>
          <cell r="J84" t="str">
            <v>33574390</v>
          </cell>
          <cell r="K84" t="str">
            <v>33713406</v>
          </cell>
          <cell r="L84" t="str">
            <v>Masculino</v>
          </cell>
          <cell r="M84" t="str">
            <v>Preta/Negra</v>
          </cell>
          <cell r="N84">
            <v>32521</v>
          </cell>
          <cell r="O84" t="str">
            <v>449170949</v>
          </cell>
          <cell r="P84" t="str">
            <v>SP</v>
          </cell>
          <cell r="Q84" t="str">
            <v>SSP</v>
          </cell>
          <cell r="R84" t="str">
            <v>SAO VICENTE</v>
          </cell>
        </row>
        <row r="85">
          <cell r="A85" t="str">
            <v>RICARDO SANTOS DE LIMA</v>
          </cell>
          <cell r="B85" t="str">
            <v>Casado</v>
          </cell>
          <cell r="C85" t="str">
            <v>R GUIMARAES ROSA</v>
          </cell>
          <cell r="D85" t="str">
            <v>Ocian</v>
          </cell>
          <cell r="E85" t="str">
            <v>PRAIA GRANDE</v>
          </cell>
          <cell r="F85" t="str">
            <v>SP</v>
          </cell>
          <cell r="G85" t="str">
            <v>492</v>
          </cell>
          <cell r="H85" t="str">
            <v>AP 61</v>
          </cell>
          <cell r="I85" t="str">
            <v>11704-160</v>
          </cell>
          <cell r="J85" t="str">
            <v/>
          </cell>
          <cell r="K85" t="str">
            <v/>
          </cell>
          <cell r="L85" t="str">
            <v>Masculino</v>
          </cell>
          <cell r="M85" t="str">
            <v>Branca</v>
          </cell>
          <cell r="N85">
            <v>27606</v>
          </cell>
          <cell r="O85" t="str">
            <v>249588584</v>
          </cell>
          <cell r="P85" t="str">
            <v>SP</v>
          </cell>
          <cell r="Q85" t="str">
            <v>SSP</v>
          </cell>
          <cell r="R85" t="str">
            <v>CUBATAO</v>
          </cell>
        </row>
        <row r="86">
          <cell r="A86" t="str">
            <v>ROBERTO SILVA DE LIMA</v>
          </cell>
          <cell r="B86" t="str">
            <v>Divorciado</v>
          </cell>
          <cell r="C86" t="str">
            <v>R JOSÉ PEDRO GUIMARÃES</v>
          </cell>
          <cell r="D86" t="str">
            <v>Cachoeira</v>
          </cell>
          <cell r="E86" t="str">
            <v>GUARUJA</v>
          </cell>
          <cell r="F86" t="str">
            <v>SP</v>
          </cell>
          <cell r="G86" t="str">
            <v>191</v>
          </cell>
          <cell r="H86" t="str">
            <v/>
          </cell>
          <cell r="I86" t="str">
            <v>11435-020</v>
          </cell>
          <cell r="J86" t="str">
            <v>981085807</v>
          </cell>
          <cell r="K86" t="str">
            <v>981085807</v>
          </cell>
          <cell r="L86" t="str">
            <v>Masculino</v>
          </cell>
          <cell r="M86" t="str">
            <v>Parda</v>
          </cell>
          <cell r="N86">
            <v>29358</v>
          </cell>
          <cell r="O86" t="str">
            <v>329167674</v>
          </cell>
          <cell r="P86" t="str">
            <v>SP</v>
          </cell>
          <cell r="Q86" t="str">
            <v>SSP</v>
          </cell>
          <cell r="R86" t="str">
            <v>MACAU</v>
          </cell>
        </row>
        <row r="87">
          <cell r="A87" t="str">
            <v>DANIEL MARIANO DE PONTES</v>
          </cell>
          <cell r="B87" t="str">
            <v>Casado</v>
          </cell>
          <cell r="C87" t="str">
            <v>R Comendador Alfaia Rodrigues</v>
          </cell>
          <cell r="D87" t="str">
            <v>Embare</v>
          </cell>
          <cell r="E87" t="str">
            <v>SANTOS</v>
          </cell>
          <cell r="F87" t="str">
            <v>SP</v>
          </cell>
          <cell r="G87" t="str">
            <v>110</v>
          </cell>
          <cell r="H87" t="str">
            <v>apto 41</v>
          </cell>
          <cell r="I87" t="str">
            <v>11025-150</v>
          </cell>
          <cell r="J87" t="str">
            <v>974146715</v>
          </cell>
          <cell r="K87" t="str">
            <v/>
          </cell>
          <cell r="L87" t="str">
            <v>Masculino</v>
          </cell>
          <cell r="M87" t="str">
            <v>Parda</v>
          </cell>
          <cell r="N87">
            <v>22352</v>
          </cell>
          <cell r="O87" t="str">
            <v>133567114</v>
          </cell>
          <cell r="P87" t="str">
            <v>SP</v>
          </cell>
          <cell r="Q87" t="str">
            <v>SSP</v>
          </cell>
          <cell r="R87" t="str">
            <v>SANTOS</v>
          </cell>
        </row>
        <row r="88">
          <cell r="A88" t="str">
            <v>DOUGLAS NUNES CALDAS</v>
          </cell>
          <cell r="B88" t="str">
            <v>Casado</v>
          </cell>
          <cell r="C88" t="str">
            <v>R FLAMINIO LEVY</v>
          </cell>
          <cell r="D88" t="str">
            <v>Saboo</v>
          </cell>
          <cell r="E88" t="str">
            <v>SANTOS</v>
          </cell>
          <cell r="F88" t="str">
            <v>SP</v>
          </cell>
          <cell r="G88" t="str">
            <v>410</v>
          </cell>
          <cell r="H88" t="str">
            <v>B25 AP53</v>
          </cell>
          <cell r="I88" t="str">
            <v>11085-080</v>
          </cell>
          <cell r="J88" t="str">
            <v>996050432</v>
          </cell>
          <cell r="K88" t="str">
            <v/>
          </cell>
          <cell r="L88" t="str">
            <v>Masculino</v>
          </cell>
          <cell r="M88" t="str">
            <v>Preta/Negra</v>
          </cell>
          <cell r="N88">
            <v>31393</v>
          </cell>
          <cell r="O88" t="str">
            <v>437467764</v>
          </cell>
          <cell r="P88" t="str">
            <v>SP</v>
          </cell>
          <cell r="Q88" t="str">
            <v>SSP</v>
          </cell>
          <cell r="R88" t="str">
            <v>SANTOS</v>
          </cell>
        </row>
        <row r="89">
          <cell r="A89" t="str">
            <v>SERGIO ALMEIDA FERREIRA</v>
          </cell>
          <cell r="B89" t="str">
            <v>Casado</v>
          </cell>
          <cell r="C89" t="str">
            <v>R MARTIN AFONSO DE SOUZA</v>
          </cell>
          <cell r="D89" t="str">
            <v>Aviação</v>
          </cell>
          <cell r="E89" t="str">
            <v>PRAIA GRANDE</v>
          </cell>
          <cell r="F89" t="str">
            <v>SP</v>
          </cell>
          <cell r="G89" t="str">
            <v>345</v>
          </cell>
          <cell r="H89" t="str">
            <v>UNICO 35</v>
          </cell>
          <cell r="I89" t="str">
            <v>11702-790</v>
          </cell>
          <cell r="J89" t="str">
            <v>974110011</v>
          </cell>
          <cell r="K89" t="str">
            <v>974110011</v>
          </cell>
          <cell r="L89" t="str">
            <v>Masculino</v>
          </cell>
          <cell r="M89" t="str">
            <v>Parda</v>
          </cell>
          <cell r="N89">
            <v>27870</v>
          </cell>
          <cell r="O89" t="str">
            <v>296640037</v>
          </cell>
          <cell r="P89" t="str">
            <v>SP</v>
          </cell>
          <cell r="Q89" t="str">
            <v>SSP</v>
          </cell>
          <cell r="R89" t="str">
            <v>SAO BERNARDO DO CAMPO</v>
          </cell>
        </row>
        <row r="90">
          <cell r="A90" t="str">
            <v>SANTIAGO DO NASCIMENTO</v>
          </cell>
          <cell r="B90" t="str">
            <v>Casado</v>
          </cell>
          <cell r="C90" t="str">
            <v>R Santo Amaro</v>
          </cell>
          <cell r="D90" t="str">
            <v>Sítio Paecara (Vicen</v>
          </cell>
          <cell r="E90" t="str">
            <v>GUARUJA</v>
          </cell>
          <cell r="F90" t="str">
            <v>SP</v>
          </cell>
          <cell r="G90" t="str">
            <v>315</v>
          </cell>
          <cell r="H90" t="str">
            <v>CASA2</v>
          </cell>
          <cell r="I90" t="str">
            <v>11463-180</v>
          </cell>
          <cell r="J90" t="str">
            <v>974033101</v>
          </cell>
          <cell r="K90" t="str">
            <v/>
          </cell>
          <cell r="L90" t="str">
            <v>Masculino</v>
          </cell>
          <cell r="M90" t="str">
            <v>Branca</v>
          </cell>
          <cell r="N90">
            <v>29134</v>
          </cell>
          <cell r="O90" t="str">
            <v>329165240</v>
          </cell>
          <cell r="P90" t="str">
            <v>SP</v>
          </cell>
          <cell r="Q90" t="str">
            <v>SSP</v>
          </cell>
          <cell r="R90" t="str">
            <v>GUARUJA</v>
          </cell>
        </row>
        <row r="91">
          <cell r="A91" t="str">
            <v>KLEBER SIMOES PINHEIRO</v>
          </cell>
          <cell r="B91" t="str">
            <v>Casado</v>
          </cell>
          <cell r="C91" t="str">
            <v>R SAO PAULO</v>
          </cell>
          <cell r="D91" t="str">
            <v>Vila Belmiro</v>
          </cell>
          <cell r="E91" t="str">
            <v>SANTOS</v>
          </cell>
          <cell r="F91" t="str">
            <v>SP</v>
          </cell>
          <cell r="G91" t="str">
            <v>119</v>
          </cell>
          <cell r="H91" t="str">
            <v>AP 41</v>
          </cell>
          <cell r="I91" t="str">
            <v>11075-330</v>
          </cell>
          <cell r="J91" t="str">
            <v>997206606</v>
          </cell>
          <cell r="K91" t="str">
            <v/>
          </cell>
          <cell r="L91" t="str">
            <v>Masculino</v>
          </cell>
          <cell r="M91" t="str">
            <v>Branca</v>
          </cell>
          <cell r="N91">
            <v>27514</v>
          </cell>
          <cell r="O91" t="str">
            <v>262489818</v>
          </cell>
          <cell r="P91" t="str">
            <v>SP</v>
          </cell>
          <cell r="Q91" t="str">
            <v>SSP</v>
          </cell>
          <cell r="R91" t="str">
            <v>SANTOS</v>
          </cell>
        </row>
        <row r="92">
          <cell r="A92" t="str">
            <v>EDUARDO DA SILVA LIMA</v>
          </cell>
          <cell r="B92" t="str">
            <v>Solteiro</v>
          </cell>
          <cell r="C92" t="str">
            <v>AV João Mendes Júnior</v>
          </cell>
          <cell r="D92" t="str">
            <v>Sitio do Campo</v>
          </cell>
          <cell r="E92" t="str">
            <v>PRAIA GRANDE</v>
          </cell>
          <cell r="F92" t="str">
            <v>SP</v>
          </cell>
          <cell r="G92" t="str">
            <v>1198</v>
          </cell>
          <cell r="H92" t="str">
            <v>SB 5</v>
          </cell>
          <cell r="I92" t="str">
            <v>11725-060</v>
          </cell>
          <cell r="J92" t="str">
            <v>974054897</v>
          </cell>
          <cell r="K92" t="str">
            <v/>
          </cell>
          <cell r="L92" t="str">
            <v>Masculino</v>
          </cell>
          <cell r="M92" t="str">
            <v>Parda</v>
          </cell>
          <cell r="N92">
            <v>27578</v>
          </cell>
          <cell r="O92" t="str">
            <v>257603311</v>
          </cell>
          <cell r="P92" t="str">
            <v>SP</v>
          </cell>
          <cell r="Q92" t="str">
            <v>SSP</v>
          </cell>
          <cell r="R92" t="str">
            <v>GUARUJA</v>
          </cell>
        </row>
        <row r="93">
          <cell r="A93" t="str">
            <v>WALTER DA SILVA COELHO</v>
          </cell>
          <cell r="B93" t="str">
            <v>Casado</v>
          </cell>
          <cell r="C93" t="str">
            <v>AV Costa Machado</v>
          </cell>
          <cell r="D93" t="str">
            <v>Canto do Forte</v>
          </cell>
          <cell r="E93" t="str">
            <v>PRAIA GRANDE</v>
          </cell>
          <cell r="F93" t="str">
            <v>SP</v>
          </cell>
          <cell r="G93" t="str">
            <v>811</v>
          </cell>
          <cell r="H93" t="str">
            <v>apto 109</v>
          </cell>
          <cell r="I93" t="str">
            <v>11700-650</v>
          </cell>
          <cell r="J93" t="str">
            <v>88498828</v>
          </cell>
          <cell r="K93" t="str">
            <v/>
          </cell>
          <cell r="L93" t="str">
            <v>Masculino</v>
          </cell>
          <cell r="M93" t="str">
            <v>Branca</v>
          </cell>
          <cell r="N93">
            <v>31085</v>
          </cell>
          <cell r="O93" t="str">
            <v>422838809</v>
          </cell>
          <cell r="P93" t="str">
            <v>SP</v>
          </cell>
          <cell r="Q93" t="str">
            <v>SSP</v>
          </cell>
          <cell r="R93" t="str">
            <v>CUBATAO</v>
          </cell>
        </row>
        <row r="94">
          <cell r="A94" t="str">
            <v>ALEXANDRE FERREIRA DA SILVA</v>
          </cell>
          <cell r="B94" t="str">
            <v>Casado</v>
          </cell>
          <cell r="C94" t="str">
            <v>R Dorivaldo Francisco Loria</v>
          </cell>
          <cell r="D94" t="str">
            <v>Maracanã</v>
          </cell>
          <cell r="E94" t="str">
            <v>PRAIA GRANDE</v>
          </cell>
          <cell r="F94" t="str">
            <v>SP</v>
          </cell>
          <cell r="G94" t="str">
            <v>100</v>
          </cell>
          <cell r="H94" t="str">
            <v/>
          </cell>
          <cell r="I94" t="str">
            <v>11705-320</v>
          </cell>
          <cell r="J94" t="str">
            <v>34953688</v>
          </cell>
          <cell r="K94" t="str">
            <v/>
          </cell>
          <cell r="L94" t="str">
            <v>Masculino</v>
          </cell>
          <cell r="M94" t="str">
            <v>Parda</v>
          </cell>
          <cell r="N94">
            <v>25775</v>
          </cell>
          <cell r="O94" t="str">
            <v>182573175</v>
          </cell>
          <cell r="P94" t="str">
            <v>SP</v>
          </cell>
          <cell r="Q94" t="str">
            <v>SSP</v>
          </cell>
          <cell r="R94" t="str">
            <v>BARUERI</v>
          </cell>
        </row>
        <row r="95">
          <cell r="A95" t="str">
            <v>WAGNER DOMINGOS BRANCO</v>
          </cell>
          <cell r="B95" t="str">
            <v>Divorciado</v>
          </cell>
          <cell r="C95" t="str">
            <v>R Cinco</v>
          </cell>
          <cell r="D95" t="str">
            <v>Parque Continental</v>
          </cell>
          <cell r="E95" t="str">
            <v>SAO VICENTE</v>
          </cell>
          <cell r="F95" t="str">
            <v>SP</v>
          </cell>
          <cell r="G95" t="str">
            <v>27</v>
          </cell>
          <cell r="H95" t="str">
            <v/>
          </cell>
          <cell r="I95" t="str">
            <v>11348-470</v>
          </cell>
          <cell r="J95" t="str">
            <v>974043949</v>
          </cell>
          <cell r="K95" t="str">
            <v/>
          </cell>
          <cell r="L95" t="str">
            <v>Masculino</v>
          </cell>
          <cell r="M95" t="str">
            <v>Branca</v>
          </cell>
          <cell r="N95">
            <v>24918</v>
          </cell>
          <cell r="O95" t="str">
            <v>189911797</v>
          </cell>
          <cell r="P95" t="str">
            <v>SP</v>
          </cell>
          <cell r="Q95" t="str">
            <v>SSP</v>
          </cell>
          <cell r="R95" t="str">
            <v>SANTOS</v>
          </cell>
        </row>
        <row r="96">
          <cell r="A96" t="str">
            <v>ALEXSANDRO FONTES DOS SANTOS</v>
          </cell>
          <cell r="B96" t="str">
            <v>Casado</v>
          </cell>
          <cell r="C96" t="str">
            <v>R Almirante Ernesto de Mello Júnior</v>
          </cell>
          <cell r="D96" t="str">
            <v>Aparecida</v>
          </cell>
          <cell r="E96" t="str">
            <v>SANTOS</v>
          </cell>
          <cell r="F96" t="str">
            <v>SP</v>
          </cell>
          <cell r="G96" t="str">
            <v>101</v>
          </cell>
          <cell r="H96" t="str">
            <v>BL 1 AP 201</v>
          </cell>
          <cell r="I96" t="str">
            <v>11035-300</v>
          </cell>
          <cell r="J96" t="str">
            <v>991098517</v>
          </cell>
          <cell r="K96" t="str">
            <v>974211202 - esposa</v>
          </cell>
          <cell r="L96" t="str">
            <v>Masculino</v>
          </cell>
          <cell r="M96" t="str">
            <v>Parda</v>
          </cell>
          <cell r="N96">
            <v>27413</v>
          </cell>
          <cell r="O96" t="str">
            <v>255693771</v>
          </cell>
          <cell r="P96" t="str">
            <v>SP</v>
          </cell>
          <cell r="Q96" t="str">
            <v>SSP</v>
          </cell>
          <cell r="R96" t="str">
            <v>SANTOS</v>
          </cell>
        </row>
        <row r="97">
          <cell r="A97" t="str">
            <v>FABIO NASCIMENTO DOS SANTOS</v>
          </cell>
          <cell r="B97" t="str">
            <v>Casado</v>
          </cell>
          <cell r="C97" t="str">
            <v>R Jordão Otávio Azevedo</v>
          </cell>
          <cell r="D97" t="str">
            <v>Jardim Monteiro da Cruz (Vicente de Carv</v>
          </cell>
          <cell r="E97" t="str">
            <v>GUARUJA</v>
          </cell>
          <cell r="F97" t="str">
            <v>SP</v>
          </cell>
          <cell r="G97" t="str">
            <v>91</v>
          </cell>
          <cell r="H97" t="str">
            <v>Casa</v>
          </cell>
          <cell r="I97" t="str">
            <v>11462-400</v>
          </cell>
          <cell r="J97" t="str">
            <v>974097431</v>
          </cell>
          <cell r="K97" t="str">
            <v/>
          </cell>
          <cell r="L97" t="str">
            <v>Masculino</v>
          </cell>
          <cell r="M97" t="str">
            <v>Parda</v>
          </cell>
          <cell r="N97">
            <v>28864</v>
          </cell>
          <cell r="O97" t="str">
            <v>304907418</v>
          </cell>
          <cell r="P97" t="str">
            <v>SP</v>
          </cell>
          <cell r="Q97" t="str">
            <v>SSP</v>
          </cell>
          <cell r="R97" t="str">
            <v>SANTOS</v>
          </cell>
        </row>
        <row r="98">
          <cell r="A98" t="str">
            <v>FERNANDO CESAR SACRAMENTO SANTOS</v>
          </cell>
          <cell r="B98" t="str">
            <v>Divorciado</v>
          </cell>
          <cell r="C98" t="str">
            <v>AV São Paulo</v>
          </cell>
          <cell r="D98" t="str">
            <v>Sítio Paecara (Vicen</v>
          </cell>
          <cell r="E98" t="str">
            <v>GUARUJA</v>
          </cell>
          <cell r="F98" t="str">
            <v>SP</v>
          </cell>
          <cell r="G98" t="str">
            <v>295</v>
          </cell>
          <cell r="H98" t="str">
            <v/>
          </cell>
          <cell r="I98" t="str">
            <v>11462-630</v>
          </cell>
          <cell r="J98" t="str">
            <v>996706337</v>
          </cell>
          <cell r="K98" t="str">
            <v/>
          </cell>
          <cell r="L98" t="str">
            <v>Masculino</v>
          </cell>
          <cell r="M98" t="str">
            <v>Preta/Negra</v>
          </cell>
          <cell r="N98">
            <v>26071</v>
          </cell>
          <cell r="O98" t="str">
            <v>226802796</v>
          </cell>
          <cell r="P98" t="str">
            <v>SP</v>
          </cell>
          <cell r="Q98" t="str">
            <v>SSP</v>
          </cell>
          <cell r="R98" t="str">
            <v>SANTOS</v>
          </cell>
        </row>
        <row r="99">
          <cell r="A99" t="str">
            <v>PAULO ROGERIO ALVARES LIMA</v>
          </cell>
          <cell r="B99" t="str">
            <v>Casado</v>
          </cell>
          <cell r="C99" t="str">
            <v>R CEARÁ</v>
          </cell>
          <cell r="D99" t="str">
            <v>Pompéia</v>
          </cell>
          <cell r="E99" t="str">
            <v>SANTOS</v>
          </cell>
          <cell r="F99" t="str">
            <v>SP</v>
          </cell>
          <cell r="G99" t="str">
            <v>56</v>
          </cell>
          <cell r="H99" t="str">
            <v>APTO  32</v>
          </cell>
          <cell r="I99" t="str">
            <v>11065-430</v>
          </cell>
          <cell r="J99" t="str">
            <v>32512868</v>
          </cell>
          <cell r="K99" t="str">
            <v>974096912</v>
          </cell>
          <cell r="L99" t="str">
            <v>Masculino</v>
          </cell>
          <cell r="M99" t="str">
            <v>Branca</v>
          </cell>
          <cell r="N99">
            <v>24883</v>
          </cell>
          <cell r="O99" t="str">
            <v>189374470</v>
          </cell>
          <cell r="P99" t="str">
            <v>SP</v>
          </cell>
          <cell r="Q99" t="str">
            <v>SSP</v>
          </cell>
          <cell r="R99" t="str">
            <v>SANTOS</v>
          </cell>
        </row>
        <row r="100">
          <cell r="A100" t="str">
            <v>FLAVIO ROCHA DA SILVA</v>
          </cell>
          <cell r="B100" t="str">
            <v>Solteiro</v>
          </cell>
          <cell r="C100" t="str">
            <v>R Antônio Victor Lopes</v>
          </cell>
          <cell r="D100" t="str">
            <v>Vila Matias</v>
          </cell>
          <cell r="E100" t="str">
            <v>SAO VICENTE</v>
          </cell>
          <cell r="F100" t="str">
            <v>SP</v>
          </cell>
          <cell r="G100" t="str">
            <v>283</v>
          </cell>
          <cell r="H100" t="str">
            <v>bloco b2 ap 34</v>
          </cell>
          <cell r="I100" t="str">
            <v>11345-390</v>
          </cell>
          <cell r="J100" t="str">
            <v>32248060</v>
          </cell>
          <cell r="K100" t="str">
            <v/>
          </cell>
          <cell r="L100" t="str">
            <v>Masculino</v>
          </cell>
          <cell r="M100" t="str">
            <v>Parda</v>
          </cell>
          <cell r="N100">
            <v>26202</v>
          </cell>
          <cell r="O100" t="str">
            <v>219353591</v>
          </cell>
          <cell r="P100" t="str">
            <v>SP</v>
          </cell>
          <cell r="Q100" t="str">
            <v>SSP</v>
          </cell>
          <cell r="R100" t="str">
            <v>SANTOS</v>
          </cell>
        </row>
        <row r="101">
          <cell r="A101" t="str">
            <v>WALACE MACIEL DA COSTA</v>
          </cell>
          <cell r="B101" t="str">
            <v>Casado</v>
          </cell>
          <cell r="C101" t="str">
            <v>R Caminho dos Barreiros</v>
          </cell>
          <cell r="D101" t="str">
            <v>Esplanada dos Barreiros</v>
          </cell>
          <cell r="E101" t="str">
            <v>SAO VICENTE</v>
          </cell>
          <cell r="F101" t="str">
            <v>SP</v>
          </cell>
          <cell r="G101" t="str">
            <v>312</v>
          </cell>
          <cell r="H101" t="str">
            <v>Casa 2</v>
          </cell>
          <cell r="I101" t="str">
            <v>11340-020</v>
          </cell>
          <cell r="J101" t="str">
            <v>991050593</v>
          </cell>
          <cell r="K101" t="str">
            <v/>
          </cell>
          <cell r="L101" t="str">
            <v>Masculino</v>
          </cell>
          <cell r="M101" t="str">
            <v>Branca</v>
          </cell>
          <cell r="N101">
            <v>29939</v>
          </cell>
          <cell r="O101" t="str">
            <v>301305171</v>
          </cell>
          <cell r="P101" t="str">
            <v>SP</v>
          </cell>
          <cell r="Q101" t="str">
            <v>SSP</v>
          </cell>
          <cell r="R101" t="str">
            <v>RIO DE JANEIRO</v>
          </cell>
        </row>
        <row r="102">
          <cell r="A102" t="str">
            <v>WAGNER SANDRO AGUIAR</v>
          </cell>
          <cell r="B102" t="str">
            <v>Casado</v>
          </cell>
          <cell r="C102" t="str">
            <v>AV Zelia Giglioli Galves</v>
          </cell>
          <cell r="D102" t="str">
            <v>Glória</v>
          </cell>
          <cell r="E102" t="str">
            <v>PRAIA GRANDE</v>
          </cell>
          <cell r="F102" t="str">
            <v>SP</v>
          </cell>
          <cell r="G102" t="str">
            <v>1241</v>
          </cell>
          <cell r="H102" t="str">
            <v/>
          </cell>
          <cell r="I102" t="str">
            <v>11713-300</v>
          </cell>
          <cell r="J102" t="str">
            <v>997949116</v>
          </cell>
          <cell r="K102" t="str">
            <v/>
          </cell>
          <cell r="L102" t="str">
            <v>Masculino</v>
          </cell>
          <cell r="M102" t="str">
            <v>Parda</v>
          </cell>
          <cell r="N102">
            <v>28940</v>
          </cell>
          <cell r="O102" t="str">
            <v>271300310</v>
          </cell>
          <cell r="P102" t="str">
            <v>SP</v>
          </cell>
          <cell r="Q102" t="str">
            <v>SSP</v>
          </cell>
          <cell r="R102" t="str">
            <v>SAO VICENTE</v>
          </cell>
        </row>
        <row r="103">
          <cell r="A103" t="str">
            <v>WILLIAN DOS SANTOS ASSUNCAO MARCELINO</v>
          </cell>
          <cell r="B103" t="str">
            <v>Casado</v>
          </cell>
          <cell r="C103" t="str">
            <v>AV SENADOR AZEVEDO JUNIOR</v>
          </cell>
          <cell r="D103" t="str">
            <v>Sitio do Campo</v>
          </cell>
          <cell r="E103" t="str">
            <v>PRAIA GRANDE</v>
          </cell>
          <cell r="F103" t="str">
            <v>SP</v>
          </cell>
          <cell r="G103" t="str">
            <v>815</v>
          </cell>
          <cell r="H103" t="str">
            <v>CASA 1</v>
          </cell>
          <cell r="I103" t="str">
            <v>11725-030</v>
          </cell>
          <cell r="J103" t="str">
            <v>988122431</v>
          </cell>
          <cell r="K103" t="str">
            <v/>
          </cell>
          <cell r="L103" t="str">
            <v>Masculino</v>
          </cell>
          <cell r="M103" t="str">
            <v>Parda</v>
          </cell>
          <cell r="N103">
            <v>33480</v>
          </cell>
          <cell r="O103" t="str">
            <v>433222256</v>
          </cell>
          <cell r="P103" t="str">
            <v>SP</v>
          </cell>
          <cell r="Q103" t="str">
            <v>SSP</v>
          </cell>
          <cell r="R103" t="str">
            <v>SANTOS</v>
          </cell>
        </row>
        <row r="104">
          <cell r="A104" t="str">
            <v>ALVARO RABELO DE JESUS</v>
          </cell>
          <cell r="B104" t="str">
            <v>Casado</v>
          </cell>
          <cell r="C104" t="str">
            <v>PC Barra Bonita</v>
          </cell>
          <cell r="D104" t="str">
            <v>Vila Áurea (Vicente</v>
          </cell>
          <cell r="E104" t="str">
            <v>GUARUJA</v>
          </cell>
          <cell r="F104" t="str">
            <v>SP</v>
          </cell>
          <cell r="G104" t="str">
            <v>202</v>
          </cell>
          <cell r="H104" t="str">
            <v/>
          </cell>
          <cell r="I104" t="str">
            <v>11454-290</v>
          </cell>
          <cell r="J104" t="str">
            <v>33415307</v>
          </cell>
          <cell r="K104" t="str">
            <v/>
          </cell>
          <cell r="L104" t="str">
            <v>Masculino</v>
          </cell>
          <cell r="M104" t="str">
            <v>Branca</v>
          </cell>
          <cell r="N104">
            <v>30325</v>
          </cell>
          <cell r="O104" t="str">
            <v>277739251</v>
          </cell>
          <cell r="P104" t="str">
            <v>SP</v>
          </cell>
          <cell r="Q104" t="str">
            <v>SSP</v>
          </cell>
          <cell r="R104" t="str">
            <v>GUARUJA</v>
          </cell>
        </row>
        <row r="105">
          <cell r="A105" t="str">
            <v>VALTER BEZERRA DE LIMA</v>
          </cell>
          <cell r="B105" t="str">
            <v>Casado</v>
          </cell>
          <cell r="C105" t="str">
            <v>R Alberto Sá de Souza Varella</v>
          </cell>
          <cell r="D105" t="str">
            <v>Esplanada dos Barrei</v>
          </cell>
          <cell r="E105" t="str">
            <v>SAO VICENTE</v>
          </cell>
          <cell r="F105" t="str">
            <v>SP</v>
          </cell>
          <cell r="G105" t="str">
            <v>226</v>
          </cell>
          <cell r="H105" t="str">
            <v/>
          </cell>
          <cell r="I105" t="str">
            <v>11340-350</v>
          </cell>
          <cell r="J105" t="str">
            <v/>
          </cell>
          <cell r="K105" t="str">
            <v/>
          </cell>
          <cell r="L105" t="str">
            <v>Masculino</v>
          </cell>
          <cell r="M105" t="str">
            <v>Parda</v>
          </cell>
          <cell r="N105">
            <v>25440</v>
          </cell>
          <cell r="O105" t="str">
            <v>229882730</v>
          </cell>
          <cell r="P105" t="str">
            <v>SP</v>
          </cell>
          <cell r="Q105" t="str">
            <v>SSP</v>
          </cell>
          <cell r="R105" t="str">
            <v>SAO PAULO</v>
          </cell>
        </row>
        <row r="106">
          <cell r="A106" t="str">
            <v>MATIAS FELICIANO DA SILVA</v>
          </cell>
          <cell r="B106" t="str">
            <v>Casado</v>
          </cell>
          <cell r="C106" t="str">
            <v>R JACINTO RODRIGUES FERREIRA</v>
          </cell>
          <cell r="D106" t="str">
            <v>Vila Sao Jose</v>
          </cell>
          <cell r="E106" t="str">
            <v>CUBATAO</v>
          </cell>
          <cell r="F106" t="str">
            <v>SP</v>
          </cell>
          <cell r="G106" t="str">
            <v>19</v>
          </cell>
          <cell r="H106" t="str">
            <v>FUNDOS</v>
          </cell>
          <cell r="I106" t="str">
            <v>11523-320</v>
          </cell>
          <cell r="J106" t="str">
            <v>996223371</v>
          </cell>
          <cell r="K106" t="str">
            <v>33724812</v>
          </cell>
          <cell r="L106" t="str">
            <v>Masculino</v>
          </cell>
          <cell r="M106" t="str">
            <v>Parda</v>
          </cell>
          <cell r="N106">
            <v>23066</v>
          </cell>
          <cell r="O106" t="str">
            <v>159572617</v>
          </cell>
          <cell r="P106" t="str">
            <v>SP</v>
          </cell>
          <cell r="Q106" t="str">
            <v>SSP</v>
          </cell>
          <cell r="R106" t="str">
            <v>TAMBOARA</v>
          </cell>
        </row>
        <row r="107">
          <cell r="A107" t="str">
            <v>FABIANO GARCIA DA SILVA</v>
          </cell>
          <cell r="B107" t="str">
            <v>Solteiro</v>
          </cell>
          <cell r="C107" t="str">
            <v>R CUIABA</v>
          </cell>
          <cell r="D107" t="str">
            <v>Vila Nossa Senhora d</v>
          </cell>
          <cell r="E107" t="str">
            <v>SAO VICENTE</v>
          </cell>
          <cell r="F107" t="str">
            <v>SP</v>
          </cell>
          <cell r="G107" t="str">
            <v>464</v>
          </cell>
          <cell r="H107" t="str">
            <v>BL B, APT13</v>
          </cell>
          <cell r="I107" t="str">
            <v>11355-250</v>
          </cell>
          <cell r="J107" t="str">
            <v>974012743</v>
          </cell>
          <cell r="K107" t="str">
            <v/>
          </cell>
          <cell r="L107" t="str">
            <v>Masculino</v>
          </cell>
          <cell r="M107" t="str">
            <v>Parda</v>
          </cell>
          <cell r="N107">
            <v>28498</v>
          </cell>
          <cell r="O107" t="str">
            <v>264291268</v>
          </cell>
          <cell r="P107" t="str">
            <v>SP</v>
          </cell>
          <cell r="Q107" t="str">
            <v>SSP</v>
          </cell>
          <cell r="R107" t="str">
            <v>SANTOS</v>
          </cell>
        </row>
        <row r="108">
          <cell r="A108" t="str">
            <v>JOVINO CARLOS DOS SANTOS JUNIOR</v>
          </cell>
          <cell r="B108" t="str">
            <v>Casado</v>
          </cell>
          <cell r="C108" t="str">
            <v>R VERGUEIRO STEIDEL</v>
          </cell>
          <cell r="D108" t="str">
            <v>Aparecida</v>
          </cell>
          <cell r="E108" t="str">
            <v>SANTOS</v>
          </cell>
          <cell r="F108" t="str">
            <v>SP</v>
          </cell>
          <cell r="G108" t="str">
            <v>359</v>
          </cell>
          <cell r="H108" t="str">
            <v>BL1 AP402</v>
          </cell>
          <cell r="I108" t="str">
            <v>11040-271</v>
          </cell>
          <cell r="J108" t="str">
            <v>32381243</v>
          </cell>
          <cell r="K108" t="str">
            <v/>
          </cell>
          <cell r="L108" t="str">
            <v>Masculino</v>
          </cell>
          <cell r="M108" t="str">
            <v>Branca</v>
          </cell>
          <cell r="N108">
            <v>26483</v>
          </cell>
          <cell r="O108" t="str">
            <v>565727321</v>
          </cell>
          <cell r="P108" t="str">
            <v>SP</v>
          </cell>
          <cell r="Q108" t="str">
            <v>SSP</v>
          </cell>
          <cell r="R108" t="str">
            <v>SANTOS</v>
          </cell>
        </row>
        <row r="109">
          <cell r="A109" t="str">
            <v>ANTONIO CARLOS GONZALEZ SILVA</v>
          </cell>
          <cell r="B109" t="str">
            <v>Solteiro</v>
          </cell>
          <cell r="C109" t="str">
            <v>V Waldemar Crevatim</v>
          </cell>
          <cell r="D109" t="str">
            <v>Antártica</v>
          </cell>
          <cell r="E109" t="str">
            <v>PRAIA GRANDE</v>
          </cell>
          <cell r="F109" t="str">
            <v>SP</v>
          </cell>
          <cell r="G109" t="str">
            <v>432</v>
          </cell>
          <cell r="H109" t="str">
            <v/>
          </cell>
          <cell r="I109" t="str">
            <v>11720-100</v>
          </cell>
          <cell r="J109" t="str">
            <v>974072431</v>
          </cell>
          <cell r="K109" t="str">
            <v/>
          </cell>
          <cell r="L109" t="str">
            <v>Masculino</v>
          </cell>
          <cell r="M109" t="str">
            <v>Parda</v>
          </cell>
          <cell r="N109">
            <v>30390</v>
          </cell>
          <cell r="O109" t="str">
            <v>23318368</v>
          </cell>
          <cell r="P109" t="str">
            <v>SP</v>
          </cell>
          <cell r="Q109" t="str">
            <v>SSP</v>
          </cell>
          <cell r="R109" t="str">
            <v>SANTOS</v>
          </cell>
        </row>
        <row r="110">
          <cell r="A110" t="str">
            <v>REGINALDO CINTRA</v>
          </cell>
          <cell r="B110" t="str">
            <v>Casado</v>
          </cell>
          <cell r="C110" t="str">
            <v>R Esdras</v>
          </cell>
          <cell r="D110" t="str">
            <v>Jardim Santana (Vice</v>
          </cell>
          <cell r="E110" t="str">
            <v>GUARUJA</v>
          </cell>
          <cell r="F110" t="str">
            <v>SP</v>
          </cell>
          <cell r="G110" t="str">
            <v>55</v>
          </cell>
          <cell r="H110" t="str">
            <v/>
          </cell>
          <cell r="I110" t="str">
            <v>11470-180</v>
          </cell>
          <cell r="J110" t="str">
            <v>991920173</v>
          </cell>
          <cell r="K110" t="str">
            <v/>
          </cell>
          <cell r="L110" t="str">
            <v>Masculino</v>
          </cell>
          <cell r="M110" t="str">
            <v>Parda</v>
          </cell>
          <cell r="N110">
            <v>26679</v>
          </cell>
          <cell r="O110" t="str">
            <v>263645563</v>
          </cell>
          <cell r="P110" t="str">
            <v>SP</v>
          </cell>
          <cell r="Q110" t="str">
            <v>SSP</v>
          </cell>
          <cell r="R110" t="str">
            <v>GUARUJA</v>
          </cell>
        </row>
        <row r="111">
          <cell r="A111" t="str">
            <v>CASSIO GUILHERME COSTA</v>
          </cell>
          <cell r="B111" t="str">
            <v>Casado</v>
          </cell>
          <cell r="C111" t="str">
            <v>R R DR VITAL BRASIL</v>
          </cell>
          <cell r="D111" t="str">
            <v>Vila Mathias</v>
          </cell>
          <cell r="E111" t="str">
            <v>SANTOS</v>
          </cell>
          <cell r="F111" t="str">
            <v>SP</v>
          </cell>
          <cell r="G111" t="str">
            <v>2</v>
          </cell>
          <cell r="H111" t="str">
            <v>AP 42</v>
          </cell>
          <cell r="I111" t="str">
            <v>11070-190</v>
          </cell>
          <cell r="J111" t="str">
            <v/>
          </cell>
          <cell r="K111" t="str">
            <v/>
          </cell>
          <cell r="L111" t="str">
            <v>Masculino</v>
          </cell>
          <cell r="M111" t="str">
            <v>Branca</v>
          </cell>
          <cell r="N111">
            <v>29135</v>
          </cell>
          <cell r="O111" t="str">
            <v>278778409</v>
          </cell>
          <cell r="P111" t="str">
            <v>SP</v>
          </cell>
          <cell r="Q111" t="str">
            <v>SSP</v>
          </cell>
          <cell r="R111" t="str">
            <v>SANTOS</v>
          </cell>
        </row>
        <row r="112">
          <cell r="A112" t="str">
            <v>EDER OLIVEIRA CARVALHO</v>
          </cell>
          <cell r="B112" t="str">
            <v>Casado</v>
          </cell>
          <cell r="C112" t="str">
            <v>AV WILSON DE OLIVEIRA</v>
          </cell>
          <cell r="D112" t="str">
            <v>Melvi</v>
          </cell>
          <cell r="E112" t="str">
            <v>PRAIA GRANDE</v>
          </cell>
          <cell r="F112" t="str">
            <v>SP</v>
          </cell>
          <cell r="G112" t="str">
            <v>59</v>
          </cell>
          <cell r="H112" t="str">
            <v>Casa</v>
          </cell>
          <cell r="I112" t="str">
            <v>11712-010</v>
          </cell>
          <cell r="J112" t="str">
            <v>33841075</v>
          </cell>
          <cell r="K112" t="str">
            <v/>
          </cell>
          <cell r="L112" t="str">
            <v>Masculino</v>
          </cell>
          <cell r="M112" t="str">
            <v>Parda</v>
          </cell>
          <cell r="N112">
            <v>23969</v>
          </cell>
          <cell r="O112" t="str">
            <v>17512288X</v>
          </cell>
          <cell r="P112" t="str">
            <v>SP</v>
          </cell>
          <cell r="Q112" t="str">
            <v>SSP</v>
          </cell>
          <cell r="R112" t="str">
            <v>SANTOS</v>
          </cell>
        </row>
        <row r="113">
          <cell r="A113" t="str">
            <v>LEONARDO BARBOSA BICHO</v>
          </cell>
          <cell r="B113" t="str">
            <v>Casado</v>
          </cell>
          <cell r="C113" t="str">
            <v>AV Monteiro Lobato</v>
          </cell>
          <cell r="D113" t="str">
            <v>Vila Valença</v>
          </cell>
          <cell r="E113" t="str">
            <v>SAO VICENTE</v>
          </cell>
          <cell r="F113" t="str">
            <v>SP</v>
          </cell>
          <cell r="G113" t="str">
            <v>267</v>
          </cell>
          <cell r="H113" t="str">
            <v>AP 11</v>
          </cell>
          <cell r="I113" t="str">
            <v>11380-500</v>
          </cell>
          <cell r="J113" t="str">
            <v>35619039</v>
          </cell>
          <cell r="K113" t="str">
            <v/>
          </cell>
          <cell r="L113" t="str">
            <v>Masculino</v>
          </cell>
          <cell r="M113" t="str">
            <v>Branca</v>
          </cell>
          <cell r="N113">
            <v>31426</v>
          </cell>
          <cell r="O113" t="str">
            <v>444332479</v>
          </cell>
          <cell r="P113" t="str">
            <v>SP</v>
          </cell>
          <cell r="Q113" t="str">
            <v>SSP</v>
          </cell>
          <cell r="R113" t="str">
            <v>ITANHAEM</v>
          </cell>
        </row>
        <row r="114">
          <cell r="A114" t="str">
            <v>SERGIO REGIS DO NASCIMENTO VARGAS</v>
          </cell>
          <cell r="B114" t="str">
            <v>Casado</v>
          </cell>
          <cell r="C114" t="str">
            <v>R Barão de Paranapiaçaba</v>
          </cell>
          <cell r="D114" t="str">
            <v>Encruzilhada</v>
          </cell>
          <cell r="E114" t="str">
            <v>SANTOS</v>
          </cell>
          <cell r="F114" t="str">
            <v>SP</v>
          </cell>
          <cell r="G114" t="str">
            <v>518</v>
          </cell>
          <cell r="H114" t="str">
            <v>APTO 15</v>
          </cell>
          <cell r="I114" t="str">
            <v>11050-251</v>
          </cell>
          <cell r="J114" t="str">
            <v>974186302</v>
          </cell>
          <cell r="K114" t="str">
            <v/>
          </cell>
          <cell r="L114" t="str">
            <v>Masculino</v>
          </cell>
          <cell r="M114" t="str">
            <v>Preta/Negra</v>
          </cell>
          <cell r="N114">
            <v>27809</v>
          </cell>
          <cell r="O114" t="str">
            <v>261668523</v>
          </cell>
          <cell r="P114" t="str">
            <v>SP</v>
          </cell>
          <cell r="Q114" t="str">
            <v>SSP</v>
          </cell>
          <cell r="R114" t="str">
            <v>SANTOS</v>
          </cell>
        </row>
        <row r="115">
          <cell r="A115" t="str">
            <v>PAULO ROGERIO DOS SANTOS</v>
          </cell>
          <cell r="B115" t="str">
            <v>Casado</v>
          </cell>
          <cell r="C115" t="str">
            <v>R Oswaldo Boudichi Fernandes</v>
          </cell>
          <cell r="D115" t="str">
            <v>Sítio Paecara (Vicen</v>
          </cell>
          <cell r="E115" t="str">
            <v>GUARUJA</v>
          </cell>
          <cell r="F115" t="str">
            <v>SP</v>
          </cell>
          <cell r="G115" t="str">
            <v>77</v>
          </cell>
          <cell r="H115" t="str">
            <v>CASA 3</v>
          </cell>
          <cell r="I115" t="str">
            <v>11460-180</v>
          </cell>
          <cell r="J115" t="str">
            <v>996414026</v>
          </cell>
          <cell r="K115" t="str">
            <v>33552211</v>
          </cell>
          <cell r="L115" t="str">
            <v>Masculino</v>
          </cell>
          <cell r="M115" t="str">
            <v>Preta/Negra</v>
          </cell>
          <cell r="N115">
            <v>26412</v>
          </cell>
          <cell r="O115" t="str">
            <v>230326493</v>
          </cell>
          <cell r="P115" t="str">
            <v>SP</v>
          </cell>
          <cell r="Q115" t="str">
            <v>SSP</v>
          </cell>
          <cell r="R115" t="str">
            <v>GUARUJA</v>
          </cell>
        </row>
        <row r="116">
          <cell r="A116" t="str">
            <v>RAFAEL DOS SANTOS AZEVEDO</v>
          </cell>
          <cell r="B116" t="str">
            <v>Casado</v>
          </cell>
          <cell r="C116" t="str">
            <v>AV Doutor Moura Ribeiro</v>
          </cell>
          <cell r="D116" t="str">
            <v>Marapé</v>
          </cell>
          <cell r="E116" t="str">
            <v>SANTOS</v>
          </cell>
          <cell r="F116" t="str">
            <v>SP</v>
          </cell>
          <cell r="G116" t="str">
            <v>125</v>
          </cell>
          <cell r="H116" t="str">
            <v>192/D</v>
          </cell>
          <cell r="I116" t="str">
            <v>11070-061</v>
          </cell>
          <cell r="J116" t="str">
            <v>32318477</v>
          </cell>
          <cell r="K116" t="str">
            <v/>
          </cell>
          <cell r="L116" t="str">
            <v>Masculino</v>
          </cell>
          <cell r="M116" t="str">
            <v>Preta/Negra</v>
          </cell>
          <cell r="N116">
            <v>31521</v>
          </cell>
          <cell r="O116" t="str">
            <v>44454463X</v>
          </cell>
          <cell r="P116" t="str">
            <v>SP</v>
          </cell>
          <cell r="Q116" t="str">
            <v>SSP</v>
          </cell>
          <cell r="R116" t="str">
            <v>SANTOS</v>
          </cell>
        </row>
        <row r="117">
          <cell r="A117" t="str">
            <v>GUSTAVO PARADA MACEDO</v>
          </cell>
          <cell r="B117" t="str">
            <v>Casado</v>
          </cell>
          <cell r="C117" t="str">
            <v>AV Paulo Lucania</v>
          </cell>
          <cell r="D117" t="str">
            <v>Nova Mirim</v>
          </cell>
          <cell r="E117" t="str">
            <v>PRAIA GRANDE</v>
          </cell>
          <cell r="F117" t="str">
            <v>SP</v>
          </cell>
          <cell r="G117" t="str">
            <v>136</v>
          </cell>
          <cell r="H117" t="str">
            <v>BL30</v>
          </cell>
          <cell r="I117" t="str">
            <v>11717-065</v>
          </cell>
          <cell r="J117" t="str">
            <v>988019127</v>
          </cell>
          <cell r="K117" t="str">
            <v/>
          </cell>
          <cell r="L117" t="str">
            <v>Masculino</v>
          </cell>
          <cell r="M117" t="str">
            <v>Branca</v>
          </cell>
          <cell r="N117">
            <v>31123</v>
          </cell>
          <cell r="O117" t="str">
            <v>444123209</v>
          </cell>
          <cell r="P117" t="str">
            <v>SP</v>
          </cell>
          <cell r="Q117" t="str">
            <v>SSP</v>
          </cell>
          <cell r="R117" t="str">
            <v>SAO VICENTE</v>
          </cell>
        </row>
        <row r="118">
          <cell r="A118" t="str">
            <v>RICARDO MURILO ROSA</v>
          </cell>
          <cell r="B118" t="str">
            <v>Casado</v>
          </cell>
          <cell r="C118" t="str">
            <v>R Benedito Lapa Malvão</v>
          </cell>
          <cell r="D118" t="str">
            <v>Jardim Monteiro da C</v>
          </cell>
          <cell r="E118" t="str">
            <v>GUARUJA</v>
          </cell>
          <cell r="F118" t="str">
            <v>SP</v>
          </cell>
          <cell r="G118" t="str">
            <v>243</v>
          </cell>
          <cell r="H118" t="str">
            <v/>
          </cell>
          <cell r="I118" t="str">
            <v>11462-340</v>
          </cell>
          <cell r="J118" t="str">
            <v>996218203</v>
          </cell>
          <cell r="K118" t="str">
            <v>997130240</v>
          </cell>
          <cell r="L118" t="str">
            <v>Masculino</v>
          </cell>
          <cell r="M118" t="str">
            <v>Branca</v>
          </cell>
          <cell r="N118">
            <v>25619</v>
          </cell>
          <cell r="O118" t="str">
            <v>227787523</v>
          </cell>
          <cell r="P118" t="str">
            <v>SP</v>
          </cell>
          <cell r="Q118" t="str">
            <v>SSP</v>
          </cell>
          <cell r="R118" t="str">
            <v>SANTOS</v>
          </cell>
        </row>
        <row r="119">
          <cell r="A119" t="str">
            <v>DEIVID HENRIQUE SHIYA</v>
          </cell>
          <cell r="B119" t="str">
            <v>Casado</v>
          </cell>
          <cell r="C119" t="str">
            <v>R TREZE DE MARÇO</v>
          </cell>
          <cell r="D119" t="str">
            <v>Jardim Costa e Silva</v>
          </cell>
          <cell r="E119" t="str">
            <v>CUBATAO</v>
          </cell>
          <cell r="F119" t="str">
            <v>SP</v>
          </cell>
          <cell r="G119" t="str">
            <v>9</v>
          </cell>
          <cell r="H119" t="str">
            <v/>
          </cell>
          <cell r="I119" t="str">
            <v>11500-330</v>
          </cell>
          <cell r="J119" t="str">
            <v>33611932</v>
          </cell>
          <cell r="K119" t="str">
            <v>974047406</v>
          </cell>
          <cell r="L119" t="str">
            <v>Masculino</v>
          </cell>
          <cell r="M119" t="str">
            <v>Amarela</v>
          </cell>
          <cell r="N119">
            <v>31852</v>
          </cell>
          <cell r="O119" t="str">
            <v>349616796</v>
          </cell>
          <cell r="P119" t="str">
            <v>SP</v>
          </cell>
          <cell r="Q119" t="str">
            <v>SSP</v>
          </cell>
          <cell r="R119" t="str">
            <v>SANTOS</v>
          </cell>
        </row>
        <row r="120">
          <cell r="A120" t="str">
            <v>ANTONIO DA SILVA DE INACIO</v>
          </cell>
          <cell r="B120" t="str">
            <v>Divorciado</v>
          </cell>
          <cell r="C120" t="str">
            <v>R Doutor Roberto de Almeida Vinhas</v>
          </cell>
          <cell r="D120" t="str">
            <v>Vila São Jorge</v>
          </cell>
          <cell r="E120" t="str">
            <v>SAO VICENTE</v>
          </cell>
          <cell r="F120" t="str">
            <v>SP</v>
          </cell>
          <cell r="G120" t="str">
            <v>43</v>
          </cell>
          <cell r="H120" t="str">
            <v>casa</v>
          </cell>
          <cell r="I120" t="str">
            <v>11380-190</v>
          </cell>
          <cell r="J120" t="str">
            <v>991087745</v>
          </cell>
          <cell r="K120" t="str">
            <v/>
          </cell>
          <cell r="L120" t="str">
            <v>Masculino</v>
          </cell>
          <cell r="M120" t="str">
            <v>Parda</v>
          </cell>
          <cell r="N120">
            <v>22599</v>
          </cell>
          <cell r="O120" t="str">
            <v>14549356</v>
          </cell>
          <cell r="P120" t="str">
            <v>SP</v>
          </cell>
          <cell r="Q120" t="str">
            <v>SSP</v>
          </cell>
          <cell r="R120" t="str">
            <v>SANTOS</v>
          </cell>
        </row>
        <row r="121">
          <cell r="A121" t="str">
            <v>ROGERIO ANTONIO LUIZ ZAGOLIN</v>
          </cell>
          <cell r="B121" t="str">
            <v>Casado</v>
          </cell>
          <cell r="C121" t="str">
            <v>R Bassim Nagib Trabulsi</v>
          </cell>
          <cell r="D121" t="str">
            <v>Ponta da Praia</v>
          </cell>
          <cell r="E121" t="str">
            <v>SANTOS</v>
          </cell>
          <cell r="F121" t="str">
            <v>SP</v>
          </cell>
          <cell r="G121" t="str">
            <v>50</v>
          </cell>
          <cell r="H121" t="str">
            <v>AP120</v>
          </cell>
          <cell r="I121" t="str">
            <v>11030-540</v>
          </cell>
          <cell r="J121" t="str">
            <v>33023749</v>
          </cell>
          <cell r="K121" t="str">
            <v/>
          </cell>
          <cell r="L121" t="str">
            <v>Masculino</v>
          </cell>
          <cell r="M121" t="str">
            <v>Branca</v>
          </cell>
          <cell r="N121">
            <v>28087</v>
          </cell>
          <cell r="O121" t="str">
            <v>259960275</v>
          </cell>
          <cell r="P121" t="str">
            <v>SP</v>
          </cell>
          <cell r="Q121" t="str">
            <v>SSP</v>
          </cell>
          <cell r="R121" t="str">
            <v>JALES</v>
          </cell>
        </row>
        <row r="122">
          <cell r="A122" t="str">
            <v>RODRIGO FERREIRA ROCHA</v>
          </cell>
          <cell r="B122" t="str">
            <v>Solteiro</v>
          </cell>
          <cell r="C122" t="str">
            <v>R Rui Barbosa</v>
          </cell>
          <cell r="D122" t="str">
            <v>Canto do Forte</v>
          </cell>
          <cell r="E122" t="str">
            <v>PRAIA GRANDE</v>
          </cell>
          <cell r="F122" t="str">
            <v>SP</v>
          </cell>
          <cell r="G122" t="str">
            <v>439</v>
          </cell>
          <cell r="H122" t="str">
            <v>Apartamento 23</v>
          </cell>
          <cell r="I122" t="str">
            <v>11700-170</v>
          </cell>
          <cell r="J122" t="str">
            <v>988535670</v>
          </cell>
          <cell r="K122" t="str">
            <v/>
          </cell>
          <cell r="L122" t="str">
            <v>Masculino</v>
          </cell>
          <cell r="M122" t="str">
            <v>Preta/Negra</v>
          </cell>
          <cell r="N122">
            <v>32876</v>
          </cell>
          <cell r="O122" t="str">
            <v>355764209</v>
          </cell>
          <cell r="P122" t="str">
            <v>SP</v>
          </cell>
          <cell r="Q122" t="str">
            <v>SSP</v>
          </cell>
          <cell r="R122" t="str">
            <v>SANTOS</v>
          </cell>
        </row>
        <row r="123">
          <cell r="A123" t="str">
            <v>CLEITON ALVES REGO</v>
          </cell>
          <cell r="B123" t="str">
            <v>Casado</v>
          </cell>
          <cell r="C123" t="str">
            <v>R Líbero Badaró</v>
          </cell>
          <cell r="D123" t="str">
            <v>Cidade ocian</v>
          </cell>
          <cell r="E123" t="str">
            <v>PRAIA GRANDE</v>
          </cell>
          <cell r="F123" t="str">
            <v>SP</v>
          </cell>
          <cell r="G123" t="str">
            <v>759</v>
          </cell>
          <cell r="H123" t="str">
            <v>CASA</v>
          </cell>
          <cell r="I123" t="str">
            <v>11704-070</v>
          </cell>
          <cell r="J123" t="str">
            <v>981916297</v>
          </cell>
          <cell r="K123" t="str">
            <v/>
          </cell>
          <cell r="L123" t="str">
            <v>Masculino</v>
          </cell>
          <cell r="M123" t="str">
            <v>Parda</v>
          </cell>
          <cell r="N123">
            <v>28790</v>
          </cell>
          <cell r="O123" t="str">
            <v>305898978</v>
          </cell>
          <cell r="P123" t="str">
            <v>SP</v>
          </cell>
          <cell r="Q123" t="str">
            <v>SSP</v>
          </cell>
          <cell r="R123" t="str">
            <v>SAO VICENTE</v>
          </cell>
        </row>
        <row r="124">
          <cell r="A124" t="str">
            <v>OSVALDO BRANCO JUNIOR</v>
          </cell>
          <cell r="B124" t="str">
            <v>Casado</v>
          </cell>
          <cell r="C124" t="str">
            <v>AV Prefeito Doutor Antônio Manoel de Carval</v>
          </cell>
          <cell r="D124" t="str">
            <v>Morro Nova Cintra</v>
          </cell>
          <cell r="E124" t="str">
            <v>SANTOS</v>
          </cell>
          <cell r="F124" t="str">
            <v>SP</v>
          </cell>
          <cell r="G124" t="str">
            <v>780</v>
          </cell>
          <cell r="H124" t="str">
            <v>850A</v>
          </cell>
          <cell r="I124" t="str">
            <v>11080-100</v>
          </cell>
          <cell r="J124" t="str">
            <v>974071301</v>
          </cell>
          <cell r="K124" t="str">
            <v>974071301</v>
          </cell>
          <cell r="L124" t="str">
            <v>Masculino</v>
          </cell>
          <cell r="M124" t="str">
            <v>Parda</v>
          </cell>
          <cell r="N124">
            <v>27725</v>
          </cell>
          <cell r="O124" t="str">
            <v>256378551</v>
          </cell>
          <cell r="P124" t="str">
            <v>SP</v>
          </cell>
          <cell r="Q124" t="str">
            <v>SSP</v>
          </cell>
          <cell r="R124" t="str">
            <v>SANTOS</v>
          </cell>
        </row>
        <row r="125">
          <cell r="A125" t="str">
            <v>LUCIANA NASCIMENTO DE OLIVEIRA</v>
          </cell>
          <cell r="B125" t="str">
            <v>Casado</v>
          </cell>
          <cell r="C125" t="str">
            <v>R ENG MANOEL FERRAMENTA JUNIOR</v>
          </cell>
          <cell r="D125" t="str">
            <v>Areia Branca</v>
          </cell>
          <cell r="E125" t="str">
            <v>SANTOS</v>
          </cell>
          <cell r="F125" t="str">
            <v>SP</v>
          </cell>
          <cell r="G125" t="str">
            <v>363</v>
          </cell>
          <cell r="H125" t="str">
            <v>APTO 75 - BLOCO D</v>
          </cell>
          <cell r="I125" t="str">
            <v>11086-400</v>
          </cell>
          <cell r="J125" t="str">
            <v>991016133</v>
          </cell>
          <cell r="K125" t="str">
            <v/>
          </cell>
          <cell r="L125" t="str">
            <v>Feminino</v>
          </cell>
          <cell r="M125" t="str">
            <v>Preta/Negra</v>
          </cell>
          <cell r="N125">
            <v>31578</v>
          </cell>
          <cell r="O125" t="str">
            <v>441401016</v>
          </cell>
          <cell r="P125" t="str">
            <v>SP</v>
          </cell>
          <cell r="Q125" t="str">
            <v>SSP</v>
          </cell>
          <cell r="R125" t="str">
            <v>SAO VICENTE</v>
          </cell>
        </row>
        <row r="126">
          <cell r="A126" t="str">
            <v>DANIEL SPOSITO DOS SANTOS</v>
          </cell>
          <cell r="B126" t="str">
            <v>Divorciado</v>
          </cell>
          <cell r="C126" t="str">
            <v>AV Zelia Giglioli Galves</v>
          </cell>
          <cell r="D126" t="str">
            <v>Esmeralda</v>
          </cell>
          <cell r="E126" t="str">
            <v>PRAIA GRANDE</v>
          </cell>
          <cell r="F126" t="str">
            <v>SP</v>
          </cell>
          <cell r="G126" t="str">
            <v>121</v>
          </cell>
          <cell r="H126" t="str">
            <v>Casa 03</v>
          </cell>
          <cell r="I126" t="str">
            <v>11713-300</v>
          </cell>
          <cell r="J126" t="str">
            <v>88342844</v>
          </cell>
          <cell r="K126" t="str">
            <v/>
          </cell>
          <cell r="L126" t="str">
            <v>Masculino</v>
          </cell>
          <cell r="M126" t="str">
            <v>Parda</v>
          </cell>
          <cell r="N126">
            <v>29387</v>
          </cell>
          <cell r="O126" t="str">
            <v>303473551</v>
          </cell>
          <cell r="P126" t="str">
            <v>SP</v>
          </cell>
          <cell r="Q126" t="str">
            <v>SSP</v>
          </cell>
          <cell r="R126" t="str">
            <v>SANTOS</v>
          </cell>
        </row>
        <row r="127">
          <cell r="A127" t="str">
            <v>RAFAEL DIAS DA SILVA</v>
          </cell>
          <cell r="B127" t="str">
            <v>Casado</v>
          </cell>
          <cell r="C127" t="str">
            <v>R K</v>
          </cell>
          <cell r="D127" t="str">
            <v>Sítio Paecara (Vicente de Carvalho)</v>
          </cell>
          <cell r="E127" t="str">
            <v>GUARUJA</v>
          </cell>
          <cell r="F127" t="str">
            <v>SP</v>
          </cell>
          <cell r="G127" t="str">
            <v>25</v>
          </cell>
          <cell r="H127" t="str">
            <v>Casas Populares</v>
          </cell>
          <cell r="I127" t="str">
            <v>11461-000</v>
          </cell>
          <cell r="J127" t="str">
            <v/>
          </cell>
          <cell r="K127" t="str">
            <v/>
          </cell>
          <cell r="L127" t="str">
            <v>Masculino</v>
          </cell>
          <cell r="M127" t="str">
            <v>Branca</v>
          </cell>
          <cell r="N127">
            <v>30109</v>
          </cell>
          <cell r="O127" t="str">
            <v>290101487</v>
          </cell>
          <cell r="P127" t="str">
            <v>SP</v>
          </cell>
          <cell r="Q127" t="str">
            <v>SSP</v>
          </cell>
          <cell r="R127" t="str">
            <v>SANTOS</v>
          </cell>
        </row>
        <row r="128">
          <cell r="A128" t="str">
            <v>FABRICIO FERRAZ DO NASCIMENTO</v>
          </cell>
          <cell r="B128" t="str">
            <v>Casado</v>
          </cell>
          <cell r="C128" t="str">
            <v>R Tambaú</v>
          </cell>
          <cell r="D128" t="str">
            <v>Sítio Paecara (Vicen</v>
          </cell>
          <cell r="E128" t="str">
            <v>GUARUJA</v>
          </cell>
          <cell r="F128" t="str">
            <v>SP</v>
          </cell>
          <cell r="G128" t="str">
            <v>309</v>
          </cell>
          <cell r="H128" t="str">
            <v>CS2</v>
          </cell>
          <cell r="I128" t="str">
            <v>11451-170</v>
          </cell>
          <cell r="J128" t="str">
            <v>33413708</v>
          </cell>
          <cell r="K128" t="str">
            <v>988579510</v>
          </cell>
          <cell r="L128" t="str">
            <v>Masculino</v>
          </cell>
          <cell r="M128" t="str">
            <v>Preta/Negra</v>
          </cell>
          <cell r="N128">
            <v>28692</v>
          </cell>
          <cell r="O128" t="str">
            <v>289205876</v>
          </cell>
          <cell r="P128" t="str">
            <v>SP</v>
          </cell>
          <cell r="Q128" t="str">
            <v>SSP</v>
          </cell>
          <cell r="R128" t="str">
            <v>SANTOS</v>
          </cell>
        </row>
        <row r="129">
          <cell r="A129" t="str">
            <v>DOUGLAS DEMETRIO DA FONSECA JUNIOR</v>
          </cell>
          <cell r="B129" t="str">
            <v>Solteiro</v>
          </cell>
          <cell r="C129" t="str">
            <v>AV PRESIDENTE WILSON</v>
          </cell>
          <cell r="D129" t="str">
            <v>José Menino</v>
          </cell>
          <cell r="E129" t="str">
            <v>SANTOS</v>
          </cell>
          <cell r="F129" t="str">
            <v>SP</v>
          </cell>
          <cell r="G129" t="str">
            <v>200</v>
          </cell>
          <cell r="H129" t="str">
            <v>AP 222D</v>
          </cell>
          <cell r="I129" t="str">
            <v>11065-201</v>
          </cell>
          <cell r="J129" t="str">
            <v>30197055</v>
          </cell>
          <cell r="K129" t="str">
            <v/>
          </cell>
          <cell r="L129" t="str">
            <v>Masculino</v>
          </cell>
          <cell r="M129" t="str">
            <v>Parda</v>
          </cell>
          <cell r="N129">
            <v>31506</v>
          </cell>
          <cell r="O129" t="str">
            <v>437320182</v>
          </cell>
          <cell r="P129" t="str">
            <v>SP</v>
          </cell>
          <cell r="Q129" t="str">
            <v>SSP</v>
          </cell>
          <cell r="R129" t="str">
            <v>SANTOS</v>
          </cell>
        </row>
        <row r="130">
          <cell r="A130" t="str">
            <v>ALINE ROBERTA SILVA</v>
          </cell>
          <cell r="B130" t="str">
            <v>Solteiro</v>
          </cell>
          <cell r="C130" t="str">
            <v>R Marquês de São Vicente</v>
          </cell>
          <cell r="D130" t="str">
            <v>Campo Grande</v>
          </cell>
          <cell r="E130" t="str">
            <v>SANTOS</v>
          </cell>
          <cell r="F130" t="str">
            <v>SP</v>
          </cell>
          <cell r="G130" t="str">
            <v>174</v>
          </cell>
          <cell r="H130" t="str">
            <v>AP 32</v>
          </cell>
          <cell r="I130" t="str">
            <v>11075-690</v>
          </cell>
          <cell r="J130" t="str">
            <v/>
          </cell>
          <cell r="K130" t="str">
            <v>996627866</v>
          </cell>
          <cell r="L130" t="str">
            <v>Feminino</v>
          </cell>
          <cell r="M130" t="str">
            <v>Parda</v>
          </cell>
          <cell r="N130">
            <v>31662</v>
          </cell>
          <cell r="O130" t="str">
            <v>444003113</v>
          </cell>
          <cell r="P130" t="str">
            <v>SP</v>
          </cell>
          <cell r="Q130" t="str">
            <v>SSP</v>
          </cell>
          <cell r="R130" t="str">
            <v>GUARUJA</v>
          </cell>
        </row>
        <row r="131">
          <cell r="A131" t="str">
            <v>MARCELO SOUSA DE OLIVEIRA</v>
          </cell>
          <cell r="B131" t="str">
            <v>Casado</v>
          </cell>
          <cell r="C131" t="str">
            <v>R Padre Anchieta</v>
          </cell>
          <cell r="D131" t="str">
            <v>Macuco</v>
          </cell>
          <cell r="E131" t="str">
            <v>SANTOS</v>
          </cell>
          <cell r="F131" t="str">
            <v>SP</v>
          </cell>
          <cell r="G131" t="str">
            <v>AP22</v>
          </cell>
          <cell r="H131" t="str">
            <v/>
          </cell>
          <cell r="I131" t="str">
            <v>11015-120</v>
          </cell>
          <cell r="J131" t="str">
            <v>97281183</v>
          </cell>
          <cell r="K131" t="str">
            <v/>
          </cell>
          <cell r="L131" t="str">
            <v>Masculino</v>
          </cell>
          <cell r="M131" t="str">
            <v>Branca</v>
          </cell>
          <cell r="N131">
            <v>27491</v>
          </cell>
          <cell r="O131" t="str">
            <v>253387334</v>
          </cell>
          <cell r="P131" t="str">
            <v>SP</v>
          </cell>
          <cell r="Q131" t="str">
            <v>SSP</v>
          </cell>
          <cell r="R131" t="str">
            <v>SANTOS</v>
          </cell>
        </row>
        <row r="132">
          <cell r="A132" t="str">
            <v>FABIO ALEXANDRE DE ALMEIDA RAMOS</v>
          </cell>
          <cell r="B132" t="str">
            <v>Casado</v>
          </cell>
          <cell r="C132" t="str">
            <v>R Santos Dumont</v>
          </cell>
          <cell r="D132" t="str">
            <v>Estuário</v>
          </cell>
          <cell r="E132" t="str">
            <v>SANTOS</v>
          </cell>
          <cell r="F132" t="str">
            <v>SP</v>
          </cell>
          <cell r="G132" t="str">
            <v>172</v>
          </cell>
          <cell r="H132" t="str">
            <v>Apto 143</v>
          </cell>
          <cell r="I132" t="str">
            <v>11015-230</v>
          </cell>
          <cell r="J132" t="str">
            <v>988040500</v>
          </cell>
          <cell r="K132" t="str">
            <v/>
          </cell>
          <cell r="L132" t="str">
            <v>Masculino</v>
          </cell>
          <cell r="M132" t="str">
            <v>Branca</v>
          </cell>
          <cell r="N132">
            <v>27727</v>
          </cell>
          <cell r="O132" t="str">
            <v>280799718</v>
          </cell>
          <cell r="P132" t="str">
            <v>SP</v>
          </cell>
          <cell r="Q132" t="str">
            <v>SSP</v>
          </cell>
          <cell r="R132" t="str">
            <v>SANTOS</v>
          </cell>
        </row>
        <row r="133">
          <cell r="A133" t="str">
            <v>MARCELO SILVA DE SOUSA</v>
          </cell>
          <cell r="B133" t="str">
            <v>Casado</v>
          </cell>
          <cell r="C133" t="str">
            <v>R Maestro Antônio Garofalo</v>
          </cell>
          <cell r="D133" t="str">
            <v>Santa Maria</v>
          </cell>
          <cell r="E133" t="str">
            <v>SANTOS</v>
          </cell>
          <cell r="F133" t="str">
            <v>SP</v>
          </cell>
          <cell r="G133" t="str">
            <v>368</v>
          </cell>
          <cell r="H133" t="str">
            <v/>
          </cell>
          <cell r="I133" t="str">
            <v>11089-100</v>
          </cell>
          <cell r="J133" t="str">
            <v>974065314</v>
          </cell>
          <cell r="K133" t="str">
            <v/>
          </cell>
          <cell r="L133" t="str">
            <v>Masculino</v>
          </cell>
          <cell r="M133" t="str">
            <v>Branca</v>
          </cell>
          <cell r="N133">
            <v>25849</v>
          </cell>
          <cell r="O133" t="str">
            <v>189368196</v>
          </cell>
          <cell r="P133" t="str">
            <v>SP</v>
          </cell>
          <cell r="Q133" t="str">
            <v>SSP</v>
          </cell>
          <cell r="R133" t="str">
            <v>SANTOS</v>
          </cell>
        </row>
        <row r="134">
          <cell r="A134" t="str">
            <v>JOSE BENEDITO CASTILHO JUNIOR</v>
          </cell>
          <cell r="B134" t="str">
            <v>Casado</v>
          </cell>
          <cell r="C134" t="str">
            <v>R Capitão Gregório de Freitas</v>
          </cell>
          <cell r="D134" t="str">
            <v>Parque Sao Vicente</v>
          </cell>
          <cell r="E134" t="str">
            <v>SAO VICENTE</v>
          </cell>
          <cell r="F134" t="str">
            <v>SP</v>
          </cell>
          <cell r="G134" t="str">
            <v>276</v>
          </cell>
          <cell r="H134" t="str">
            <v>CASA1</v>
          </cell>
          <cell r="I134" t="str">
            <v>11360-010</v>
          </cell>
          <cell r="J134" t="str">
            <v>991593753</v>
          </cell>
          <cell r="K134" t="str">
            <v/>
          </cell>
          <cell r="L134" t="str">
            <v>Masculino</v>
          </cell>
          <cell r="M134" t="str">
            <v>Branca</v>
          </cell>
          <cell r="N134">
            <v>23209</v>
          </cell>
          <cell r="O134" t="str">
            <v>164195683</v>
          </cell>
          <cell r="P134" t="str">
            <v>SP</v>
          </cell>
          <cell r="Q134" t="str">
            <v>SSP</v>
          </cell>
          <cell r="R134" t="str">
            <v>SAO VICENTE</v>
          </cell>
        </row>
        <row r="135">
          <cell r="A135" t="str">
            <v>FABIO BIO PINHEIRO</v>
          </cell>
          <cell r="B135" t="str">
            <v>Casado</v>
          </cell>
          <cell r="C135" t="str">
            <v>R Oito</v>
          </cell>
          <cell r="D135" t="str">
            <v>Jardim Monteiro da C</v>
          </cell>
          <cell r="E135" t="str">
            <v>GUARUJA</v>
          </cell>
          <cell r="F135" t="str">
            <v>SP</v>
          </cell>
          <cell r="G135" t="str">
            <v>45</v>
          </cell>
          <cell r="H135" t="str">
            <v/>
          </cell>
          <cell r="I135" t="str">
            <v>11462-480</v>
          </cell>
          <cell r="J135" t="str">
            <v>30178392</v>
          </cell>
          <cell r="K135" t="str">
            <v/>
          </cell>
          <cell r="L135" t="str">
            <v>Masculino</v>
          </cell>
          <cell r="M135" t="str">
            <v>Parda</v>
          </cell>
          <cell r="N135">
            <v>25344</v>
          </cell>
          <cell r="O135" t="str">
            <v>21159791</v>
          </cell>
          <cell r="P135" t="str">
            <v>SP</v>
          </cell>
          <cell r="Q135" t="str">
            <v>SSP</v>
          </cell>
          <cell r="R135" t="str">
            <v>SANTOS</v>
          </cell>
        </row>
        <row r="136">
          <cell r="A136" t="str">
            <v>PAULO HENRIQUE CASTILHO</v>
          </cell>
          <cell r="B136" t="str">
            <v>Casado</v>
          </cell>
          <cell r="C136" t="str">
            <v>R Guilherme Raposo de Almeida</v>
          </cell>
          <cell r="D136" t="str">
            <v>Cidade Nautica</v>
          </cell>
          <cell r="E136" t="str">
            <v>SAO VICENTE</v>
          </cell>
          <cell r="F136" t="str">
            <v>SP</v>
          </cell>
          <cell r="G136" t="str">
            <v>750</v>
          </cell>
          <cell r="H136" t="str">
            <v>CASA 01</v>
          </cell>
          <cell r="I136" t="str">
            <v>11350-200</v>
          </cell>
          <cell r="J136" t="str">
            <v>981171218</v>
          </cell>
          <cell r="K136" t="str">
            <v/>
          </cell>
          <cell r="L136" t="str">
            <v>Masculino</v>
          </cell>
          <cell r="M136" t="str">
            <v>Branca</v>
          </cell>
          <cell r="N136">
            <v>23713</v>
          </cell>
          <cell r="O136" t="str">
            <v>18939367</v>
          </cell>
          <cell r="P136" t="str">
            <v>SP</v>
          </cell>
          <cell r="Q136" t="str">
            <v>SSP</v>
          </cell>
          <cell r="R136" t="str">
            <v>SANTOS</v>
          </cell>
        </row>
        <row r="137">
          <cell r="A137" t="str">
            <v>JOSE RICO FERNANDEZ</v>
          </cell>
          <cell r="B137" t="str">
            <v>Casado</v>
          </cell>
          <cell r="C137" t="str">
            <v>R Doutor Bernardo Browne</v>
          </cell>
          <cell r="D137" t="str">
            <v>Estuario</v>
          </cell>
          <cell r="E137" t="str">
            <v>SANTOS</v>
          </cell>
          <cell r="F137" t="str">
            <v>SP</v>
          </cell>
          <cell r="G137" t="str">
            <v>10</v>
          </cell>
          <cell r="H137" t="str">
            <v>APTO101</v>
          </cell>
          <cell r="I137" t="str">
            <v>11025-240</v>
          </cell>
          <cell r="J137" t="str">
            <v>974051772</v>
          </cell>
          <cell r="K137" t="str">
            <v>32737927</v>
          </cell>
          <cell r="L137" t="str">
            <v>Masculino</v>
          </cell>
          <cell r="M137" t="str">
            <v>Branca</v>
          </cell>
          <cell r="N137">
            <v>28363</v>
          </cell>
          <cell r="O137" t="str">
            <v>249571237</v>
          </cell>
          <cell r="P137" t="str">
            <v>SP</v>
          </cell>
          <cell r="Q137" t="str">
            <v>SSP</v>
          </cell>
          <cell r="R137" t="str">
            <v>SANTOS</v>
          </cell>
        </row>
        <row r="138">
          <cell r="A138" t="str">
            <v>THIAGO DOS SANTOS SILVA</v>
          </cell>
          <cell r="B138" t="str">
            <v>Solteiro</v>
          </cell>
          <cell r="C138" t="str">
            <v>R João Santa Rosa de Carvalho</v>
          </cell>
          <cell r="D138" t="str">
            <v>Jardim Irmã Dolores</v>
          </cell>
          <cell r="E138" t="str">
            <v>SAO VICENTE</v>
          </cell>
          <cell r="F138" t="str">
            <v>SP</v>
          </cell>
          <cell r="G138" t="str">
            <v>35</v>
          </cell>
          <cell r="H138" t="str">
            <v>casa</v>
          </cell>
          <cell r="I138" t="str">
            <v>11347-485</v>
          </cell>
          <cell r="J138" t="str">
            <v>34639122</v>
          </cell>
          <cell r="K138" t="str">
            <v/>
          </cell>
          <cell r="L138" t="str">
            <v>Masculino</v>
          </cell>
          <cell r="M138" t="str">
            <v>Preta/Negra</v>
          </cell>
          <cell r="N138">
            <v>31470</v>
          </cell>
          <cell r="O138" t="str">
            <v>427245308</v>
          </cell>
          <cell r="P138" t="str">
            <v>SP</v>
          </cell>
          <cell r="Q138" t="str">
            <v>SSP</v>
          </cell>
          <cell r="R138" t="str">
            <v>SANTOS</v>
          </cell>
        </row>
        <row r="139">
          <cell r="A139" t="str">
            <v>ROBERTA AMARO MORENO</v>
          </cell>
          <cell r="B139" t="str">
            <v>Casado</v>
          </cell>
          <cell r="C139" t="str">
            <v>R AVEDIS SIMONIAN</v>
          </cell>
          <cell r="D139" t="str">
            <v>GUAIUBA</v>
          </cell>
          <cell r="E139" t="str">
            <v>GUARUJA</v>
          </cell>
          <cell r="F139" t="str">
            <v>SP</v>
          </cell>
          <cell r="G139" t="str">
            <v>881</v>
          </cell>
          <cell r="H139" t="str">
            <v>CASA</v>
          </cell>
          <cell r="I139" t="str">
            <v>11421-060</v>
          </cell>
          <cell r="J139" t="str">
            <v>997022009</v>
          </cell>
          <cell r="K139" t="str">
            <v>997022009</v>
          </cell>
          <cell r="L139" t="str">
            <v>Feminino</v>
          </cell>
          <cell r="M139" t="str">
            <v>Branca</v>
          </cell>
          <cell r="N139">
            <v>30529</v>
          </cell>
          <cell r="O139" t="str">
            <v>303460076</v>
          </cell>
          <cell r="P139" t="str">
            <v>SP</v>
          </cell>
          <cell r="Q139" t="str">
            <v>SSP</v>
          </cell>
          <cell r="R139" t="str">
            <v>SANTOS</v>
          </cell>
        </row>
        <row r="140">
          <cell r="A140" t="str">
            <v>ALAN VANDERLEI FERRAZ</v>
          </cell>
          <cell r="B140" t="str">
            <v>Casado</v>
          </cell>
          <cell r="C140" t="str">
            <v>R JOSEFINA SORIO</v>
          </cell>
          <cell r="D140" t="str">
            <v>Vila Santa Rosa</v>
          </cell>
          <cell r="E140" t="str">
            <v>GUARUJA</v>
          </cell>
          <cell r="F140" t="str">
            <v>SP</v>
          </cell>
          <cell r="G140" t="str">
            <v>167</v>
          </cell>
          <cell r="H140" t="str">
            <v>CASA3</v>
          </cell>
          <cell r="I140" t="str">
            <v>11431-170</v>
          </cell>
          <cell r="J140" t="str">
            <v>33825181</v>
          </cell>
          <cell r="K140" t="str">
            <v/>
          </cell>
          <cell r="L140" t="str">
            <v>Masculino</v>
          </cell>
          <cell r="M140" t="str">
            <v>Branca</v>
          </cell>
          <cell r="N140">
            <v>29885</v>
          </cell>
          <cell r="O140" t="str">
            <v>329979486</v>
          </cell>
          <cell r="P140" t="str">
            <v>SP</v>
          </cell>
          <cell r="Q140" t="str">
            <v>SSP</v>
          </cell>
          <cell r="R140" t="str">
            <v>GUARUJA</v>
          </cell>
        </row>
        <row r="141">
          <cell r="A141" t="str">
            <v>DANILO DOS SANTOS ALVES DA SILVA</v>
          </cell>
          <cell r="B141" t="str">
            <v>Solteiro</v>
          </cell>
          <cell r="C141" t="str">
            <v>AV Severo Conde Y Conde</v>
          </cell>
          <cell r="D141" t="str">
            <v>Vila Áurea (Vicente</v>
          </cell>
          <cell r="E141" t="str">
            <v>GUARUJA</v>
          </cell>
          <cell r="F141" t="str">
            <v>SP</v>
          </cell>
          <cell r="G141" t="str">
            <v>80</v>
          </cell>
          <cell r="H141" t="str">
            <v>CASA</v>
          </cell>
          <cell r="I141" t="str">
            <v>11454-010</v>
          </cell>
          <cell r="J141" t="str">
            <v>974023365</v>
          </cell>
          <cell r="K141" t="str">
            <v/>
          </cell>
          <cell r="L141" t="str">
            <v>Masculino</v>
          </cell>
          <cell r="M141" t="str">
            <v>Parda</v>
          </cell>
          <cell r="N141">
            <v>31818</v>
          </cell>
          <cell r="O141" t="str">
            <v>304907662</v>
          </cell>
          <cell r="P141" t="str">
            <v>SP</v>
          </cell>
          <cell r="Q141" t="str">
            <v>SSP</v>
          </cell>
          <cell r="R141" t="str">
            <v>SANTOS</v>
          </cell>
        </row>
        <row r="142">
          <cell r="A142" t="str">
            <v>JOSE EDIVALDO SANTOS</v>
          </cell>
          <cell r="B142" t="str">
            <v>Casado</v>
          </cell>
          <cell r="C142" t="str">
            <v>R Benjamin Constant</v>
          </cell>
          <cell r="D142" t="str">
            <v>Embare</v>
          </cell>
          <cell r="E142" t="str">
            <v>SANTOS</v>
          </cell>
          <cell r="F142" t="str">
            <v>SP</v>
          </cell>
          <cell r="G142" t="str">
            <v>313</v>
          </cell>
          <cell r="H142" t="str">
            <v>apto 41</v>
          </cell>
          <cell r="I142" t="str">
            <v>11040-141</v>
          </cell>
          <cell r="J142" t="str">
            <v>974159896</v>
          </cell>
          <cell r="K142" t="str">
            <v/>
          </cell>
          <cell r="L142" t="str">
            <v>Masculino</v>
          </cell>
          <cell r="M142" t="str">
            <v>Parda</v>
          </cell>
          <cell r="N142">
            <v>29233</v>
          </cell>
          <cell r="O142" t="str">
            <v>37882983</v>
          </cell>
          <cell r="P142" t="str">
            <v>SP</v>
          </cell>
          <cell r="Q142" t="str">
            <v>SSP</v>
          </cell>
          <cell r="R142" t="str">
            <v>SAO CRISTOVAO</v>
          </cell>
        </row>
        <row r="143">
          <cell r="A143" t="str">
            <v>FRANCISCO ANTONIO DE SOUSA</v>
          </cell>
          <cell r="B143" t="str">
            <v>Casado</v>
          </cell>
          <cell r="C143" t="str">
            <v>R Poeta Manuel Bandeira</v>
          </cell>
          <cell r="D143" t="str">
            <v>Jardim Brasil II</v>
          </cell>
          <cell r="E143" t="str">
            <v>GUARUJA</v>
          </cell>
          <cell r="F143" t="str">
            <v>SP</v>
          </cell>
          <cell r="G143" t="str">
            <v>82</v>
          </cell>
          <cell r="H143" t="str">
            <v/>
          </cell>
          <cell r="I143" t="str">
            <v>11497-520</v>
          </cell>
          <cell r="J143" t="str">
            <v>30243254</v>
          </cell>
          <cell r="K143" t="str">
            <v/>
          </cell>
          <cell r="L143" t="str">
            <v>Masculino</v>
          </cell>
          <cell r="M143" t="str">
            <v>Parda</v>
          </cell>
          <cell r="N143">
            <v>23133</v>
          </cell>
          <cell r="O143" t="str">
            <v>15742859</v>
          </cell>
          <cell r="P143" t="str">
            <v>SP</v>
          </cell>
          <cell r="Q143" t="str">
            <v>SSP</v>
          </cell>
          <cell r="R143" t="str">
            <v>MACAU</v>
          </cell>
        </row>
        <row r="144">
          <cell r="A144" t="str">
            <v>ROGERIO VALENTIM DA LUZ</v>
          </cell>
          <cell r="B144" t="str">
            <v>Casado</v>
          </cell>
          <cell r="C144" t="str">
            <v>AV Engenheiro Manoel Ferramenta Júnior</v>
          </cell>
          <cell r="D144" t="str">
            <v>Areia Branca</v>
          </cell>
          <cell r="E144" t="str">
            <v>SANTOS</v>
          </cell>
          <cell r="F144" t="str">
            <v>SP</v>
          </cell>
          <cell r="G144" t="str">
            <v>363</v>
          </cell>
          <cell r="H144" t="str">
            <v>Ap121 Bloco B</v>
          </cell>
          <cell r="I144" t="str">
            <v>11086-400</v>
          </cell>
          <cell r="J144" t="str">
            <v>974069680</v>
          </cell>
          <cell r="K144" t="str">
            <v>974069680</v>
          </cell>
          <cell r="L144" t="str">
            <v>Masculino</v>
          </cell>
          <cell r="M144" t="str">
            <v>Parda</v>
          </cell>
          <cell r="N144">
            <v>27548</v>
          </cell>
          <cell r="O144" t="str">
            <v>259137297</v>
          </cell>
          <cell r="P144" t="str">
            <v>SP</v>
          </cell>
          <cell r="Q144" t="str">
            <v>SSP</v>
          </cell>
          <cell r="R144" t="str">
            <v>SANTOS</v>
          </cell>
        </row>
        <row r="145">
          <cell r="A145" t="str">
            <v>KLEYTON LUZIA DA SILVA</v>
          </cell>
          <cell r="B145" t="str">
            <v>Casado</v>
          </cell>
          <cell r="C145" t="str">
            <v>AV Doutor Haroldo de Camargo</v>
          </cell>
          <cell r="D145" t="str">
            <v>Castelo</v>
          </cell>
          <cell r="E145" t="str">
            <v>SANTOS</v>
          </cell>
          <cell r="F145" t="str">
            <v>SP</v>
          </cell>
          <cell r="G145" t="str">
            <v>60</v>
          </cell>
          <cell r="H145" t="str">
            <v>Torre sol apto 52</v>
          </cell>
          <cell r="I145" t="str">
            <v>11087-500</v>
          </cell>
          <cell r="J145" t="str">
            <v>981333721</v>
          </cell>
          <cell r="K145" t="str">
            <v>981333721</v>
          </cell>
          <cell r="L145" t="str">
            <v>Masculino</v>
          </cell>
          <cell r="M145" t="str">
            <v>Parda</v>
          </cell>
          <cell r="N145">
            <v>31149</v>
          </cell>
          <cell r="O145" t="str">
            <v>443082583</v>
          </cell>
          <cell r="P145" t="str">
            <v>SP</v>
          </cell>
          <cell r="Q145" t="str">
            <v>SSP</v>
          </cell>
          <cell r="R145" t="str">
            <v>SANTOS</v>
          </cell>
        </row>
        <row r="146">
          <cell r="A146" t="str">
            <v>MAGNO APARECIDO BORGES DOS SANTOS</v>
          </cell>
          <cell r="B146" t="str">
            <v>Solteiro</v>
          </cell>
          <cell r="C146" t="str">
            <v>AV Coronel Joaquim Montenegro</v>
          </cell>
          <cell r="D146" t="str">
            <v>Ponta da Praia</v>
          </cell>
          <cell r="E146" t="str">
            <v>SANTOS</v>
          </cell>
          <cell r="F146" t="str">
            <v>SP</v>
          </cell>
          <cell r="G146" t="str">
            <v>20</v>
          </cell>
          <cell r="H146" t="str">
            <v>Apto 53</v>
          </cell>
          <cell r="I146" t="str">
            <v>11035-000</v>
          </cell>
          <cell r="J146" t="str">
            <v>974141329</v>
          </cell>
          <cell r="K146" t="str">
            <v/>
          </cell>
          <cell r="L146" t="str">
            <v>Masculino</v>
          </cell>
          <cell r="M146" t="str">
            <v>Branca</v>
          </cell>
          <cell r="N146">
            <v>26241</v>
          </cell>
          <cell r="O146" t="str">
            <v>225459255</v>
          </cell>
          <cell r="P146" t="str">
            <v>SP</v>
          </cell>
          <cell r="Q146" t="str">
            <v>SSP</v>
          </cell>
          <cell r="R146" t="str">
            <v>SANTOS</v>
          </cell>
        </row>
        <row r="147">
          <cell r="A147" t="str">
            <v>GUILHERME RIBEIRO MORAIS</v>
          </cell>
          <cell r="B147" t="str">
            <v>Solteiro</v>
          </cell>
          <cell r="C147" t="str">
            <v>R Alexandre Martins</v>
          </cell>
          <cell r="D147" t="str">
            <v>Aparecida</v>
          </cell>
          <cell r="E147" t="str">
            <v>SANTOS</v>
          </cell>
          <cell r="F147" t="str">
            <v>SP</v>
          </cell>
          <cell r="G147" t="str">
            <v>203</v>
          </cell>
          <cell r="H147" t="str">
            <v>AP 21</v>
          </cell>
          <cell r="I147" t="str">
            <v>11025-203</v>
          </cell>
          <cell r="J147" t="str">
            <v>997974849</v>
          </cell>
          <cell r="K147" t="str">
            <v/>
          </cell>
          <cell r="L147" t="str">
            <v>Masculino</v>
          </cell>
          <cell r="M147" t="str">
            <v>Branca</v>
          </cell>
          <cell r="N147">
            <v>33693</v>
          </cell>
          <cell r="O147" t="str">
            <v>486229816</v>
          </cell>
          <cell r="P147" t="str">
            <v>SP</v>
          </cell>
          <cell r="Q147" t="str">
            <v>SSP</v>
          </cell>
          <cell r="R147" t="str">
            <v>SANTOS</v>
          </cell>
        </row>
        <row r="148">
          <cell r="A148" t="str">
            <v>DANILO RODRIGUES DOS SANTOS</v>
          </cell>
          <cell r="B148" t="str">
            <v>Casado</v>
          </cell>
          <cell r="C148" t="str">
            <v>R São Vicente de Paula</v>
          </cell>
          <cell r="D148" t="str">
            <v>Vera Cruz</v>
          </cell>
          <cell r="E148" t="str">
            <v>MONGAGUA</v>
          </cell>
          <cell r="F148" t="str">
            <v>SP</v>
          </cell>
          <cell r="G148" t="str">
            <v>785</v>
          </cell>
          <cell r="H148" t="str">
            <v>Casa</v>
          </cell>
          <cell r="I148" t="str">
            <v>11730-000</v>
          </cell>
          <cell r="J148" t="str">
            <v>30141595</v>
          </cell>
          <cell r="K148" t="str">
            <v/>
          </cell>
          <cell r="L148" t="str">
            <v>Masculino</v>
          </cell>
          <cell r="M148" t="str">
            <v>Branca</v>
          </cell>
          <cell r="N148">
            <v>31896</v>
          </cell>
          <cell r="O148" t="str">
            <v>332541216</v>
          </cell>
          <cell r="P148" t="str">
            <v>SP</v>
          </cell>
          <cell r="Q148" t="str">
            <v>SSP</v>
          </cell>
          <cell r="R148" t="str">
            <v>MONGAGUA</v>
          </cell>
        </row>
        <row r="149">
          <cell r="A149" t="str">
            <v>JOSE FABRICIO DE OLIVEIRA</v>
          </cell>
          <cell r="B149" t="str">
            <v>Casado</v>
          </cell>
          <cell r="C149" t="str">
            <v>R Vergueiro Steidel</v>
          </cell>
          <cell r="D149" t="str">
            <v>Aparecida</v>
          </cell>
          <cell r="E149" t="str">
            <v>SANTOS</v>
          </cell>
          <cell r="F149" t="str">
            <v>SP</v>
          </cell>
          <cell r="G149" t="str">
            <v>341</v>
          </cell>
          <cell r="H149" t="str">
            <v>Apto 406 porta 3</v>
          </cell>
          <cell r="I149" t="str">
            <v>11040-271</v>
          </cell>
          <cell r="J149" t="str">
            <v>997165797</v>
          </cell>
          <cell r="K149" t="str">
            <v/>
          </cell>
          <cell r="L149" t="str">
            <v>Masculino</v>
          </cell>
          <cell r="M149" t="str">
            <v>Parda</v>
          </cell>
          <cell r="N149">
            <v>28949</v>
          </cell>
          <cell r="O149" t="str">
            <v>11629527</v>
          </cell>
          <cell r="P149" t="str">
            <v>MG</v>
          </cell>
          <cell r="Q149" t="str">
            <v>SSP</v>
          </cell>
          <cell r="R149" t="str">
            <v>SANTOS</v>
          </cell>
        </row>
        <row r="150">
          <cell r="A150" t="str">
            <v>SAMUEL LAURINDO DO NASCIMENTO</v>
          </cell>
          <cell r="B150" t="str">
            <v>Casado</v>
          </cell>
          <cell r="C150" t="str">
            <v>R Antônio Conceição Filho</v>
          </cell>
          <cell r="D150" t="str">
            <v>Conjunto Residencial</v>
          </cell>
          <cell r="E150" t="str">
            <v>SAO VICENTE</v>
          </cell>
          <cell r="F150" t="str">
            <v>SP</v>
          </cell>
          <cell r="G150" t="str">
            <v>1253</v>
          </cell>
          <cell r="H150" t="str">
            <v/>
          </cell>
          <cell r="I150" t="str">
            <v>11349-050</v>
          </cell>
          <cell r="J150" t="str">
            <v>35641009</v>
          </cell>
          <cell r="K150" t="str">
            <v>996189148</v>
          </cell>
          <cell r="L150" t="str">
            <v>Masculino</v>
          </cell>
          <cell r="M150" t="str">
            <v>Branca</v>
          </cell>
          <cell r="N150">
            <v>30942</v>
          </cell>
          <cell r="O150" t="str">
            <v>435211961</v>
          </cell>
          <cell r="P150" t="str">
            <v>SP</v>
          </cell>
          <cell r="Q150" t="str">
            <v>SSP</v>
          </cell>
          <cell r="R150" t="str">
            <v>CUBATAO</v>
          </cell>
        </row>
        <row r="151">
          <cell r="A151" t="str">
            <v>FRANCISCO APARECIDO RICARTE DA SILVA</v>
          </cell>
          <cell r="B151" t="str">
            <v>Divorciado</v>
          </cell>
          <cell r="C151" t="str">
            <v>R Tenente Durval do Amaral</v>
          </cell>
          <cell r="D151" t="str">
            <v>Catiapoa</v>
          </cell>
          <cell r="E151" t="str">
            <v>SAO VICENTE</v>
          </cell>
          <cell r="F151" t="str">
            <v>SP</v>
          </cell>
          <cell r="G151" t="str">
            <v>61</v>
          </cell>
          <cell r="H151" t="str">
            <v>Casa 03</v>
          </cell>
          <cell r="I151" t="str">
            <v>11390-300</v>
          </cell>
          <cell r="J151" t="str">
            <v>974026108</v>
          </cell>
          <cell r="K151" t="str">
            <v/>
          </cell>
          <cell r="L151" t="str">
            <v>Masculino</v>
          </cell>
          <cell r="M151" t="str">
            <v>Branca</v>
          </cell>
          <cell r="N151">
            <v>28681</v>
          </cell>
          <cell r="O151" t="str">
            <v>32070983</v>
          </cell>
          <cell r="P151" t="str">
            <v>SP</v>
          </cell>
          <cell r="Q151" t="str">
            <v>SSP</v>
          </cell>
          <cell r="R151" t="str">
            <v>SAO VICENTE</v>
          </cell>
        </row>
        <row r="152">
          <cell r="A152" t="str">
            <v>FELIPE LOPES DA SILVA</v>
          </cell>
          <cell r="B152" t="str">
            <v>Solteiro</v>
          </cell>
          <cell r="C152" t="str">
            <v>R Manoel Marques Nabeto</v>
          </cell>
          <cell r="D152" t="str">
            <v>Jardim Boa Esperança</v>
          </cell>
          <cell r="E152" t="str">
            <v>GUARUJA</v>
          </cell>
          <cell r="F152" t="str">
            <v>SP</v>
          </cell>
          <cell r="G152" t="str">
            <v>261</v>
          </cell>
          <cell r="H152" t="str">
            <v/>
          </cell>
          <cell r="I152" t="str">
            <v>11471-060</v>
          </cell>
          <cell r="J152" t="str">
            <v>33841489</v>
          </cell>
          <cell r="K152" t="str">
            <v/>
          </cell>
          <cell r="L152" t="str">
            <v>Masculino</v>
          </cell>
          <cell r="M152" t="str">
            <v>Branca</v>
          </cell>
          <cell r="N152">
            <v>32282</v>
          </cell>
          <cell r="O152" t="str">
            <v>415528355</v>
          </cell>
          <cell r="P152" t="str">
            <v>SP</v>
          </cell>
          <cell r="Q152" t="str">
            <v>SSP</v>
          </cell>
          <cell r="R152" t="str">
            <v>SANTOS</v>
          </cell>
        </row>
        <row r="153">
          <cell r="A153" t="str">
            <v>FERNANDO BOTELHO TAVARES</v>
          </cell>
          <cell r="B153" t="str">
            <v>Casado</v>
          </cell>
          <cell r="C153" t="str">
            <v>R Farmacêutico José Ignacio da Glória</v>
          </cell>
          <cell r="D153" t="str">
            <v>Vila Sao Jorge</v>
          </cell>
          <cell r="E153" t="str">
            <v>SAO VICENTE</v>
          </cell>
          <cell r="F153" t="str">
            <v>SP</v>
          </cell>
          <cell r="G153" t="str">
            <v>160</v>
          </cell>
          <cell r="H153" t="str">
            <v>CASA1</v>
          </cell>
          <cell r="I153" t="str">
            <v>11380-080</v>
          </cell>
          <cell r="J153" t="str">
            <v>33642895</v>
          </cell>
          <cell r="K153" t="str">
            <v/>
          </cell>
          <cell r="L153" t="str">
            <v>Masculino</v>
          </cell>
          <cell r="M153" t="str">
            <v>Parda</v>
          </cell>
          <cell r="N153">
            <v>29270</v>
          </cell>
          <cell r="O153" t="str">
            <v>32765918X</v>
          </cell>
          <cell r="P153" t="str">
            <v>SP</v>
          </cell>
          <cell r="Q153" t="str">
            <v>SSP</v>
          </cell>
          <cell r="R153" t="str">
            <v>CUBATAO</v>
          </cell>
        </row>
        <row r="154">
          <cell r="A154" t="str">
            <v>WALLACE RODRIGO AVANZI</v>
          </cell>
          <cell r="B154" t="str">
            <v>União Estável</v>
          </cell>
          <cell r="C154" t="str">
            <v>R PEDRO AMERICO</v>
          </cell>
          <cell r="D154" t="str">
            <v>Campo Grande</v>
          </cell>
          <cell r="E154" t="str">
            <v>SANTOS</v>
          </cell>
          <cell r="F154" t="str">
            <v>SP</v>
          </cell>
          <cell r="G154" t="str">
            <v>295</v>
          </cell>
          <cell r="H154" t="str">
            <v>APTO21</v>
          </cell>
          <cell r="I154" t="str">
            <v>11075-401</v>
          </cell>
          <cell r="J154" t="str">
            <v>32396572</v>
          </cell>
          <cell r="K154" t="str">
            <v/>
          </cell>
          <cell r="L154" t="str">
            <v>Masculino</v>
          </cell>
          <cell r="M154" t="str">
            <v>Parda</v>
          </cell>
          <cell r="N154">
            <v>30357</v>
          </cell>
          <cell r="O154" t="str">
            <v>30375438</v>
          </cell>
          <cell r="P154" t="str">
            <v>SP</v>
          </cell>
          <cell r="Q154" t="str">
            <v>SSP</v>
          </cell>
          <cell r="R154" t="str">
            <v>SANTOS</v>
          </cell>
        </row>
        <row r="155">
          <cell r="A155" t="str">
            <v>CRISTIANO MARQUES DA SILVA</v>
          </cell>
          <cell r="B155" t="str">
            <v>Casado</v>
          </cell>
          <cell r="C155" t="str">
            <v>R CIDADE DE CUBATAO</v>
          </cell>
          <cell r="D155" t="str">
            <v>Vila Margarida</v>
          </cell>
          <cell r="E155" t="str">
            <v>SAO VICENTE</v>
          </cell>
          <cell r="F155" t="str">
            <v>SP</v>
          </cell>
          <cell r="G155" t="str">
            <v>27</v>
          </cell>
          <cell r="H155" t="str">
            <v>FD</v>
          </cell>
          <cell r="I155" t="str">
            <v>11330-680</v>
          </cell>
          <cell r="J155" t="str">
            <v>34633080</v>
          </cell>
          <cell r="K155" t="str">
            <v/>
          </cell>
          <cell r="L155" t="str">
            <v>Masculino</v>
          </cell>
          <cell r="M155" t="str">
            <v>Parda</v>
          </cell>
          <cell r="N155">
            <v>30282</v>
          </cell>
          <cell r="O155" t="str">
            <v>329982527</v>
          </cell>
          <cell r="P155" t="str">
            <v>SP</v>
          </cell>
          <cell r="Q155" t="str">
            <v>SSP</v>
          </cell>
          <cell r="R155" t="str">
            <v>SAO VICENTE</v>
          </cell>
        </row>
        <row r="156">
          <cell r="A156" t="str">
            <v>NELSON ARTAL FILHO</v>
          </cell>
          <cell r="B156" t="str">
            <v>Casado</v>
          </cell>
          <cell r="C156" t="str">
            <v>R Tapuias</v>
          </cell>
          <cell r="D156" t="str">
            <v>Parque São Vicente</v>
          </cell>
          <cell r="E156" t="str">
            <v>SAO VICENTE</v>
          </cell>
          <cell r="F156" t="str">
            <v>SP</v>
          </cell>
          <cell r="G156" t="str">
            <v>78</v>
          </cell>
          <cell r="H156" t="str">
            <v>Casa 2</v>
          </cell>
          <cell r="I156" t="str">
            <v>11360-030</v>
          </cell>
          <cell r="J156" t="str">
            <v>33564208</v>
          </cell>
          <cell r="K156" t="str">
            <v/>
          </cell>
          <cell r="L156" t="str">
            <v>Masculino</v>
          </cell>
          <cell r="M156" t="str">
            <v>Parda</v>
          </cell>
          <cell r="N156">
            <v>30950</v>
          </cell>
          <cell r="O156" t="str">
            <v>323468627</v>
          </cell>
          <cell r="P156" t="str">
            <v>SP</v>
          </cell>
          <cell r="Q156" t="str">
            <v>SSP</v>
          </cell>
          <cell r="R156" t="str">
            <v>SAO VICENTE</v>
          </cell>
        </row>
        <row r="157">
          <cell r="A157" t="str">
            <v>MARCELL MATOS DOS SANTOS</v>
          </cell>
          <cell r="B157" t="str">
            <v>Casado</v>
          </cell>
          <cell r="C157" t="str">
            <v>AV Abílio dos Santos Branco</v>
          </cell>
          <cell r="D157" t="str">
            <v>Jardim Praiano</v>
          </cell>
          <cell r="E157" t="str">
            <v>GUARUJA</v>
          </cell>
          <cell r="F157" t="str">
            <v>SP</v>
          </cell>
          <cell r="G157" t="str">
            <v>451</v>
          </cell>
          <cell r="H157" t="str">
            <v>apto 23</v>
          </cell>
          <cell r="I157" t="str">
            <v>11440-380</v>
          </cell>
          <cell r="J157" t="str">
            <v>974021945</v>
          </cell>
          <cell r="K157" t="str">
            <v/>
          </cell>
          <cell r="L157" t="str">
            <v>Masculino</v>
          </cell>
          <cell r="M157" t="str">
            <v>Branca</v>
          </cell>
          <cell r="N157">
            <v>31232</v>
          </cell>
          <cell r="O157" t="str">
            <v>270342138</v>
          </cell>
          <cell r="P157" t="str">
            <v>SP</v>
          </cell>
          <cell r="Q157" t="str">
            <v>SSP</v>
          </cell>
          <cell r="R157" t="str">
            <v>SANTOS</v>
          </cell>
        </row>
        <row r="158">
          <cell r="A158" t="str">
            <v>ANTONIO BELO DA SILVA FILHO</v>
          </cell>
          <cell r="B158" t="str">
            <v>Casado</v>
          </cell>
          <cell r="C158" t="str">
            <v>R TRES</v>
          </cell>
          <cell r="D158" t="str">
            <v>Vila Santo Antonio</v>
          </cell>
          <cell r="E158" t="str">
            <v>GUARUJA</v>
          </cell>
          <cell r="F158" t="str">
            <v>SP</v>
          </cell>
          <cell r="G158" t="str">
            <v>07</v>
          </cell>
          <cell r="H158" t="str">
            <v>CASA</v>
          </cell>
          <cell r="I158" t="str">
            <v>11432-520</v>
          </cell>
          <cell r="J158" t="str">
            <v>992095113</v>
          </cell>
          <cell r="K158" t="str">
            <v/>
          </cell>
          <cell r="L158" t="str">
            <v>Masculino</v>
          </cell>
          <cell r="M158" t="str">
            <v>Parda</v>
          </cell>
          <cell r="N158">
            <v>30364</v>
          </cell>
          <cell r="O158" t="str">
            <v>360574488</v>
          </cell>
          <cell r="P158" t="str">
            <v>SP</v>
          </cell>
          <cell r="Q158" t="str">
            <v>SSP</v>
          </cell>
          <cell r="R158" t="str">
            <v>PUXINANA</v>
          </cell>
        </row>
        <row r="159">
          <cell r="A159" t="str">
            <v>CIRO OLIVEIRA RIBEIRO</v>
          </cell>
          <cell r="B159" t="str">
            <v>Solteiro</v>
          </cell>
          <cell r="C159" t="str">
            <v>R Luís La Scala</v>
          </cell>
          <cell r="D159" t="str">
            <v>Vila Cascatinha</v>
          </cell>
          <cell r="E159" t="str">
            <v>SAO VICENTE</v>
          </cell>
          <cell r="F159" t="str">
            <v>SP</v>
          </cell>
          <cell r="G159" t="str">
            <v>80</v>
          </cell>
          <cell r="H159" t="str">
            <v>casa 2</v>
          </cell>
          <cell r="I159" t="str">
            <v>11370-060</v>
          </cell>
          <cell r="J159" t="str">
            <v>991828086</v>
          </cell>
          <cell r="K159" t="str">
            <v/>
          </cell>
          <cell r="L159" t="str">
            <v>Masculino</v>
          </cell>
          <cell r="M159" t="str">
            <v>Parda</v>
          </cell>
          <cell r="N159">
            <v>32208</v>
          </cell>
          <cell r="O159" t="str">
            <v>440576489</v>
          </cell>
          <cell r="P159" t="str">
            <v>SP</v>
          </cell>
          <cell r="Q159" t="str">
            <v>SSP</v>
          </cell>
          <cell r="R159" t="str">
            <v>SAO VICENTE</v>
          </cell>
        </row>
        <row r="160">
          <cell r="A160" t="str">
            <v>ISAC GOMES DA SILVA</v>
          </cell>
          <cell r="B160" t="str">
            <v>Casado</v>
          </cell>
          <cell r="C160" t="str">
            <v>AV Doutor Alcides de Araújo</v>
          </cell>
          <cell r="D160" t="str">
            <v>Vila Cascatinha</v>
          </cell>
          <cell r="E160" t="str">
            <v>SAO VICENTE</v>
          </cell>
          <cell r="F160" t="str">
            <v>SP</v>
          </cell>
          <cell r="G160" t="str">
            <v>823</v>
          </cell>
          <cell r="H160" t="str">
            <v>CASA2</v>
          </cell>
          <cell r="I160" t="str">
            <v>11370-200</v>
          </cell>
          <cell r="J160" t="str">
            <v>988746137</v>
          </cell>
          <cell r="K160" t="str">
            <v/>
          </cell>
          <cell r="L160" t="str">
            <v>Masculino</v>
          </cell>
          <cell r="M160" t="str">
            <v>Parda</v>
          </cell>
          <cell r="N160">
            <v>26219</v>
          </cell>
          <cell r="O160" t="str">
            <v>21524092</v>
          </cell>
          <cell r="P160" t="str">
            <v>SP</v>
          </cell>
          <cell r="Q160" t="str">
            <v>SSP</v>
          </cell>
          <cell r="R160" t="str">
            <v>GOVERNADOR VALADARES</v>
          </cell>
        </row>
        <row r="161">
          <cell r="A161" t="str">
            <v>WILTON MENESES</v>
          </cell>
          <cell r="B161" t="str">
            <v>Casado</v>
          </cell>
          <cell r="C161" t="str">
            <v>R Odair Rodrigues</v>
          </cell>
          <cell r="D161" t="str">
            <v>Santa Cruz dos Naveg</v>
          </cell>
          <cell r="E161" t="str">
            <v>GUARUJA</v>
          </cell>
          <cell r="F161" t="str">
            <v>SP</v>
          </cell>
          <cell r="G161" t="str">
            <v>187</v>
          </cell>
          <cell r="H161" t="str">
            <v/>
          </cell>
          <cell r="I161" t="str">
            <v>11425-135</v>
          </cell>
          <cell r="J161" t="str">
            <v>33541850</v>
          </cell>
          <cell r="K161" t="str">
            <v/>
          </cell>
          <cell r="L161" t="str">
            <v>Masculino</v>
          </cell>
          <cell r="M161" t="str">
            <v>Preta/Negra</v>
          </cell>
          <cell r="N161">
            <v>26491</v>
          </cell>
          <cell r="O161" t="str">
            <v>30375199X</v>
          </cell>
          <cell r="P161" t="str">
            <v>SP</v>
          </cell>
          <cell r="Q161" t="str">
            <v>SSP</v>
          </cell>
          <cell r="R161" t="str">
            <v>ARACAJU</v>
          </cell>
        </row>
        <row r="162">
          <cell r="A162" t="str">
            <v>WANDERSON DE SOUZA MATTA</v>
          </cell>
          <cell r="B162" t="str">
            <v>Divorciado</v>
          </cell>
          <cell r="C162" t="str">
            <v>R Vereador Lourival Moreira do Amaral</v>
          </cell>
          <cell r="D162" t="str">
            <v>Parque Sao Vicente</v>
          </cell>
          <cell r="E162" t="str">
            <v>SAO VICENTE</v>
          </cell>
          <cell r="F162" t="str">
            <v>SP</v>
          </cell>
          <cell r="G162" t="str">
            <v>2160</v>
          </cell>
          <cell r="H162" t="str">
            <v>AL 0</v>
          </cell>
          <cell r="I162" t="str">
            <v>11365-100</v>
          </cell>
          <cell r="J162" t="str">
            <v>991525984</v>
          </cell>
          <cell r="K162" t="str">
            <v/>
          </cell>
          <cell r="L162" t="str">
            <v>Masculino</v>
          </cell>
          <cell r="M162" t="str">
            <v>Branca</v>
          </cell>
          <cell r="N162">
            <v>30914</v>
          </cell>
          <cell r="O162" t="str">
            <v>338755718</v>
          </cell>
          <cell r="P162" t="str">
            <v>SP</v>
          </cell>
          <cell r="Q162" t="str">
            <v>SSP</v>
          </cell>
          <cell r="R162" t="str">
            <v>SAO VICENTE</v>
          </cell>
        </row>
        <row r="163">
          <cell r="A163" t="str">
            <v>MARCOS DA SILVA BASTOS</v>
          </cell>
          <cell r="B163" t="str">
            <v>Casado</v>
          </cell>
          <cell r="C163" t="str">
            <v>R Iaçu</v>
          </cell>
          <cell r="D163" t="str">
            <v>Vila Ponte Nova</v>
          </cell>
          <cell r="E163" t="str">
            <v>SAO VICENTE</v>
          </cell>
          <cell r="F163" t="str">
            <v>SP</v>
          </cell>
          <cell r="G163" t="str">
            <v>140</v>
          </cell>
          <cell r="H163" t="str">
            <v/>
          </cell>
          <cell r="I163" t="str">
            <v>11347-635</v>
          </cell>
          <cell r="J163" t="str">
            <v>996004972</v>
          </cell>
          <cell r="K163" t="str">
            <v/>
          </cell>
          <cell r="L163" t="str">
            <v>Masculino</v>
          </cell>
          <cell r="M163" t="str">
            <v>Preta/Negra</v>
          </cell>
          <cell r="N163">
            <v>32484</v>
          </cell>
          <cell r="O163" t="str">
            <v>1444626828</v>
          </cell>
          <cell r="P163" t="str">
            <v>BA</v>
          </cell>
          <cell r="Q163" t="str">
            <v>SSP</v>
          </cell>
          <cell r="R163" t="str">
            <v>GOVERNADOR MANGABEIRA</v>
          </cell>
        </row>
        <row r="164">
          <cell r="A164" t="str">
            <v>ANDERSON APARECIDO LIMA</v>
          </cell>
          <cell r="B164" t="str">
            <v>Casado</v>
          </cell>
          <cell r="C164" t="str">
            <v>R Nilo José Mafra</v>
          </cell>
          <cell r="D164" t="str">
            <v>Quietude</v>
          </cell>
          <cell r="E164" t="str">
            <v>PRAIA GRANDE</v>
          </cell>
          <cell r="F164" t="str">
            <v>SP</v>
          </cell>
          <cell r="G164" t="str">
            <v>409</v>
          </cell>
          <cell r="H164" t="str">
            <v>CASA4</v>
          </cell>
          <cell r="I164" t="str">
            <v>11718-260</v>
          </cell>
          <cell r="J164" t="str">
            <v>997896285</v>
          </cell>
          <cell r="K164" t="str">
            <v/>
          </cell>
          <cell r="L164" t="str">
            <v>Masculino</v>
          </cell>
          <cell r="M164" t="str">
            <v>Preta/Negra</v>
          </cell>
          <cell r="N164">
            <v>31089</v>
          </cell>
          <cell r="O164" t="str">
            <v>443968305</v>
          </cell>
          <cell r="P164" t="str">
            <v>SP</v>
          </cell>
          <cell r="Q164" t="str">
            <v>SSP</v>
          </cell>
          <cell r="R164" t="str">
            <v>CUBATAO</v>
          </cell>
        </row>
        <row r="165">
          <cell r="A165" t="str">
            <v>LEONILSON JAIR DOS SANTOS</v>
          </cell>
          <cell r="B165" t="str">
            <v>Casado</v>
          </cell>
          <cell r="C165" t="str">
            <v>R DA IMPRENSA</v>
          </cell>
          <cell r="D165" t="str">
            <v>Esplanada dos Barreiros</v>
          </cell>
          <cell r="E165" t="str">
            <v>SAO VICENTE</v>
          </cell>
          <cell r="F165" t="str">
            <v>SP</v>
          </cell>
          <cell r="G165" t="str">
            <v>180</v>
          </cell>
          <cell r="H165" t="str">
            <v/>
          </cell>
          <cell r="I165" t="str">
            <v>11340-120</v>
          </cell>
          <cell r="J165" t="str">
            <v>988170038</v>
          </cell>
          <cell r="K165" t="str">
            <v>34642017</v>
          </cell>
          <cell r="L165" t="str">
            <v>Masculino</v>
          </cell>
          <cell r="M165" t="str">
            <v>Branca</v>
          </cell>
          <cell r="N165">
            <v>29979</v>
          </cell>
          <cell r="O165" t="str">
            <v>286925941</v>
          </cell>
          <cell r="P165" t="str">
            <v>SP</v>
          </cell>
          <cell r="Q165" t="str">
            <v>SSP</v>
          </cell>
          <cell r="R165" t="str">
            <v>SANTOS</v>
          </cell>
        </row>
        <row r="166">
          <cell r="A166" t="str">
            <v>EDUARDO DE ALCANTARA TIBAGY</v>
          </cell>
          <cell r="B166" t="str">
            <v>Divorciado</v>
          </cell>
          <cell r="C166" t="str">
            <v>AV Doutor Moura Ribeiro</v>
          </cell>
          <cell r="D166" t="str">
            <v>Marapé</v>
          </cell>
          <cell r="E166" t="str">
            <v>SANTOS</v>
          </cell>
          <cell r="F166" t="str">
            <v>SP</v>
          </cell>
          <cell r="G166" t="str">
            <v>125</v>
          </cell>
          <cell r="H166" t="str">
            <v>154 Torre G</v>
          </cell>
          <cell r="I166" t="str">
            <v>11070-061</v>
          </cell>
          <cell r="J166" t="str">
            <v>974046756</v>
          </cell>
          <cell r="K166" t="str">
            <v/>
          </cell>
          <cell r="L166" t="str">
            <v>Masculino</v>
          </cell>
          <cell r="M166" t="str">
            <v>Parda</v>
          </cell>
          <cell r="N166">
            <v>26966</v>
          </cell>
          <cell r="O166" t="str">
            <v>204609240</v>
          </cell>
          <cell r="P166" t="str">
            <v>SP</v>
          </cell>
          <cell r="Q166" t="str">
            <v>SSP</v>
          </cell>
          <cell r="R166" t="str">
            <v>SANTOS</v>
          </cell>
        </row>
        <row r="167">
          <cell r="A167" t="str">
            <v>ROBERTO CARLOS MESSIAS</v>
          </cell>
          <cell r="B167" t="str">
            <v>Casado</v>
          </cell>
          <cell r="C167" t="str">
            <v>AV Minas Gerais</v>
          </cell>
          <cell r="D167" t="str">
            <v>Vila Voturua</v>
          </cell>
          <cell r="E167" t="str">
            <v>SAO VICENTE</v>
          </cell>
          <cell r="F167" t="str">
            <v>SP</v>
          </cell>
          <cell r="G167" t="str">
            <v>400</v>
          </cell>
          <cell r="H167" t="str">
            <v>Casa 62</v>
          </cell>
          <cell r="I167" t="str">
            <v>11380-090</v>
          </cell>
          <cell r="J167" t="str">
            <v>30430175</v>
          </cell>
          <cell r="K167" t="str">
            <v/>
          </cell>
          <cell r="L167" t="str">
            <v>Masculino</v>
          </cell>
          <cell r="M167" t="str">
            <v>Parda</v>
          </cell>
          <cell r="N167">
            <v>27462</v>
          </cell>
          <cell r="O167" t="str">
            <v>267364234</v>
          </cell>
          <cell r="P167" t="str">
            <v>SP</v>
          </cell>
          <cell r="Q167" t="str">
            <v>SSP</v>
          </cell>
          <cell r="R167" t="str">
            <v>SANTOS</v>
          </cell>
        </row>
        <row r="168">
          <cell r="A168" t="str">
            <v>DOUGLAS XAVIER RAMOS DE ARAUJO</v>
          </cell>
          <cell r="B168" t="str">
            <v>Solteiro</v>
          </cell>
          <cell r="C168" t="str">
            <v>R Doutor Carlos Alberto Curado</v>
          </cell>
          <cell r="D168" t="str">
            <v>José Menino</v>
          </cell>
          <cell r="E168" t="str">
            <v>SANTOS</v>
          </cell>
          <cell r="F168" t="str">
            <v>SP</v>
          </cell>
          <cell r="G168" t="str">
            <v>59</v>
          </cell>
          <cell r="H168" t="str">
            <v/>
          </cell>
          <cell r="I168" t="str">
            <v>11065-710</v>
          </cell>
          <cell r="J168" t="str">
            <v>32514849</v>
          </cell>
          <cell r="K168" t="str">
            <v/>
          </cell>
          <cell r="L168" t="str">
            <v>Masculino</v>
          </cell>
          <cell r="M168" t="str">
            <v>Branca</v>
          </cell>
          <cell r="N168">
            <v>31851</v>
          </cell>
          <cell r="O168" t="str">
            <v>429045128</v>
          </cell>
          <cell r="P168" t="str">
            <v>SP</v>
          </cell>
          <cell r="Q168" t="str">
            <v>SSP</v>
          </cell>
          <cell r="R168" t="str">
            <v>SANTOS</v>
          </cell>
        </row>
        <row r="169">
          <cell r="A169" t="str">
            <v>GILVAN COSTA DA SILVA</v>
          </cell>
          <cell r="B169" t="str">
            <v>Solteiro</v>
          </cell>
          <cell r="C169" t="str">
            <v>R Benedito Alves dos Santos</v>
          </cell>
          <cell r="D169" t="str">
            <v>Princesa</v>
          </cell>
          <cell r="E169" t="str">
            <v>PRAIA GRANDE</v>
          </cell>
          <cell r="F169" t="str">
            <v>SP</v>
          </cell>
          <cell r="G169" t="str">
            <v>241</v>
          </cell>
          <cell r="H169" t="str">
            <v>casa 2</v>
          </cell>
          <cell r="I169" t="str">
            <v>11711-597</v>
          </cell>
          <cell r="J169" t="str">
            <v>996345877</v>
          </cell>
          <cell r="K169" t="str">
            <v/>
          </cell>
          <cell r="L169" t="str">
            <v>Masculino</v>
          </cell>
          <cell r="M169" t="str">
            <v>Parda</v>
          </cell>
          <cell r="N169">
            <v>32641</v>
          </cell>
          <cell r="O169" t="str">
            <v>344505595</v>
          </cell>
          <cell r="P169" t="str">
            <v>SP</v>
          </cell>
          <cell r="Q169" t="str">
            <v>SSP</v>
          </cell>
          <cell r="R169" t="str">
            <v>SAO PAULO</v>
          </cell>
        </row>
        <row r="170">
          <cell r="A170" t="str">
            <v>MARCELO AYRES DA SILVA</v>
          </cell>
          <cell r="B170" t="str">
            <v>Casado</v>
          </cell>
          <cell r="C170" t="str">
            <v>AV BRIGADEIRA EDUARDO GOMES</v>
          </cell>
          <cell r="D170" t="str">
            <v>Melvi</v>
          </cell>
          <cell r="E170" t="str">
            <v>PRAIA GRANDE</v>
          </cell>
          <cell r="F170" t="str">
            <v>SP</v>
          </cell>
          <cell r="G170" t="str">
            <v>682</v>
          </cell>
          <cell r="H170" t="str">
            <v>CASA 1</v>
          </cell>
          <cell r="I170" t="str">
            <v>11712-020</v>
          </cell>
          <cell r="J170" t="str">
            <v>997032605</v>
          </cell>
          <cell r="K170" t="str">
            <v/>
          </cell>
          <cell r="L170" t="str">
            <v>Masculino</v>
          </cell>
          <cell r="M170" t="str">
            <v>Parda</v>
          </cell>
          <cell r="N170">
            <v>26079</v>
          </cell>
          <cell r="O170" t="str">
            <v>236681965</v>
          </cell>
          <cell r="P170" t="str">
            <v>SP</v>
          </cell>
          <cell r="Q170" t="str">
            <v>SSP</v>
          </cell>
          <cell r="R170" t="str">
            <v>SANTOS</v>
          </cell>
        </row>
        <row r="171">
          <cell r="A171" t="str">
            <v>VILSON DE SOUZA SILVA</v>
          </cell>
          <cell r="B171" t="str">
            <v>Casado</v>
          </cell>
          <cell r="C171" t="str">
            <v>R São Cristóvão</v>
          </cell>
          <cell r="D171" t="str">
            <v>Jardim Paraíso</v>
          </cell>
          <cell r="E171" t="str">
            <v>SAO VICENTE</v>
          </cell>
          <cell r="F171" t="str">
            <v>SP</v>
          </cell>
          <cell r="G171" t="str">
            <v>216</v>
          </cell>
          <cell r="H171" t="str">
            <v/>
          </cell>
          <cell r="I171" t="str">
            <v>11370-610</v>
          </cell>
          <cell r="J171" t="str">
            <v>991101316</v>
          </cell>
          <cell r="K171" t="str">
            <v>991101316</v>
          </cell>
          <cell r="L171" t="str">
            <v>Masculino</v>
          </cell>
          <cell r="M171" t="str">
            <v>Branca</v>
          </cell>
          <cell r="N171">
            <v>22081</v>
          </cell>
          <cell r="O171" t="str">
            <v>272930866</v>
          </cell>
          <cell r="P171" t="str">
            <v>SP</v>
          </cell>
          <cell r="Q171" t="str">
            <v>SSP</v>
          </cell>
          <cell r="R171" t="str">
            <v>PORTALEGRE</v>
          </cell>
        </row>
        <row r="172">
          <cell r="A172" t="str">
            <v>LEONARDO ALVES BORBA</v>
          </cell>
          <cell r="B172" t="str">
            <v>Casado</v>
          </cell>
          <cell r="C172" t="str">
            <v>R Altino Arantes</v>
          </cell>
          <cell r="D172" t="str">
            <v>Esplanada dos Barrei</v>
          </cell>
          <cell r="E172" t="str">
            <v>SAO VICENTE</v>
          </cell>
          <cell r="F172" t="str">
            <v>SP</v>
          </cell>
          <cell r="G172" t="str">
            <v>33</v>
          </cell>
          <cell r="H172" t="str">
            <v/>
          </cell>
          <cell r="I172" t="str">
            <v>11340-395</v>
          </cell>
          <cell r="J172" t="str">
            <v>34611420</v>
          </cell>
          <cell r="K172" t="str">
            <v/>
          </cell>
          <cell r="L172" t="str">
            <v>Masculino</v>
          </cell>
          <cell r="M172" t="str">
            <v>Preta/Negra</v>
          </cell>
          <cell r="N172">
            <v>30102</v>
          </cell>
          <cell r="O172" t="str">
            <v>433458276</v>
          </cell>
          <cell r="P172" t="str">
            <v>SP</v>
          </cell>
          <cell r="Q172" t="str">
            <v>SSP</v>
          </cell>
          <cell r="R172" t="str">
            <v>ITABUNA</v>
          </cell>
        </row>
        <row r="173">
          <cell r="A173" t="str">
            <v>ROBERTO VALENTE</v>
          </cell>
          <cell r="B173" t="str">
            <v>Casado</v>
          </cell>
          <cell r="C173" t="str">
            <v>R SANTA CRUZ</v>
          </cell>
          <cell r="D173" t="str">
            <v>Parque Bitaru</v>
          </cell>
          <cell r="E173" t="str">
            <v>SAO VICENTE</v>
          </cell>
          <cell r="F173" t="str">
            <v>SP</v>
          </cell>
          <cell r="G173" t="str">
            <v>517</v>
          </cell>
          <cell r="H173" t="str">
            <v/>
          </cell>
          <cell r="I173" t="str">
            <v>11330-295</v>
          </cell>
          <cell r="J173" t="str">
            <v/>
          </cell>
          <cell r="K173" t="str">
            <v/>
          </cell>
          <cell r="L173" t="str">
            <v>Masculino</v>
          </cell>
          <cell r="M173" t="str">
            <v>Parda</v>
          </cell>
          <cell r="N173">
            <v>22200</v>
          </cell>
          <cell r="O173" t="str">
            <v>137926273</v>
          </cell>
          <cell r="P173" t="str">
            <v>SP</v>
          </cell>
          <cell r="Q173" t="str">
            <v>SSP</v>
          </cell>
          <cell r="R173" t="str">
            <v>SAO PAULO</v>
          </cell>
        </row>
        <row r="174">
          <cell r="A174" t="str">
            <v>JAELSON PAULO DA SILVA</v>
          </cell>
          <cell r="B174" t="str">
            <v>Viúvo</v>
          </cell>
          <cell r="C174" t="str">
            <v>R Pedro Assis de Moraes</v>
          </cell>
          <cell r="D174" t="str">
            <v>Vila Sonia</v>
          </cell>
          <cell r="E174" t="str">
            <v>PRAIA GRANDE</v>
          </cell>
          <cell r="F174" t="str">
            <v>SP</v>
          </cell>
          <cell r="G174" t="str">
            <v>175</v>
          </cell>
          <cell r="H174" t="str">
            <v>casa 07</v>
          </cell>
          <cell r="I174" t="str">
            <v>11722-180</v>
          </cell>
          <cell r="J174" t="str">
            <v>34722317</v>
          </cell>
          <cell r="K174" t="str">
            <v/>
          </cell>
          <cell r="L174" t="str">
            <v>Masculino</v>
          </cell>
          <cell r="M174" t="str">
            <v>Branca</v>
          </cell>
          <cell r="N174">
            <v>29371</v>
          </cell>
          <cell r="O174" t="str">
            <v>303477404</v>
          </cell>
          <cell r="P174" t="str">
            <v>SP</v>
          </cell>
          <cell r="Q174" t="str">
            <v>SSP</v>
          </cell>
          <cell r="R174" t="str">
            <v>IGARASSU</v>
          </cell>
        </row>
        <row r="175">
          <cell r="A175" t="str">
            <v>MARCOS ROBERTO SILVA MALTA</v>
          </cell>
          <cell r="B175" t="str">
            <v>Casado</v>
          </cell>
          <cell r="C175" t="str">
            <v>R Samael Aun Weor</v>
          </cell>
          <cell r="D175" t="str">
            <v>Antártica</v>
          </cell>
          <cell r="E175" t="str">
            <v>PRAIA GRANDE</v>
          </cell>
          <cell r="F175" t="str">
            <v>SP</v>
          </cell>
          <cell r="G175" t="str">
            <v>199</v>
          </cell>
          <cell r="H175" t="str">
            <v>CASA 1</v>
          </cell>
          <cell r="I175" t="str">
            <v>11721-200</v>
          </cell>
          <cell r="J175" t="str">
            <v>34815887</v>
          </cell>
          <cell r="K175" t="str">
            <v>988439548</v>
          </cell>
          <cell r="L175" t="str">
            <v>Masculino</v>
          </cell>
          <cell r="M175" t="str">
            <v>Parda</v>
          </cell>
          <cell r="N175">
            <v>28950</v>
          </cell>
          <cell r="O175" t="str">
            <v>279926029</v>
          </cell>
          <cell r="P175" t="str">
            <v>SP</v>
          </cell>
          <cell r="Q175" t="str">
            <v>SSP</v>
          </cell>
          <cell r="R175" t="str">
            <v>SAO VICENTE</v>
          </cell>
        </row>
        <row r="176">
          <cell r="A176" t="str">
            <v>JOSE DE ANCHIETA ALVES DE LIRA</v>
          </cell>
          <cell r="B176" t="str">
            <v>Solteiro</v>
          </cell>
          <cell r="C176" t="str">
            <v>AV Presidente Wilson</v>
          </cell>
          <cell r="D176" t="str">
            <v>Gonzaga</v>
          </cell>
          <cell r="E176" t="str">
            <v>SANTOS</v>
          </cell>
          <cell r="F176" t="str">
            <v>SP</v>
          </cell>
          <cell r="G176" t="str">
            <v>68</v>
          </cell>
          <cell r="H176" t="str">
            <v>205</v>
          </cell>
          <cell r="I176" t="str">
            <v>11065-200</v>
          </cell>
          <cell r="J176" t="str">
            <v>97330183</v>
          </cell>
          <cell r="K176" t="str">
            <v>988283706</v>
          </cell>
          <cell r="L176" t="str">
            <v>Masculino</v>
          </cell>
          <cell r="M176" t="str">
            <v>Branca</v>
          </cell>
          <cell r="N176">
            <v>26866</v>
          </cell>
          <cell r="O176" t="str">
            <v>524154235</v>
          </cell>
          <cell r="P176" t="str">
            <v>SP</v>
          </cell>
          <cell r="Q176" t="str">
            <v>SSP</v>
          </cell>
          <cell r="R176" t="str">
            <v>DESTERRO</v>
          </cell>
        </row>
        <row r="177">
          <cell r="A177" t="str">
            <v>MANOEL MESSIAS DOS REIS VITOR</v>
          </cell>
          <cell r="B177" t="str">
            <v>Casado</v>
          </cell>
          <cell r="C177" t="str">
            <v>R General Vicente de Paulo Dale Coutinho</v>
          </cell>
          <cell r="D177" t="str">
            <v>Cidade Nautica</v>
          </cell>
          <cell r="E177" t="str">
            <v>SAO VICENTE</v>
          </cell>
          <cell r="F177" t="str">
            <v>SP</v>
          </cell>
          <cell r="G177" t="str">
            <v>630</v>
          </cell>
          <cell r="H177" t="str">
            <v/>
          </cell>
          <cell r="I177" t="str">
            <v>11350-190</v>
          </cell>
          <cell r="J177" t="str">
            <v>34649248</v>
          </cell>
          <cell r="K177" t="str">
            <v/>
          </cell>
          <cell r="L177" t="str">
            <v>Masculino</v>
          </cell>
          <cell r="M177" t="str">
            <v>Branca</v>
          </cell>
          <cell r="N177">
            <v>29002</v>
          </cell>
          <cell r="O177" t="str">
            <v>301803183</v>
          </cell>
          <cell r="P177" t="str">
            <v>SP</v>
          </cell>
          <cell r="Q177" t="str">
            <v>SSP</v>
          </cell>
          <cell r="R177" t="str">
            <v>LAGARTO</v>
          </cell>
        </row>
        <row r="178">
          <cell r="A178" t="str">
            <v>WILLIANS DE CASTRO</v>
          </cell>
          <cell r="B178" t="str">
            <v>Solteiro</v>
          </cell>
          <cell r="C178" t="str">
            <v>R GUAIANAZES</v>
          </cell>
          <cell r="D178" t="str">
            <v>Vila Áurea (Vicente</v>
          </cell>
          <cell r="E178" t="str">
            <v>GUARUJA</v>
          </cell>
          <cell r="F178" t="str">
            <v>SP</v>
          </cell>
          <cell r="G178" t="str">
            <v>34</v>
          </cell>
          <cell r="H178" t="str">
            <v>CA A</v>
          </cell>
          <cell r="I178" t="str">
            <v>11454-260</v>
          </cell>
          <cell r="J178" t="str">
            <v>33528229</v>
          </cell>
          <cell r="K178" t="str">
            <v>991624262</v>
          </cell>
          <cell r="L178" t="str">
            <v>Masculino</v>
          </cell>
          <cell r="M178" t="str">
            <v>Branca</v>
          </cell>
          <cell r="N178">
            <v>28035</v>
          </cell>
          <cell r="O178" t="str">
            <v>268415067</v>
          </cell>
          <cell r="P178" t="str">
            <v>SP</v>
          </cell>
          <cell r="Q178" t="str">
            <v>SSP</v>
          </cell>
          <cell r="R178" t="str">
            <v>SANTOS</v>
          </cell>
        </row>
        <row r="179">
          <cell r="A179" t="str">
            <v>WAGNER DA SILVA VAZ</v>
          </cell>
          <cell r="B179" t="str">
            <v>Casado</v>
          </cell>
          <cell r="C179" t="str">
            <v>AV Alvorada</v>
          </cell>
          <cell r="D179" t="str">
            <v>Jardim Alvorada (Vic</v>
          </cell>
          <cell r="E179" t="str">
            <v>GUARUJA</v>
          </cell>
          <cell r="F179" t="str">
            <v>SP</v>
          </cell>
          <cell r="G179" t="str">
            <v>1073</v>
          </cell>
          <cell r="H179" t="str">
            <v/>
          </cell>
          <cell r="I179" t="str">
            <v>11470-000</v>
          </cell>
          <cell r="J179" t="str">
            <v>33266789</v>
          </cell>
          <cell r="K179" t="str">
            <v/>
          </cell>
          <cell r="L179" t="str">
            <v>Masculino</v>
          </cell>
          <cell r="M179" t="str">
            <v>Branca</v>
          </cell>
          <cell r="N179">
            <v>27876</v>
          </cell>
          <cell r="O179" t="str">
            <v>274214994</v>
          </cell>
          <cell r="P179" t="str">
            <v>SP</v>
          </cell>
          <cell r="Q179" t="str">
            <v>SSP</v>
          </cell>
          <cell r="R179" t="str">
            <v>GUARUJA</v>
          </cell>
        </row>
        <row r="180">
          <cell r="A180" t="str">
            <v>RAFAEL DA CRUZ</v>
          </cell>
          <cell r="B180" t="str">
            <v>Casado</v>
          </cell>
          <cell r="C180" t="str">
            <v>R Roberto Santos</v>
          </cell>
          <cell r="D180" t="str">
            <v>Vila Sônia</v>
          </cell>
          <cell r="E180" t="str">
            <v>PRAIA GRANDE</v>
          </cell>
          <cell r="F180" t="str">
            <v>SP</v>
          </cell>
          <cell r="G180" t="str">
            <v>49</v>
          </cell>
          <cell r="H180" t="str">
            <v>casa 06</v>
          </cell>
          <cell r="I180" t="str">
            <v>11723-160</v>
          </cell>
          <cell r="J180" t="str">
            <v>991783441</v>
          </cell>
          <cell r="K180" t="str">
            <v/>
          </cell>
          <cell r="L180" t="str">
            <v>Masculino</v>
          </cell>
          <cell r="M180" t="str">
            <v>Branca</v>
          </cell>
          <cell r="N180">
            <v>31120</v>
          </cell>
          <cell r="O180" t="str">
            <v>280800472</v>
          </cell>
          <cell r="P180" t="str">
            <v>SP</v>
          </cell>
          <cell r="Q180" t="str">
            <v>SSP</v>
          </cell>
          <cell r="R180" t="str">
            <v>CUBATAO</v>
          </cell>
        </row>
        <row r="181">
          <cell r="A181" t="str">
            <v>WILLIAM EUCI SANTOS</v>
          </cell>
          <cell r="B181" t="str">
            <v>Casado</v>
          </cell>
          <cell r="C181" t="str">
            <v>R QUATORZE</v>
          </cell>
          <cell r="D181" t="str">
            <v>VILA ZILDA</v>
          </cell>
          <cell r="E181" t="str">
            <v>GUARUJA</v>
          </cell>
          <cell r="F181" t="str">
            <v>SP</v>
          </cell>
          <cell r="G181" t="str">
            <v>22</v>
          </cell>
          <cell r="H181" t="str">
            <v>VITÓRIA PARK QDRA 29 LT 3</v>
          </cell>
          <cell r="I181" t="str">
            <v>11436-575</v>
          </cell>
          <cell r="J181" t="str">
            <v>991474785</v>
          </cell>
          <cell r="K181" t="str">
            <v/>
          </cell>
          <cell r="L181" t="str">
            <v>Masculino</v>
          </cell>
          <cell r="M181" t="str">
            <v>Preta/Negra</v>
          </cell>
          <cell r="N181">
            <v>32596</v>
          </cell>
          <cell r="O181" t="str">
            <v>460164053</v>
          </cell>
          <cell r="P181" t="str">
            <v>SP</v>
          </cell>
          <cell r="Q181" t="str">
            <v>SSP</v>
          </cell>
          <cell r="R181" t="str">
            <v>GUARUJA</v>
          </cell>
        </row>
        <row r="182">
          <cell r="A182" t="str">
            <v>FABIO DE LIMA TEOTONIO</v>
          </cell>
          <cell r="B182" t="str">
            <v>Casado</v>
          </cell>
          <cell r="C182" t="str">
            <v>R E</v>
          </cell>
          <cell r="D182" t="str">
            <v>Vila Santa Clara</v>
          </cell>
          <cell r="E182" t="str">
            <v>GUARUJA</v>
          </cell>
          <cell r="F182" t="str">
            <v>SP</v>
          </cell>
          <cell r="G182" t="str">
            <v>22</v>
          </cell>
          <cell r="H182" t="str">
            <v/>
          </cell>
          <cell r="I182" t="str">
            <v>11435-080</v>
          </cell>
          <cell r="J182" t="str">
            <v>33824375</v>
          </cell>
          <cell r="K182" t="str">
            <v/>
          </cell>
          <cell r="L182" t="str">
            <v>Masculino</v>
          </cell>
          <cell r="M182" t="str">
            <v>Parda</v>
          </cell>
          <cell r="N182">
            <v>28229</v>
          </cell>
          <cell r="O182" t="str">
            <v>30095310</v>
          </cell>
          <cell r="P182" t="str">
            <v>SP</v>
          </cell>
          <cell r="Q182" t="str">
            <v>SSP</v>
          </cell>
          <cell r="R182" t="str">
            <v>GUARUJA</v>
          </cell>
        </row>
        <row r="183">
          <cell r="A183" t="str">
            <v>CLAUDINEI ALVES DA SILVA</v>
          </cell>
          <cell r="B183" t="str">
            <v>Casado</v>
          </cell>
          <cell r="C183" t="str">
            <v>R Gilberto Franco Silva</v>
          </cell>
          <cell r="D183" t="str">
            <v>Caneleira</v>
          </cell>
          <cell r="E183" t="str">
            <v>SANTOS</v>
          </cell>
          <cell r="F183" t="str">
            <v>SP</v>
          </cell>
          <cell r="G183" t="str">
            <v>1015</v>
          </cell>
          <cell r="H183" t="str">
            <v>RPLUIZDP34</v>
          </cell>
          <cell r="I183" t="str">
            <v>11085-590</v>
          </cell>
          <cell r="J183" t="str">
            <v>32996568</v>
          </cell>
          <cell r="K183" t="str">
            <v>974033068</v>
          </cell>
          <cell r="L183" t="str">
            <v>Masculino</v>
          </cell>
          <cell r="M183" t="str">
            <v>Branca</v>
          </cell>
          <cell r="N183">
            <v>30720</v>
          </cell>
          <cell r="O183" t="str">
            <v>441174978</v>
          </cell>
          <cell r="P183" t="str">
            <v>SP</v>
          </cell>
          <cell r="Q183" t="str">
            <v>SSP</v>
          </cell>
          <cell r="R183" t="str">
            <v>CUBATAO</v>
          </cell>
        </row>
        <row r="184">
          <cell r="A184" t="str">
            <v>MAIKE PEREIRA CORREA</v>
          </cell>
          <cell r="B184" t="str">
            <v>Casado</v>
          </cell>
          <cell r="C184" t="str">
            <v>R das Magnólias</v>
          </cell>
          <cell r="D184" t="str">
            <v>Jardim Primavera</v>
          </cell>
          <cell r="E184" t="str">
            <v>GUARUJA</v>
          </cell>
          <cell r="F184" t="str">
            <v>SP</v>
          </cell>
          <cell r="G184" t="str">
            <v>138</v>
          </cell>
          <cell r="H184" t="str">
            <v>BL138 AP44</v>
          </cell>
          <cell r="I184" t="str">
            <v>11432-320</v>
          </cell>
          <cell r="J184" t="str">
            <v>96931416</v>
          </cell>
          <cell r="K184" t="str">
            <v/>
          </cell>
          <cell r="L184" t="str">
            <v>Masculino</v>
          </cell>
          <cell r="M184" t="str">
            <v>Branca</v>
          </cell>
          <cell r="N184">
            <v>29764</v>
          </cell>
          <cell r="O184" t="str">
            <v>281359489</v>
          </cell>
          <cell r="P184" t="str">
            <v>SP</v>
          </cell>
          <cell r="Q184" t="str">
            <v>SSP</v>
          </cell>
          <cell r="R184" t="str">
            <v>SANTOS</v>
          </cell>
        </row>
        <row r="185">
          <cell r="A185" t="str">
            <v>EDSON NOGUEIRA DA SILVA</v>
          </cell>
          <cell r="B185" t="str">
            <v>Casado</v>
          </cell>
          <cell r="C185" t="str">
            <v>R Elídio Julio Batista</v>
          </cell>
          <cell r="D185" t="str">
            <v>Vila Sonia</v>
          </cell>
          <cell r="E185" t="str">
            <v>PRAIA GRANDE</v>
          </cell>
          <cell r="F185" t="str">
            <v>SP</v>
          </cell>
          <cell r="G185" t="str">
            <v>1531</v>
          </cell>
          <cell r="H185" t="str">
            <v/>
          </cell>
          <cell r="I185" t="str">
            <v>11723-030</v>
          </cell>
          <cell r="J185" t="str">
            <v>35963905</v>
          </cell>
          <cell r="K185" t="str">
            <v/>
          </cell>
          <cell r="L185" t="str">
            <v>Masculino</v>
          </cell>
          <cell r="M185" t="str">
            <v>Branca</v>
          </cell>
          <cell r="N185">
            <v>27070</v>
          </cell>
          <cell r="O185" t="str">
            <v>271304649</v>
          </cell>
          <cell r="P185" t="str">
            <v>SP</v>
          </cell>
          <cell r="Q185" t="str">
            <v>SSP</v>
          </cell>
          <cell r="R185" t="str">
            <v>BRUMADO</v>
          </cell>
        </row>
        <row r="186">
          <cell r="A186" t="str">
            <v>CARLOS HENRIQUE CAVALCANTI</v>
          </cell>
          <cell r="B186" t="str">
            <v>Casado</v>
          </cell>
          <cell r="C186" t="str">
            <v>AV Coronel Joaquim Montenegro</v>
          </cell>
          <cell r="D186" t="str">
            <v>Aparecida</v>
          </cell>
          <cell r="E186" t="str">
            <v>SANTOS</v>
          </cell>
          <cell r="F186" t="str">
            <v>SP</v>
          </cell>
          <cell r="G186" t="str">
            <v>331</v>
          </cell>
          <cell r="H186" t="str">
            <v>AP22</v>
          </cell>
          <cell r="I186" t="str">
            <v>11035-003</v>
          </cell>
          <cell r="J186" t="str">
            <v>982326722</v>
          </cell>
          <cell r="K186" t="str">
            <v/>
          </cell>
          <cell r="L186" t="str">
            <v>Masculino</v>
          </cell>
          <cell r="M186" t="str">
            <v>Branca</v>
          </cell>
          <cell r="N186">
            <v>27026</v>
          </cell>
          <cell r="O186" t="str">
            <v>229176781</v>
          </cell>
          <cell r="P186" t="str">
            <v>SP</v>
          </cell>
          <cell r="Q186" t="str">
            <v>SSP</v>
          </cell>
          <cell r="R186" t="str">
            <v>SANTOS</v>
          </cell>
        </row>
        <row r="187">
          <cell r="A187" t="str">
            <v>THIAGO NASCIMENTO DE SOUZA</v>
          </cell>
          <cell r="B187" t="str">
            <v>Solteiro</v>
          </cell>
          <cell r="C187" t="str">
            <v>R Capitão Alberto Mendes Júnior</v>
          </cell>
          <cell r="D187" t="str">
            <v>Jardim Boa Esperança</v>
          </cell>
          <cell r="E187" t="str">
            <v>GUARUJA</v>
          </cell>
          <cell r="F187" t="str">
            <v>SP</v>
          </cell>
          <cell r="G187" t="str">
            <v>192</v>
          </cell>
          <cell r="H187" t="str">
            <v/>
          </cell>
          <cell r="I187" t="str">
            <v>11470-150</v>
          </cell>
          <cell r="J187" t="str">
            <v>974102626</v>
          </cell>
          <cell r="K187" t="str">
            <v/>
          </cell>
          <cell r="L187" t="str">
            <v>Masculino</v>
          </cell>
          <cell r="M187" t="str">
            <v>Branca</v>
          </cell>
          <cell r="N187">
            <v>31941</v>
          </cell>
          <cell r="O187" t="str">
            <v>443081554</v>
          </cell>
          <cell r="P187" t="str">
            <v>SP</v>
          </cell>
          <cell r="Q187" t="str">
            <v>SSP</v>
          </cell>
          <cell r="R187" t="str">
            <v>SAO VICENTE</v>
          </cell>
        </row>
        <row r="188">
          <cell r="A188" t="str">
            <v>ENDREL APARECIDO DE SOUZA PASSOS</v>
          </cell>
          <cell r="B188" t="str">
            <v>Casado</v>
          </cell>
          <cell r="C188" t="str">
            <v>R Professora Carolina Ribeiro de Barros</v>
          </cell>
          <cell r="D188" t="str">
            <v>Esplanada dos Barreiros</v>
          </cell>
          <cell r="E188" t="str">
            <v>SAO VICENTE</v>
          </cell>
          <cell r="F188" t="str">
            <v>SP</v>
          </cell>
          <cell r="G188" t="str">
            <v>750</v>
          </cell>
          <cell r="H188" t="str">
            <v/>
          </cell>
          <cell r="I188" t="str">
            <v>11340-300</v>
          </cell>
          <cell r="J188" t="str">
            <v>974096405</v>
          </cell>
          <cell r="K188" t="str">
            <v/>
          </cell>
          <cell r="L188" t="str">
            <v>Masculino</v>
          </cell>
          <cell r="M188" t="str">
            <v>Parda</v>
          </cell>
          <cell r="N188">
            <v>33471</v>
          </cell>
          <cell r="O188" t="str">
            <v>47688293X</v>
          </cell>
          <cell r="P188" t="str">
            <v>SP</v>
          </cell>
          <cell r="Q188" t="str">
            <v>SSP</v>
          </cell>
          <cell r="R188" t="str">
            <v>CUBATAO</v>
          </cell>
        </row>
        <row r="189">
          <cell r="A189" t="str">
            <v>WANDERSON NASCIMENTO DA COSTA</v>
          </cell>
          <cell r="B189" t="str">
            <v>Casado</v>
          </cell>
          <cell r="C189" t="str">
            <v>R Vítor Torquato dos Santos</v>
          </cell>
          <cell r="D189" t="str">
            <v>Parque das Bandeiras</v>
          </cell>
          <cell r="E189" t="str">
            <v>SAO VICENTE</v>
          </cell>
          <cell r="F189" t="str">
            <v>SP</v>
          </cell>
          <cell r="G189" t="str">
            <v>750</v>
          </cell>
          <cell r="H189" t="str">
            <v>casa 02</v>
          </cell>
          <cell r="I189" t="str">
            <v>11346-150</v>
          </cell>
          <cell r="J189" t="str">
            <v>974077172</v>
          </cell>
          <cell r="K189" t="str">
            <v/>
          </cell>
          <cell r="L189" t="str">
            <v>Masculino</v>
          </cell>
          <cell r="M189" t="str">
            <v>Parda</v>
          </cell>
          <cell r="N189">
            <v>31735</v>
          </cell>
          <cell r="O189" t="str">
            <v>423587766</v>
          </cell>
          <cell r="P189" t="str">
            <v>SP</v>
          </cell>
          <cell r="Q189" t="str">
            <v>SSP</v>
          </cell>
          <cell r="R189" t="str">
            <v>SAO PAULO</v>
          </cell>
        </row>
        <row r="190">
          <cell r="A190" t="str">
            <v>ANDRE LUIZ GALACHO PIMENTEL FILHO</v>
          </cell>
          <cell r="B190" t="str">
            <v>Solteiro</v>
          </cell>
          <cell r="C190" t="str">
            <v>R Doutor Luís Suplicy</v>
          </cell>
          <cell r="D190" t="str">
            <v>Gonzaga</v>
          </cell>
          <cell r="E190" t="str">
            <v>SANTOS</v>
          </cell>
          <cell r="F190" t="str">
            <v>SP</v>
          </cell>
          <cell r="G190" t="str">
            <v>37</v>
          </cell>
          <cell r="H190" t="str">
            <v>Casa</v>
          </cell>
          <cell r="I190" t="str">
            <v>11055-330</v>
          </cell>
          <cell r="J190" t="str">
            <v>81813656</v>
          </cell>
          <cell r="K190" t="str">
            <v/>
          </cell>
          <cell r="L190" t="str">
            <v>Masculino</v>
          </cell>
          <cell r="M190" t="str">
            <v>Branca</v>
          </cell>
          <cell r="N190">
            <v>31611</v>
          </cell>
          <cell r="O190" t="str">
            <v>444568682</v>
          </cell>
          <cell r="P190" t="str">
            <v>SP</v>
          </cell>
          <cell r="Q190" t="str">
            <v>SSP</v>
          </cell>
          <cell r="R190" t="str">
            <v>SANTOS</v>
          </cell>
        </row>
        <row r="191">
          <cell r="A191" t="str">
            <v>ALCIDES CLEUCIO COSTA</v>
          </cell>
          <cell r="B191" t="str">
            <v>Casado</v>
          </cell>
          <cell r="C191" t="str">
            <v>R Duílio Ramacciotti</v>
          </cell>
          <cell r="D191" t="str">
            <v>Antártica</v>
          </cell>
          <cell r="E191" t="str">
            <v>PRAIA GRANDE</v>
          </cell>
          <cell r="F191" t="str">
            <v>SP</v>
          </cell>
          <cell r="G191" t="str">
            <v>213</v>
          </cell>
          <cell r="H191" t="str">
            <v>casa 5</v>
          </cell>
          <cell r="I191" t="str">
            <v>11721-245</v>
          </cell>
          <cell r="J191" t="str">
            <v>996913491</v>
          </cell>
          <cell r="K191" t="str">
            <v/>
          </cell>
          <cell r="L191" t="str">
            <v>Masculino</v>
          </cell>
          <cell r="M191" t="str">
            <v>Parda</v>
          </cell>
          <cell r="N191">
            <v>31008</v>
          </cell>
          <cell r="O191" t="str">
            <v>406696081</v>
          </cell>
          <cell r="P191" t="str">
            <v>SP</v>
          </cell>
          <cell r="Q191" t="str">
            <v>SSP</v>
          </cell>
          <cell r="R191" t="str">
            <v>CUBATAO</v>
          </cell>
        </row>
        <row r="192">
          <cell r="A192" t="str">
            <v>LUIZ ROBERTO PEREIRA ANTONIO</v>
          </cell>
          <cell r="B192" t="str">
            <v>Casado</v>
          </cell>
          <cell r="C192" t="str">
            <v>R Álvaro Alvim</v>
          </cell>
          <cell r="D192" t="str">
            <v>Embaré</v>
          </cell>
          <cell r="E192" t="str">
            <v>SANTOS</v>
          </cell>
          <cell r="F192" t="str">
            <v>SP</v>
          </cell>
          <cell r="G192" t="str">
            <v>154</v>
          </cell>
          <cell r="H192" t="str">
            <v>Apto 101</v>
          </cell>
          <cell r="I192" t="str">
            <v>11040-130</v>
          </cell>
          <cell r="J192" t="str">
            <v>996501980</v>
          </cell>
          <cell r="K192" t="str">
            <v/>
          </cell>
          <cell r="L192" t="str">
            <v>Masculino</v>
          </cell>
          <cell r="M192" t="str">
            <v>Parda</v>
          </cell>
          <cell r="N192">
            <v>29346</v>
          </cell>
          <cell r="O192" t="str">
            <v>294119085</v>
          </cell>
          <cell r="P192" t="str">
            <v>SP</v>
          </cell>
          <cell r="Q192" t="str">
            <v>SSP</v>
          </cell>
          <cell r="R192" t="str">
            <v>GUARUJA</v>
          </cell>
        </row>
        <row r="193">
          <cell r="A193" t="str">
            <v>LUCAS FERNANDES DA SILVA</v>
          </cell>
          <cell r="B193" t="str">
            <v>Casado</v>
          </cell>
          <cell r="C193" t="str">
            <v>R Onze</v>
          </cell>
          <cell r="D193" t="str">
            <v>Jardim Monteiro da C</v>
          </cell>
          <cell r="E193" t="str">
            <v>GUARUJA</v>
          </cell>
          <cell r="F193" t="str">
            <v>SP</v>
          </cell>
          <cell r="G193" t="str">
            <v>13</v>
          </cell>
          <cell r="H193" t="str">
            <v>L1QQ LC</v>
          </cell>
          <cell r="I193" t="str">
            <v>11462-450</v>
          </cell>
          <cell r="J193" t="str">
            <v>974248361</v>
          </cell>
          <cell r="K193" t="str">
            <v/>
          </cell>
          <cell r="L193" t="str">
            <v>Masculino</v>
          </cell>
          <cell r="M193" t="str">
            <v>Branca</v>
          </cell>
          <cell r="N193">
            <v>31313</v>
          </cell>
          <cell r="O193" t="str">
            <v>470861393</v>
          </cell>
          <cell r="P193" t="str">
            <v>SP</v>
          </cell>
          <cell r="Q193" t="str">
            <v>SSP</v>
          </cell>
          <cell r="R193" t="str">
            <v>GUARUJA</v>
          </cell>
        </row>
        <row r="194">
          <cell r="A194" t="str">
            <v>BENICIO SANTOS MOSCATIELLO</v>
          </cell>
          <cell r="B194" t="str">
            <v>Solteiro</v>
          </cell>
          <cell r="C194" t="str">
            <v>R Contra-Almirante Esculápio César de</v>
          </cell>
          <cell r="D194" t="str">
            <v>Rádio Clube</v>
          </cell>
          <cell r="E194" t="str">
            <v>SANTOS</v>
          </cell>
          <cell r="F194" t="str">
            <v>SP</v>
          </cell>
          <cell r="G194" t="str">
            <v>234</v>
          </cell>
          <cell r="H194" t="str">
            <v>CASA 02</v>
          </cell>
          <cell r="I194" t="str">
            <v>11088-320</v>
          </cell>
          <cell r="J194" t="str">
            <v>32991276</v>
          </cell>
          <cell r="K194" t="str">
            <v/>
          </cell>
          <cell r="L194" t="str">
            <v>Masculino</v>
          </cell>
          <cell r="M194" t="str">
            <v>Parda</v>
          </cell>
          <cell r="N194">
            <v>26272</v>
          </cell>
          <cell r="O194" t="str">
            <v>230366946</v>
          </cell>
          <cell r="P194" t="str">
            <v>SP</v>
          </cell>
          <cell r="Q194" t="str">
            <v>SSP</v>
          </cell>
          <cell r="R194" t="str">
            <v>SANTOS</v>
          </cell>
        </row>
        <row r="195">
          <cell r="A195" t="str">
            <v>MAYQUESSON LOPES CHAGAS</v>
          </cell>
          <cell r="B195" t="str">
            <v>Casado</v>
          </cell>
          <cell r="C195" t="str">
            <v>R DOS CHAPEUS DE SOL</v>
          </cell>
          <cell r="D195" t="str">
            <v>Samambaia</v>
          </cell>
          <cell r="E195" t="str">
            <v>PRAIA GRANDE</v>
          </cell>
          <cell r="F195" t="str">
            <v>SP</v>
          </cell>
          <cell r="G195" t="str">
            <v>270</v>
          </cell>
          <cell r="H195" t="str">
            <v/>
          </cell>
          <cell r="I195" t="str">
            <v>11712-620</v>
          </cell>
          <cell r="J195" t="str">
            <v/>
          </cell>
          <cell r="K195" t="str">
            <v/>
          </cell>
          <cell r="L195" t="str">
            <v>Masculino</v>
          </cell>
          <cell r="M195" t="str">
            <v>Branca</v>
          </cell>
          <cell r="N195">
            <v>29971</v>
          </cell>
          <cell r="O195" t="str">
            <v>521265964</v>
          </cell>
          <cell r="P195" t="str">
            <v>SP</v>
          </cell>
          <cell r="Q195" t="str">
            <v>SSP</v>
          </cell>
          <cell r="R195" t="str">
            <v>IPATINGA</v>
          </cell>
        </row>
        <row r="196">
          <cell r="A196" t="str">
            <v>ERIVALDO JOSE AGUIAR</v>
          </cell>
          <cell r="B196" t="str">
            <v>Casado</v>
          </cell>
          <cell r="C196" t="str">
            <v>R Prefeito Joaquim Alcaide Valls</v>
          </cell>
          <cell r="D196" t="str">
            <v>Bom Retiro</v>
          </cell>
          <cell r="E196" t="str">
            <v>SANTOS</v>
          </cell>
          <cell r="F196" t="str">
            <v>SP</v>
          </cell>
          <cell r="G196" t="str">
            <v>444</v>
          </cell>
          <cell r="H196" t="str">
            <v/>
          </cell>
          <cell r="I196" t="str">
            <v>11090-150</v>
          </cell>
          <cell r="J196" t="str">
            <v>996852962</v>
          </cell>
          <cell r="K196" t="str">
            <v>33013054</v>
          </cell>
          <cell r="L196" t="str">
            <v>Masculino</v>
          </cell>
          <cell r="M196" t="str">
            <v>Parda</v>
          </cell>
          <cell r="N196">
            <v>29408</v>
          </cell>
          <cell r="O196" t="str">
            <v>307735229</v>
          </cell>
          <cell r="P196" t="str">
            <v>SP</v>
          </cell>
          <cell r="Q196" t="str">
            <v>SSP</v>
          </cell>
          <cell r="R196" t="str">
            <v>BUIQUE</v>
          </cell>
        </row>
        <row r="197">
          <cell r="A197" t="str">
            <v>ERIVALDO PATRICIO</v>
          </cell>
          <cell r="B197" t="str">
            <v>Casado</v>
          </cell>
          <cell r="C197" t="str">
            <v>R JOSEFA DE ALMEIDA GALINDO</v>
          </cell>
          <cell r="D197" t="str">
            <v>Jardim Las Palmas</v>
          </cell>
          <cell r="E197" t="str">
            <v>GUARUJA</v>
          </cell>
          <cell r="F197" t="str">
            <v>SP</v>
          </cell>
          <cell r="G197" t="str">
            <v>55</v>
          </cell>
          <cell r="H197" t="str">
            <v>ca 02</v>
          </cell>
          <cell r="I197" t="str">
            <v>11420-460</v>
          </cell>
          <cell r="J197" t="str">
            <v>33527914</v>
          </cell>
          <cell r="K197" t="str">
            <v>974103421</v>
          </cell>
          <cell r="L197" t="str">
            <v>Masculino</v>
          </cell>
          <cell r="M197" t="str">
            <v>Parda</v>
          </cell>
          <cell r="N197">
            <v>28568</v>
          </cell>
          <cell r="O197" t="str">
            <v>295307742</v>
          </cell>
          <cell r="P197" t="str">
            <v>SP</v>
          </cell>
          <cell r="Q197" t="str">
            <v>SSP</v>
          </cell>
          <cell r="R197" t="str">
            <v>GUARUJA</v>
          </cell>
        </row>
        <row r="198">
          <cell r="A198" t="str">
            <v>EVERTON SANTOS OLIVEIRA</v>
          </cell>
          <cell r="B198" t="str">
            <v>Casado</v>
          </cell>
          <cell r="C198" t="str">
            <v>R Elydio Julio Batista</v>
          </cell>
          <cell r="D198" t="str">
            <v>Vila Sônia</v>
          </cell>
          <cell r="E198" t="str">
            <v>PRAIA GRANDE</v>
          </cell>
          <cell r="F198" t="str">
            <v>SP</v>
          </cell>
          <cell r="G198" t="str">
            <v>1235</v>
          </cell>
          <cell r="H198" t="str">
            <v>casa-02</v>
          </cell>
          <cell r="I198" t="str">
            <v>11723-030</v>
          </cell>
          <cell r="J198" t="str">
            <v/>
          </cell>
          <cell r="K198" t="str">
            <v/>
          </cell>
          <cell r="L198" t="str">
            <v>Masculino</v>
          </cell>
          <cell r="M198" t="str">
            <v>Preta/Negra</v>
          </cell>
          <cell r="N198">
            <v>30358</v>
          </cell>
          <cell r="O198" t="str">
            <v>300065620</v>
          </cell>
          <cell r="P198" t="str">
            <v>SP</v>
          </cell>
          <cell r="Q198" t="str">
            <v>SSP</v>
          </cell>
          <cell r="R198" t="str">
            <v>GUARUJA</v>
          </cell>
        </row>
        <row r="199">
          <cell r="A199" t="str">
            <v>FABIO DA SILVA VIEIRA</v>
          </cell>
          <cell r="B199" t="str">
            <v>Solteiro</v>
          </cell>
          <cell r="C199" t="str">
            <v>R José Bonifácio</v>
          </cell>
          <cell r="D199" t="str">
            <v>Sitio do Campo</v>
          </cell>
          <cell r="E199" t="str">
            <v>PRAIA GRANDE</v>
          </cell>
          <cell r="F199" t="str">
            <v>SP</v>
          </cell>
          <cell r="G199" t="str">
            <v>856</v>
          </cell>
          <cell r="H199" t="str">
            <v/>
          </cell>
          <cell r="I199" t="str">
            <v>11725-420</v>
          </cell>
          <cell r="J199" t="str">
            <v/>
          </cell>
          <cell r="K199" t="str">
            <v/>
          </cell>
          <cell r="L199" t="str">
            <v>Masculino</v>
          </cell>
          <cell r="M199" t="str">
            <v>Parda</v>
          </cell>
          <cell r="N199">
            <v>27796</v>
          </cell>
          <cell r="O199" t="str">
            <v>261889989</v>
          </cell>
          <cell r="P199" t="str">
            <v>SP</v>
          </cell>
          <cell r="Q199" t="str">
            <v>SSP</v>
          </cell>
          <cell r="R199" t="str">
            <v>SANTOS</v>
          </cell>
        </row>
        <row r="200">
          <cell r="A200" t="str">
            <v>FRANCISCO DE ASSIS DA SILVA</v>
          </cell>
          <cell r="B200" t="str">
            <v>Casado</v>
          </cell>
          <cell r="C200" t="str">
            <v>R Hélio Ferreira</v>
          </cell>
          <cell r="D200" t="str">
            <v>Jardim Boa Esperança</v>
          </cell>
          <cell r="E200" t="str">
            <v>GUARUJA</v>
          </cell>
          <cell r="F200" t="str">
            <v>SP</v>
          </cell>
          <cell r="G200" t="str">
            <v>910</v>
          </cell>
          <cell r="H200" t="str">
            <v/>
          </cell>
          <cell r="I200" t="str">
            <v>11471-000</v>
          </cell>
          <cell r="J200" t="str">
            <v>997016815</v>
          </cell>
          <cell r="K200" t="str">
            <v/>
          </cell>
          <cell r="L200" t="str">
            <v>Masculino</v>
          </cell>
          <cell r="M200" t="str">
            <v>Branca</v>
          </cell>
          <cell r="N200">
            <v>28001</v>
          </cell>
          <cell r="O200" t="str">
            <v>279266492</v>
          </cell>
          <cell r="P200" t="str">
            <v>SP</v>
          </cell>
          <cell r="Q200" t="str">
            <v>SSP</v>
          </cell>
          <cell r="R200" t="str">
            <v>FORTALEZA</v>
          </cell>
        </row>
        <row r="201">
          <cell r="A201" t="str">
            <v>MARCELO AUGUSTO FERNANDES ALVES</v>
          </cell>
          <cell r="B201" t="str">
            <v>Casado</v>
          </cell>
          <cell r="C201" t="str">
            <v>AV Affonso Penna</v>
          </cell>
          <cell r="D201" t="str">
            <v>Boqueirao</v>
          </cell>
          <cell r="E201" t="str">
            <v>SANTOS</v>
          </cell>
          <cell r="F201" t="str">
            <v>SP</v>
          </cell>
          <cell r="G201" t="str">
            <v>64</v>
          </cell>
          <cell r="H201" t="str">
            <v>APTO. 42</v>
          </cell>
          <cell r="I201" t="str">
            <v>11020-000</v>
          </cell>
          <cell r="J201" t="str">
            <v>988594039</v>
          </cell>
          <cell r="K201" t="str">
            <v>32955000</v>
          </cell>
          <cell r="L201" t="str">
            <v>Masculino</v>
          </cell>
          <cell r="M201" t="str">
            <v>Parda</v>
          </cell>
          <cell r="N201">
            <v>24991</v>
          </cell>
          <cell r="O201" t="str">
            <v>189914440</v>
          </cell>
          <cell r="P201" t="str">
            <v>SP</v>
          </cell>
          <cell r="Q201" t="str">
            <v>SSP</v>
          </cell>
          <cell r="R201" t="str">
            <v>SANTOS</v>
          </cell>
        </row>
        <row r="202">
          <cell r="A202" t="str">
            <v>MARCELO BARBOSA DOS REIS</v>
          </cell>
          <cell r="B202" t="str">
            <v>Casado</v>
          </cell>
          <cell r="C202" t="str">
            <v>R H</v>
          </cell>
          <cell r="D202" t="str">
            <v>Vila Santa Clara</v>
          </cell>
          <cell r="E202" t="str">
            <v>GUARUJA</v>
          </cell>
          <cell r="F202" t="str">
            <v>SP</v>
          </cell>
          <cell r="G202" t="str">
            <v>24</v>
          </cell>
          <cell r="H202" t="str">
            <v/>
          </cell>
          <cell r="I202" t="str">
            <v>11435-110</v>
          </cell>
          <cell r="J202" t="str">
            <v/>
          </cell>
          <cell r="K202" t="str">
            <v/>
          </cell>
          <cell r="L202" t="str">
            <v>Masculino</v>
          </cell>
          <cell r="M202" t="str">
            <v>Parda</v>
          </cell>
          <cell r="N202">
            <v>27277</v>
          </cell>
          <cell r="O202" t="str">
            <v>243267575</v>
          </cell>
          <cell r="P202" t="str">
            <v>SP</v>
          </cell>
          <cell r="Q202" t="str">
            <v>SSP</v>
          </cell>
          <cell r="R202" t="str">
            <v>GUARUJA</v>
          </cell>
        </row>
        <row r="203">
          <cell r="A203" t="str">
            <v>MARCIO CARNEIRO SOARES</v>
          </cell>
          <cell r="B203" t="str">
            <v>Casado</v>
          </cell>
          <cell r="C203" t="str">
            <v>R Professora Carolina Ribeiro de Barros</v>
          </cell>
          <cell r="D203" t="str">
            <v>Esplanada dos Barrei</v>
          </cell>
          <cell r="E203" t="str">
            <v>SAO VICENTE</v>
          </cell>
          <cell r="F203" t="str">
            <v>SP</v>
          </cell>
          <cell r="G203" t="str">
            <v>341</v>
          </cell>
          <cell r="H203" t="str">
            <v/>
          </cell>
          <cell r="I203" t="str">
            <v>11340-300</v>
          </cell>
          <cell r="J203" t="str">
            <v/>
          </cell>
          <cell r="K203" t="str">
            <v/>
          </cell>
          <cell r="L203" t="str">
            <v>Masculino</v>
          </cell>
          <cell r="M203" t="str">
            <v>Parda</v>
          </cell>
          <cell r="N203">
            <v>29238</v>
          </cell>
          <cell r="O203" t="str">
            <v>329984044</v>
          </cell>
          <cell r="P203" t="str">
            <v>SP</v>
          </cell>
          <cell r="Q203" t="str">
            <v>SSP</v>
          </cell>
          <cell r="R203" t="str">
            <v>SAO VICENTE</v>
          </cell>
        </row>
        <row r="204">
          <cell r="A204" t="str">
            <v>MARCIO DOS SANTOS FERNANDES</v>
          </cell>
          <cell r="B204" t="str">
            <v>Casado</v>
          </cell>
          <cell r="C204" t="str">
            <v>R Dona Joana de Menezes Faro</v>
          </cell>
          <cell r="D204" t="str">
            <v>Sítio Paecara (Vicen</v>
          </cell>
          <cell r="E204" t="str">
            <v>GUARUJA</v>
          </cell>
          <cell r="F204" t="str">
            <v>SP</v>
          </cell>
          <cell r="G204" t="str">
            <v>113</v>
          </cell>
          <cell r="H204" t="str">
            <v/>
          </cell>
          <cell r="I204" t="str">
            <v>11462-000</v>
          </cell>
          <cell r="J204" t="str">
            <v>996168633</v>
          </cell>
          <cell r="K204" t="str">
            <v/>
          </cell>
          <cell r="L204" t="str">
            <v>Masculino</v>
          </cell>
          <cell r="M204" t="str">
            <v>Branca</v>
          </cell>
          <cell r="N204">
            <v>28088</v>
          </cell>
          <cell r="O204" t="str">
            <v>295002578</v>
          </cell>
          <cell r="P204" t="str">
            <v>SP</v>
          </cell>
          <cell r="Q204" t="str">
            <v>SSP</v>
          </cell>
          <cell r="R204" t="str">
            <v>GUARUJA</v>
          </cell>
        </row>
        <row r="205">
          <cell r="A205" t="str">
            <v>MAURICIO BATISTA DO NASCIMENTO</v>
          </cell>
          <cell r="B205" t="str">
            <v>Casado</v>
          </cell>
          <cell r="C205" t="str">
            <v>R Salvador</v>
          </cell>
          <cell r="D205" t="str">
            <v>Vila Nossa Senhora d</v>
          </cell>
          <cell r="E205" t="str">
            <v>SAO VICENTE</v>
          </cell>
          <cell r="F205" t="str">
            <v>SP</v>
          </cell>
          <cell r="G205" t="str">
            <v>127</v>
          </cell>
          <cell r="H205" t="str">
            <v/>
          </cell>
          <cell r="I205" t="str">
            <v>11355-450</v>
          </cell>
          <cell r="J205" t="str">
            <v/>
          </cell>
          <cell r="K205" t="str">
            <v/>
          </cell>
          <cell r="L205" t="str">
            <v>Masculino</v>
          </cell>
          <cell r="M205" t="str">
            <v>Parda</v>
          </cell>
          <cell r="N205">
            <v>30569</v>
          </cell>
          <cell r="O205" t="str">
            <v>433430400</v>
          </cell>
          <cell r="P205" t="str">
            <v>SP</v>
          </cell>
          <cell r="Q205" t="str">
            <v>SSP</v>
          </cell>
          <cell r="R205" t="str">
            <v>SANTOS</v>
          </cell>
        </row>
        <row r="206">
          <cell r="A206" t="str">
            <v>NADELSON DOS SANTOS ALVES</v>
          </cell>
          <cell r="B206" t="str">
            <v>Casado</v>
          </cell>
          <cell r="C206" t="str">
            <v>R Ernesto Nazareth</v>
          </cell>
          <cell r="D206" t="str">
            <v>Samambaia</v>
          </cell>
          <cell r="E206" t="str">
            <v>PRAIA GRANDE</v>
          </cell>
          <cell r="F206" t="str">
            <v>SP</v>
          </cell>
          <cell r="G206" t="str">
            <v>168</v>
          </cell>
          <cell r="H206" t="str">
            <v/>
          </cell>
          <cell r="I206" t="str">
            <v>11713-190</v>
          </cell>
          <cell r="J206" t="str">
            <v/>
          </cell>
          <cell r="K206" t="str">
            <v/>
          </cell>
          <cell r="L206" t="str">
            <v>Masculino</v>
          </cell>
          <cell r="M206" t="str">
            <v>Parda</v>
          </cell>
          <cell r="N206">
            <v>28835</v>
          </cell>
          <cell r="O206" t="str">
            <v>28363957X</v>
          </cell>
          <cell r="P206" t="str">
            <v>SP</v>
          </cell>
          <cell r="Q206" t="str">
            <v>SSP</v>
          </cell>
          <cell r="R206" t="str">
            <v>SANTOS</v>
          </cell>
        </row>
        <row r="207">
          <cell r="A207" t="str">
            <v>OLAVO SAUL RODRIGUES FILHO</v>
          </cell>
          <cell r="B207" t="str">
            <v>Casado</v>
          </cell>
          <cell r="C207" t="str">
            <v>R SANTO ANTONIO</v>
          </cell>
          <cell r="D207" t="str">
            <v>Jardim Guassu</v>
          </cell>
          <cell r="E207" t="str">
            <v>SAO VICENTE</v>
          </cell>
          <cell r="F207" t="str">
            <v>SP</v>
          </cell>
          <cell r="G207" t="str">
            <v>0150</v>
          </cell>
          <cell r="H207" t="str">
            <v>CASA 1</v>
          </cell>
          <cell r="I207" t="str">
            <v>11370-540</v>
          </cell>
          <cell r="J207" t="str">
            <v/>
          </cell>
          <cell r="K207" t="str">
            <v/>
          </cell>
          <cell r="L207" t="str">
            <v>Masculino</v>
          </cell>
          <cell r="M207" t="str">
            <v>Branca</v>
          </cell>
          <cell r="N207">
            <v>31747</v>
          </cell>
          <cell r="O207" t="str">
            <v>258163963</v>
          </cell>
          <cell r="P207" t="str">
            <v>SP</v>
          </cell>
          <cell r="Q207" t="str">
            <v>SSP</v>
          </cell>
          <cell r="R207" t="str">
            <v>SANTOS</v>
          </cell>
        </row>
        <row r="208">
          <cell r="A208" t="str">
            <v>PAULO NERIS DE JESUS SANTANA</v>
          </cell>
          <cell r="B208" t="str">
            <v>Solteiro</v>
          </cell>
          <cell r="C208" t="str">
            <v>AV Oswaldo Cruz</v>
          </cell>
          <cell r="D208" t="str">
            <v>Sítio Paecara (Vicen</v>
          </cell>
          <cell r="E208" t="str">
            <v>GUARUJA</v>
          </cell>
          <cell r="F208" t="str">
            <v>SP</v>
          </cell>
          <cell r="G208" t="str">
            <v>1584</v>
          </cell>
          <cell r="H208" t="str">
            <v>ALTOS</v>
          </cell>
          <cell r="I208" t="str">
            <v>11460-103</v>
          </cell>
          <cell r="J208" t="str">
            <v/>
          </cell>
          <cell r="K208" t="str">
            <v/>
          </cell>
          <cell r="L208" t="str">
            <v>Masculino</v>
          </cell>
          <cell r="M208" t="str">
            <v>Parda</v>
          </cell>
          <cell r="N208">
            <v>29798</v>
          </cell>
          <cell r="O208" t="str">
            <v>279265682</v>
          </cell>
          <cell r="P208" t="str">
            <v>SP</v>
          </cell>
          <cell r="Q208" t="str">
            <v>SSP</v>
          </cell>
          <cell r="R208" t="str">
            <v>GUARUJA</v>
          </cell>
        </row>
        <row r="209">
          <cell r="A209" t="str">
            <v>RUI DA CONCEICAO ROCHA</v>
          </cell>
          <cell r="B209" t="str">
            <v>Casado</v>
          </cell>
          <cell r="C209" t="str">
            <v>AL José Lucas</v>
          </cell>
          <cell r="D209" t="str">
            <v>Vila Santo Antonio</v>
          </cell>
          <cell r="E209" t="str">
            <v>GUARUJA</v>
          </cell>
          <cell r="F209" t="str">
            <v>SP</v>
          </cell>
          <cell r="G209" t="str">
            <v>910</v>
          </cell>
          <cell r="H209" t="str">
            <v/>
          </cell>
          <cell r="I209" t="str">
            <v>11432-370</v>
          </cell>
          <cell r="J209" t="str">
            <v/>
          </cell>
          <cell r="K209" t="str">
            <v>988288807</v>
          </cell>
          <cell r="L209" t="str">
            <v>Masculino</v>
          </cell>
          <cell r="M209" t="str">
            <v>Parda</v>
          </cell>
          <cell r="N209">
            <v>28425</v>
          </cell>
          <cell r="O209" t="str">
            <v>295363514</v>
          </cell>
          <cell r="P209" t="str">
            <v>SP</v>
          </cell>
          <cell r="Q209" t="str">
            <v>SSP</v>
          </cell>
          <cell r="R209" t="str">
            <v>GUARUJA</v>
          </cell>
        </row>
        <row r="210">
          <cell r="A210" t="str">
            <v>SAMUEL FERNANDES DOS SANTOS</v>
          </cell>
          <cell r="B210" t="str">
            <v>Solteiro</v>
          </cell>
          <cell r="C210" t="str">
            <v>R Professor Antônio Pedro de Jesus</v>
          </cell>
          <cell r="D210" t="str">
            <v>Esplanada dos Barrei</v>
          </cell>
          <cell r="E210" t="str">
            <v>SAO VICENTE</v>
          </cell>
          <cell r="F210" t="str">
            <v>SP</v>
          </cell>
          <cell r="G210" t="str">
            <v>9969</v>
          </cell>
          <cell r="H210" t="str">
            <v>CASA65</v>
          </cell>
          <cell r="I210" t="str">
            <v>11340-230</v>
          </cell>
          <cell r="J210" t="str">
            <v>974091712</v>
          </cell>
          <cell r="K210" t="str">
            <v/>
          </cell>
          <cell r="L210" t="str">
            <v>Masculino</v>
          </cell>
          <cell r="M210" t="str">
            <v>Preta/Negra</v>
          </cell>
          <cell r="N210">
            <v>22042</v>
          </cell>
          <cell r="O210" t="str">
            <v>13007709</v>
          </cell>
          <cell r="P210" t="str">
            <v>SP</v>
          </cell>
          <cell r="Q210" t="str">
            <v>SSP</v>
          </cell>
          <cell r="R210" t="str">
            <v>SANTOS</v>
          </cell>
        </row>
        <row r="211">
          <cell r="A211" t="str">
            <v>WANDERLEY AYRES</v>
          </cell>
          <cell r="B211" t="str">
            <v>Solteiro</v>
          </cell>
          <cell r="C211" t="str">
            <v>AV Santa Adelaide</v>
          </cell>
          <cell r="D211" t="str">
            <v>Jardim Boa Esperança</v>
          </cell>
          <cell r="E211" t="str">
            <v>GUARUJA</v>
          </cell>
          <cell r="F211" t="str">
            <v>SP</v>
          </cell>
          <cell r="G211" t="str">
            <v>860</v>
          </cell>
          <cell r="H211" t="str">
            <v/>
          </cell>
          <cell r="I211" t="str">
            <v>11471-070</v>
          </cell>
          <cell r="J211" t="str">
            <v>997027456</v>
          </cell>
          <cell r="K211" t="str">
            <v/>
          </cell>
          <cell r="L211" t="str">
            <v>Masculino</v>
          </cell>
          <cell r="M211" t="str">
            <v>Parda</v>
          </cell>
          <cell r="N211">
            <v>25094</v>
          </cell>
          <cell r="O211" t="str">
            <v>18271150X</v>
          </cell>
          <cell r="P211" t="str">
            <v>SP</v>
          </cell>
          <cell r="Q211" t="str">
            <v>SSP</v>
          </cell>
          <cell r="R211" t="str">
            <v>SANTOS</v>
          </cell>
        </row>
        <row r="212">
          <cell r="A212" t="str">
            <v>EMERSON DOS SANTOS</v>
          </cell>
          <cell r="B212" t="str">
            <v>Casado</v>
          </cell>
          <cell r="C212" t="str">
            <v>R Guimarães Rosa</v>
          </cell>
          <cell r="D212" t="str">
            <v>Ocian</v>
          </cell>
          <cell r="E212" t="str">
            <v>PRAIA GRANDE</v>
          </cell>
          <cell r="F212" t="str">
            <v>SP</v>
          </cell>
          <cell r="G212" t="str">
            <v>902</v>
          </cell>
          <cell r="H212" t="str">
            <v>APTO 45</v>
          </cell>
          <cell r="I212" t="str">
            <v>11704-160</v>
          </cell>
          <cell r="J212" t="str">
            <v>997591717</v>
          </cell>
          <cell r="K212" t="str">
            <v/>
          </cell>
          <cell r="L212" t="str">
            <v>Masculino</v>
          </cell>
          <cell r="M212" t="str">
            <v>Branca</v>
          </cell>
          <cell r="N212">
            <v>32584</v>
          </cell>
          <cell r="O212" t="str">
            <v>305906835</v>
          </cell>
          <cell r="P212" t="str">
            <v>SP</v>
          </cell>
          <cell r="Q212" t="str">
            <v>SSP</v>
          </cell>
          <cell r="R212" t="str">
            <v>SANTOS</v>
          </cell>
        </row>
        <row r="213">
          <cell r="A213" t="str">
            <v>JOHN LENON SANTOS DA SILVA</v>
          </cell>
          <cell r="B213" t="str">
            <v>Casado</v>
          </cell>
          <cell r="C213" t="str">
            <v>AV Nove de Abril</v>
          </cell>
          <cell r="D213" t="str">
            <v>Vila Nova</v>
          </cell>
          <cell r="E213" t="str">
            <v>CUBATAO</v>
          </cell>
          <cell r="F213" t="str">
            <v>SP</v>
          </cell>
          <cell r="G213" t="str">
            <v>3498</v>
          </cell>
          <cell r="H213" t="str">
            <v>APTO 4</v>
          </cell>
          <cell r="I213" t="str">
            <v>11520-000</v>
          </cell>
          <cell r="J213" t="str">
            <v/>
          </cell>
          <cell r="K213" t="str">
            <v/>
          </cell>
          <cell r="L213" t="str">
            <v>Masculino</v>
          </cell>
          <cell r="M213" t="str">
            <v>Branca</v>
          </cell>
          <cell r="N213">
            <v>32925</v>
          </cell>
          <cell r="O213" t="str">
            <v>48587118</v>
          </cell>
          <cell r="P213" t="str">
            <v>SP</v>
          </cell>
          <cell r="Q213" t="str">
            <v>SSP</v>
          </cell>
          <cell r="R213" t="str">
            <v>CUBATAO</v>
          </cell>
        </row>
        <row r="214">
          <cell r="A214" t="str">
            <v>TATIANA VANESSA DA SILVA</v>
          </cell>
          <cell r="B214" t="str">
            <v>Casado</v>
          </cell>
          <cell r="C214" t="str">
            <v>R Primeiro de Maio</v>
          </cell>
          <cell r="D214" t="str">
            <v>Aparecida</v>
          </cell>
          <cell r="E214" t="str">
            <v>SANTOS</v>
          </cell>
          <cell r="F214" t="str">
            <v>SP</v>
          </cell>
          <cell r="G214" t="str">
            <v>61</v>
          </cell>
          <cell r="H214" t="str">
            <v>Ap 6</v>
          </cell>
          <cell r="I214" t="str">
            <v>11035-181</v>
          </cell>
          <cell r="J214" t="str">
            <v>97494946</v>
          </cell>
          <cell r="K214" t="str">
            <v/>
          </cell>
          <cell r="L214" t="str">
            <v>Feminino</v>
          </cell>
          <cell r="M214" t="str">
            <v>Branca</v>
          </cell>
          <cell r="N214">
            <v>29610</v>
          </cell>
          <cell r="O214" t="str">
            <v>304588301</v>
          </cell>
          <cell r="P214" t="str">
            <v>SP</v>
          </cell>
          <cell r="Q214" t="str">
            <v>SSP</v>
          </cell>
          <cell r="R214" t="str">
            <v>GUARUJA</v>
          </cell>
        </row>
        <row r="215">
          <cell r="A215" t="str">
            <v>JOSE LUIZ DA MACENA</v>
          </cell>
          <cell r="B215" t="str">
            <v>Casado</v>
          </cell>
          <cell r="C215" t="str">
            <v>AV AFONSO SCHMIDT</v>
          </cell>
          <cell r="D215" t="str">
            <v>Castelo</v>
          </cell>
          <cell r="E215" t="str">
            <v>SANTOS</v>
          </cell>
          <cell r="F215" t="str">
            <v>SP</v>
          </cell>
          <cell r="G215" t="str">
            <v>491</v>
          </cell>
          <cell r="H215" t="str">
            <v>AP 44 BL G</v>
          </cell>
          <cell r="I215" t="str">
            <v>11087-001</v>
          </cell>
          <cell r="J215" t="str">
            <v>991865911</v>
          </cell>
          <cell r="K215" t="str">
            <v/>
          </cell>
          <cell r="L215" t="str">
            <v>Masculino</v>
          </cell>
          <cell r="M215" t="str">
            <v>Mulato</v>
          </cell>
          <cell r="N215">
            <v>27119</v>
          </cell>
          <cell r="O215" t="str">
            <v>246797265</v>
          </cell>
          <cell r="P215" t="str">
            <v>SP</v>
          </cell>
          <cell r="Q215" t="str">
            <v>SSP</v>
          </cell>
          <cell r="R215" t="str">
            <v>SANTOS</v>
          </cell>
        </row>
        <row r="216">
          <cell r="A216" t="str">
            <v>MARCELO GOMES DOS SANTOS</v>
          </cell>
          <cell r="B216" t="str">
            <v>Casado</v>
          </cell>
          <cell r="C216" t="str">
            <v>R TRES</v>
          </cell>
          <cell r="D216" t="str">
            <v>Vila Ligya</v>
          </cell>
          <cell r="E216" t="str">
            <v>GUARUJA</v>
          </cell>
          <cell r="F216" t="str">
            <v>SP</v>
          </cell>
          <cell r="G216" t="str">
            <v>1</v>
          </cell>
          <cell r="H216" t="str">
            <v>CASA B</v>
          </cell>
          <cell r="I216" t="str">
            <v>11430-060</v>
          </cell>
          <cell r="J216" t="str">
            <v>974122982</v>
          </cell>
          <cell r="K216" t="str">
            <v/>
          </cell>
          <cell r="L216" t="str">
            <v>Masculino</v>
          </cell>
          <cell r="M216" t="str">
            <v>Branca</v>
          </cell>
          <cell r="N216">
            <v>25516</v>
          </cell>
          <cell r="O216" t="str">
            <v>193820110</v>
          </cell>
          <cell r="P216" t="str">
            <v>SP</v>
          </cell>
          <cell r="Q216" t="str">
            <v>SSP</v>
          </cell>
          <cell r="R216" t="str">
            <v>SANTOS</v>
          </cell>
        </row>
        <row r="217">
          <cell r="A217" t="str">
            <v>ERIVELTO RIBEIRO DOS SANTOS</v>
          </cell>
          <cell r="B217" t="str">
            <v>Casado</v>
          </cell>
          <cell r="C217" t="str">
            <v>R Rio Negro</v>
          </cell>
          <cell r="D217" t="str">
            <v>Bal.Praia do Perequê</v>
          </cell>
          <cell r="E217" t="str">
            <v>GUARUJA</v>
          </cell>
          <cell r="F217" t="str">
            <v>SP</v>
          </cell>
          <cell r="G217" t="str">
            <v>126</v>
          </cell>
          <cell r="H217" t="str">
            <v>APTO 25</v>
          </cell>
          <cell r="I217" t="str">
            <v>11446-230</v>
          </cell>
          <cell r="J217" t="str">
            <v>974089811</v>
          </cell>
          <cell r="K217" t="str">
            <v/>
          </cell>
          <cell r="L217" t="str">
            <v>Masculino</v>
          </cell>
          <cell r="M217" t="str">
            <v>Preta/Negra</v>
          </cell>
          <cell r="N217">
            <v>27842</v>
          </cell>
          <cell r="O217" t="str">
            <v>27033967</v>
          </cell>
          <cell r="P217" t="str">
            <v>SP</v>
          </cell>
          <cell r="Q217" t="str">
            <v>SSP</v>
          </cell>
          <cell r="R217" t="str">
            <v>SANTA MARIANA</v>
          </cell>
        </row>
        <row r="218">
          <cell r="A218" t="str">
            <v>MARCOS VINICIUS HENRIQUE DA SILVEIRA</v>
          </cell>
          <cell r="B218" t="str">
            <v>Solteiro</v>
          </cell>
          <cell r="C218" t="str">
            <v>AV Coronel Joaquim Montenegro</v>
          </cell>
          <cell r="D218" t="str">
            <v>Ponta da Praia</v>
          </cell>
          <cell r="E218" t="str">
            <v>SANTOS</v>
          </cell>
          <cell r="F218" t="str">
            <v>SP</v>
          </cell>
          <cell r="G218" t="str">
            <v>40</v>
          </cell>
          <cell r="H218" t="str">
            <v>AP 41</v>
          </cell>
          <cell r="I218" t="str">
            <v>11035-000</v>
          </cell>
          <cell r="J218" t="str">
            <v>982092508</v>
          </cell>
          <cell r="K218" t="str">
            <v/>
          </cell>
          <cell r="L218" t="str">
            <v>Masculino</v>
          </cell>
          <cell r="M218" t="str">
            <v>Branca</v>
          </cell>
          <cell r="N218">
            <v>30808</v>
          </cell>
          <cell r="O218" t="str">
            <v>5073282591</v>
          </cell>
          <cell r="P218" t="str">
            <v>RS</v>
          </cell>
          <cell r="Q218" t="str">
            <v>SPRS</v>
          </cell>
          <cell r="R218" t="str">
            <v>RIO GRANDE</v>
          </cell>
        </row>
        <row r="219">
          <cell r="A219" t="str">
            <v>SERGIO SOLON DIAS</v>
          </cell>
          <cell r="B219" t="str">
            <v>Casado</v>
          </cell>
          <cell r="C219" t="str">
            <v>R Duque de Caxias</v>
          </cell>
          <cell r="D219" t="str">
            <v>Parque Estuário (Vic</v>
          </cell>
          <cell r="E219" t="str">
            <v>GUARUJA</v>
          </cell>
          <cell r="F219" t="str">
            <v>SP</v>
          </cell>
          <cell r="G219" t="str">
            <v>111</v>
          </cell>
          <cell r="H219" t="str">
            <v/>
          </cell>
          <cell r="I219" t="str">
            <v>11451-010</v>
          </cell>
          <cell r="J219" t="str">
            <v>981278039</v>
          </cell>
          <cell r="K219" t="str">
            <v/>
          </cell>
          <cell r="L219" t="str">
            <v>Masculino</v>
          </cell>
          <cell r="M219" t="str">
            <v>Parda</v>
          </cell>
          <cell r="N219">
            <v>24048</v>
          </cell>
          <cell r="O219" t="str">
            <v>179531542</v>
          </cell>
          <cell r="P219" t="str">
            <v>SP</v>
          </cell>
          <cell r="Q219" t="str">
            <v>SSP</v>
          </cell>
          <cell r="R219" t="str">
            <v>GUARUJA</v>
          </cell>
        </row>
        <row r="220">
          <cell r="A220" t="str">
            <v>RENAN MARQUES DOS SANTOS</v>
          </cell>
          <cell r="B220" t="str">
            <v>Solteiro</v>
          </cell>
          <cell r="C220" t="str">
            <v>AV dos Caiçaras</v>
          </cell>
          <cell r="D220" t="str">
            <v>Jardim Las Palmas</v>
          </cell>
          <cell r="E220" t="str">
            <v>GUARUJA</v>
          </cell>
          <cell r="F220" t="str">
            <v>SP</v>
          </cell>
          <cell r="G220" t="str">
            <v>1443</v>
          </cell>
          <cell r="H220" t="str">
            <v>Casa 11</v>
          </cell>
          <cell r="I220" t="str">
            <v>11420-440</v>
          </cell>
          <cell r="J220" t="str">
            <v>33544061</v>
          </cell>
          <cell r="K220" t="str">
            <v>981108841</v>
          </cell>
          <cell r="L220" t="str">
            <v>Masculino</v>
          </cell>
          <cell r="M220" t="str">
            <v>Parda</v>
          </cell>
          <cell r="N220">
            <v>31995</v>
          </cell>
          <cell r="O220" t="str">
            <v>440054916</v>
          </cell>
          <cell r="P220" t="str">
            <v>SP</v>
          </cell>
          <cell r="Q220" t="str">
            <v>SSP</v>
          </cell>
          <cell r="R220" t="str">
            <v>GUARUJA</v>
          </cell>
        </row>
        <row r="221">
          <cell r="A221" t="str">
            <v>WALAS MARQUES DA SILVA</v>
          </cell>
          <cell r="B221" t="str">
            <v>Casado</v>
          </cell>
          <cell r="C221" t="str">
            <v>R Antônio da Silva Melo</v>
          </cell>
          <cell r="D221" t="str">
            <v>Santa Cruz dos Naveg</v>
          </cell>
          <cell r="E221" t="str">
            <v>GUARUJA</v>
          </cell>
          <cell r="F221" t="str">
            <v>SP</v>
          </cell>
          <cell r="G221" t="str">
            <v>64</v>
          </cell>
          <cell r="H221" t="str">
            <v>CS</v>
          </cell>
          <cell r="I221" t="str">
            <v>11425-180</v>
          </cell>
          <cell r="J221" t="str">
            <v>96017292</v>
          </cell>
          <cell r="K221" t="str">
            <v/>
          </cell>
          <cell r="L221" t="str">
            <v>Masculino</v>
          </cell>
          <cell r="M221" t="str">
            <v>Parda</v>
          </cell>
          <cell r="N221">
            <v>27380</v>
          </cell>
          <cell r="O221" t="str">
            <v>244021326</v>
          </cell>
          <cell r="P221" t="str">
            <v>SP</v>
          </cell>
          <cell r="Q221" t="str">
            <v>SSP</v>
          </cell>
          <cell r="R221" t="str">
            <v>GUARUJA</v>
          </cell>
        </row>
        <row r="222">
          <cell r="A222" t="str">
            <v>NATALIA LADISLAU DA SILVA</v>
          </cell>
          <cell r="B222" t="str">
            <v>Casado</v>
          </cell>
          <cell r="C222" t="str">
            <v>R Dez</v>
          </cell>
          <cell r="D222" t="str">
            <v>Jardim Monteiro da Cruz</v>
          </cell>
          <cell r="E222" t="str">
            <v>GUARUJA</v>
          </cell>
          <cell r="F222" t="str">
            <v>SP</v>
          </cell>
          <cell r="G222" t="str">
            <v>28</v>
          </cell>
          <cell r="H222" t="str">
            <v>Conj Santos Dumont</v>
          </cell>
          <cell r="I222" t="str">
            <v>11462-460</v>
          </cell>
          <cell r="J222" t="str">
            <v/>
          </cell>
          <cell r="K222" t="str">
            <v/>
          </cell>
          <cell r="L222" t="str">
            <v>Feminino</v>
          </cell>
          <cell r="M222" t="str">
            <v>Parda</v>
          </cell>
          <cell r="N222">
            <v>31543</v>
          </cell>
          <cell r="O222" t="str">
            <v>437661027</v>
          </cell>
          <cell r="P222" t="str">
            <v>SP</v>
          </cell>
          <cell r="Q222" t="str">
            <v>SSP</v>
          </cell>
          <cell r="R222" t="str">
            <v>SANTOS</v>
          </cell>
        </row>
        <row r="223">
          <cell r="A223" t="str">
            <v>MICHAEL SILVA LAGE</v>
          </cell>
          <cell r="B223" t="str">
            <v>Casado</v>
          </cell>
          <cell r="C223" t="str">
            <v>AV Santa Adelaide</v>
          </cell>
          <cell r="D223" t="str">
            <v>Jardim Boa Esperança</v>
          </cell>
          <cell r="E223" t="str">
            <v>GUARUJA</v>
          </cell>
          <cell r="F223" t="str">
            <v>SP</v>
          </cell>
          <cell r="G223" t="str">
            <v>826</v>
          </cell>
          <cell r="H223" t="str">
            <v/>
          </cell>
          <cell r="I223" t="str">
            <v>11471-070</v>
          </cell>
          <cell r="J223" t="str">
            <v>997068831</v>
          </cell>
          <cell r="K223" t="str">
            <v/>
          </cell>
          <cell r="L223" t="str">
            <v>Masculino</v>
          </cell>
          <cell r="M223" t="str">
            <v>Parda</v>
          </cell>
          <cell r="N223">
            <v>29289</v>
          </cell>
          <cell r="O223" t="str">
            <v>303466091</v>
          </cell>
          <cell r="P223" t="str">
            <v>SP</v>
          </cell>
          <cell r="Q223" t="str">
            <v>SSP</v>
          </cell>
          <cell r="R223" t="str">
            <v>GUARUJA</v>
          </cell>
        </row>
        <row r="224">
          <cell r="A224" t="str">
            <v>CARLOS ALBERTO CALUMBI</v>
          </cell>
          <cell r="B224" t="str">
            <v>Solteiro</v>
          </cell>
          <cell r="C224" t="str">
            <v>R Caraguatatuba</v>
          </cell>
          <cell r="D224" t="str">
            <v>Sítio Paecara (Vicen</v>
          </cell>
          <cell r="E224" t="str">
            <v>GUARUJA</v>
          </cell>
          <cell r="F224" t="str">
            <v>SP</v>
          </cell>
          <cell r="G224" t="str">
            <v>22</v>
          </cell>
          <cell r="H224" t="str">
            <v>ALTOS</v>
          </cell>
          <cell r="I224" t="str">
            <v>11460-310</v>
          </cell>
          <cell r="J224" t="str">
            <v>33413081</v>
          </cell>
          <cell r="K224" t="str">
            <v/>
          </cell>
          <cell r="L224" t="str">
            <v>Masculino</v>
          </cell>
          <cell r="M224" t="str">
            <v>Parda</v>
          </cell>
          <cell r="N224">
            <v>24181</v>
          </cell>
          <cell r="O224" t="str">
            <v>16248138X</v>
          </cell>
          <cell r="P224" t="str">
            <v>SP</v>
          </cell>
          <cell r="Q224" t="str">
            <v>SSP</v>
          </cell>
          <cell r="R224" t="str">
            <v>SANTOS</v>
          </cell>
        </row>
        <row r="225">
          <cell r="A225" t="str">
            <v>MAXSUEL REIS SILVA</v>
          </cell>
          <cell r="B225" t="str">
            <v>Solteiro</v>
          </cell>
          <cell r="C225" t="str">
            <v>R Santa Cecília</v>
          </cell>
          <cell r="D225" t="str">
            <v>Morro Sao Bento</v>
          </cell>
          <cell r="E225" t="str">
            <v>SANTOS</v>
          </cell>
          <cell r="F225" t="str">
            <v>SP</v>
          </cell>
          <cell r="G225" t="str">
            <v>1110</v>
          </cell>
          <cell r="H225" t="str">
            <v>CA 1</v>
          </cell>
          <cell r="I225" t="str">
            <v>11082-400</v>
          </cell>
          <cell r="J225" t="str">
            <v>991929696</v>
          </cell>
          <cell r="K225" t="str">
            <v/>
          </cell>
          <cell r="L225" t="str">
            <v>Masculino</v>
          </cell>
          <cell r="M225" t="str">
            <v>Parda</v>
          </cell>
          <cell r="N225">
            <v>28577</v>
          </cell>
          <cell r="O225" t="str">
            <v>282280194</v>
          </cell>
          <cell r="P225" t="str">
            <v>SP</v>
          </cell>
          <cell r="Q225" t="str">
            <v>SSP</v>
          </cell>
          <cell r="R225" t="str">
            <v>TRES PONTAS</v>
          </cell>
        </row>
        <row r="226">
          <cell r="A226" t="str">
            <v>GILVANDO BISPO LEANDRO</v>
          </cell>
          <cell r="B226" t="str">
            <v>Casado</v>
          </cell>
          <cell r="C226" t="str">
            <v>R Apparício da Costa</v>
          </cell>
          <cell r="D226" t="str">
            <v>Tupiry</v>
          </cell>
          <cell r="E226" t="str">
            <v>PRAIA GRANDE</v>
          </cell>
          <cell r="F226" t="str">
            <v>SP</v>
          </cell>
          <cell r="G226" t="str">
            <v>91</v>
          </cell>
          <cell r="H226" t="str">
            <v/>
          </cell>
          <cell r="I226" t="str">
            <v>11719-040</v>
          </cell>
          <cell r="J226" t="str">
            <v>34957195</v>
          </cell>
          <cell r="K226" t="str">
            <v/>
          </cell>
          <cell r="L226" t="str">
            <v>Masculino</v>
          </cell>
          <cell r="M226" t="str">
            <v>Parda</v>
          </cell>
          <cell r="N226">
            <v>25228</v>
          </cell>
          <cell r="O226" t="str">
            <v>19899746</v>
          </cell>
          <cell r="P226" t="str">
            <v>SP</v>
          </cell>
          <cell r="Q226" t="str">
            <v>SSP</v>
          </cell>
          <cell r="R226" t="str">
            <v>ITABAIANA</v>
          </cell>
        </row>
        <row r="227">
          <cell r="A227" t="str">
            <v>MARCELO SEBASTIAO DA SILVA</v>
          </cell>
          <cell r="B227" t="str">
            <v>Casado</v>
          </cell>
          <cell r="C227" t="str">
            <v>R Luís Steves Cordeiro</v>
          </cell>
          <cell r="D227" t="str">
            <v>Cidade Nautica</v>
          </cell>
          <cell r="E227" t="str">
            <v>SAO VICENTE</v>
          </cell>
          <cell r="F227" t="str">
            <v>SP</v>
          </cell>
          <cell r="G227" t="str">
            <v>108</v>
          </cell>
          <cell r="H227" t="str">
            <v/>
          </cell>
          <cell r="I227" t="str">
            <v>11350-410</v>
          </cell>
          <cell r="J227" t="str">
            <v>997616898</v>
          </cell>
          <cell r="K227" t="str">
            <v>997390788</v>
          </cell>
          <cell r="L227" t="str">
            <v>Masculino</v>
          </cell>
          <cell r="M227" t="str">
            <v>Parda</v>
          </cell>
          <cell r="N227">
            <v>26174</v>
          </cell>
          <cell r="O227" t="str">
            <v>245723523</v>
          </cell>
          <cell r="P227" t="str">
            <v>SP</v>
          </cell>
          <cell r="Q227" t="str">
            <v>SSP</v>
          </cell>
          <cell r="R227" t="str">
            <v>SANTOS</v>
          </cell>
        </row>
        <row r="228">
          <cell r="A228" t="str">
            <v>DANILO BENTO FERNANDEZ CINTAS</v>
          </cell>
          <cell r="B228" t="str">
            <v>Casado</v>
          </cell>
          <cell r="C228" t="str">
            <v>R Capitão Alberto Mendes Júnior</v>
          </cell>
          <cell r="D228" t="str">
            <v>Macuco</v>
          </cell>
          <cell r="E228" t="str">
            <v>SANTOS</v>
          </cell>
          <cell r="F228" t="str">
            <v>SP</v>
          </cell>
          <cell r="G228" t="str">
            <v>96</v>
          </cell>
          <cell r="H228" t="str">
            <v>FUNDOS</v>
          </cell>
          <cell r="I228" t="str">
            <v>11015-290</v>
          </cell>
          <cell r="J228" t="str">
            <v>38772870</v>
          </cell>
          <cell r="K228" t="str">
            <v/>
          </cell>
          <cell r="L228" t="str">
            <v>Masculino</v>
          </cell>
          <cell r="M228" t="str">
            <v>Parda</v>
          </cell>
          <cell r="N228">
            <v>28435</v>
          </cell>
          <cell r="O228" t="str">
            <v>291375856</v>
          </cell>
          <cell r="P228" t="str">
            <v>SP</v>
          </cell>
          <cell r="Q228" t="str">
            <v>SSP</v>
          </cell>
          <cell r="R228" t="str">
            <v>SANTOS</v>
          </cell>
        </row>
        <row r="229">
          <cell r="A229" t="str">
            <v>THIAGO EUGENIO DE ARAUJO</v>
          </cell>
          <cell r="B229" t="str">
            <v>Casado</v>
          </cell>
          <cell r="C229" t="str">
            <v>R Visconde de Inhaúma</v>
          </cell>
          <cell r="D229" t="str">
            <v>Parque Estuário (Vic</v>
          </cell>
          <cell r="E229" t="str">
            <v>GUARUJA</v>
          </cell>
          <cell r="F229" t="str">
            <v>SP</v>
          </cell>
          <cell r="G229" t="str">
            <v>215</v>
          </cell>
          <cell r="H229" t="str">
            <v>CASA 04</v>
          </cell>
          <cell r="I229" t="str">
            <v>11451-080</v>
          </cell>
          <cell r="J229" t="str">
            <v>991224521</v>
          </cell>
          <cell r="K229" t="str">
            <v/>
          </cell>
          <cell r="L229" t="str">
            <v>Masculino</v>
          </cell>
          <cell r="M229" t="str">
            <v>Parda</v>
          </cell>
          <cell r="N229">
            <v>31254</v>
          </cell>
          <cell r="O229" t="str">
            <v>202263984</v>
          </cell>
          <cell r="P229" t="str">
            <v>SP</v>
          </cell>
          <cell r="Q229" t="str">
            <v>SPRJ</v>
          </cell>
          <cell r="R229" t="str">
            <v>RIO DE JANEIRO</v>
          </cell>
        </row>
        <row r="230">
          <cell r="A230" t="str">
            <v>MARCIO MARQUES DE SOUZA</v>
          </cell>
          <cell r="B230" t="str">
            <v>Casado</v>
          </cell>
          <cell r="C230" t="str">
            <v>R Luiz Marques Gaspar</v>
          </cell>
          <cell r="D230" t="str">
            <v>Aparecida</v>
          </cell>
          <cell r="E230" t="str">
            <v>SANTOS</v>
          </cell>
          <cell r="F230" t="str">
            <v>SP</v>
          </cell>
          <cell r="G230" t="str">
            <v>75</v>
          </cell>
          <cell r="H230" t="str">
            <v>AP 206 porta 3</v>
          </cell>
          <cell r="I230" t="str">
            <v>11040-040</v>
          </cell>
          <cell r="J230" t="str">
            <v>974196635</v>
          </cell>
          <cell r="K230" t="str">
            <v/>
          </cell>
          <cell r="L230" t="str">
            <v>Masculino</v>
          </cell>
          <cell r="M230" t="str">
            <v>Parda</v>
          </cell>
          <cell r="N230">
            <v>26262</v>
          </cell>
          <cell r="O230" t="str">
            <v>227789386</v>
          </cell>
          <cell r="P230" t="str">
            <v>SP</v>
          </cell>
          <cell r="Q230" t="str">
            <v>SSP</v>
          </cell>
          <cell r="R230" t="str">
            <v>SANTOS</v>
          </cell>
        </row>
        <row r="231">
          <cell r="A231" t="str">
            <v>MICHAEL DOS SANTOS SILVA</v>
          </cell>
          <cell r="B231" t="str">
            <v>Solteiro</v>
          </cell>
          <cell r="C231" t="str">
            <v>R Araguaia</v>
          </cell>
          <cell r="D231" t="str">
            <v>Sítio Paecara (Vicen</v>
          </cell>
          <cell r="E231" t="str">
            <v>GUARUJA</v>
          </cell>
          <cell r="F231" t="str">
            <v>SP</v>
          </cell>
          <cell r="G231" t="str">
            <v>171 f</v>
          </cell>
          <cell r="H231" t="str">
            <v>fundos</v>
          </cell>
          <cell r="I231" t="str">
            <v>11461-640</v>
          </cell>
          <cell r="J231" t="str">
            <v>996368398</v>
          </cell>
          <cell r="K231" t="str">
            <v/>
          </cell>
          <cell r="L231" t="str">
            <v>Masculino</v>
          </cell>
          <cell r="M231" t="str">
            <v>Parda</v>
          </cell>
          <cell r="N231">
            <v>33822</v>
          </cell>
          <cell r="O231" t="str">
            <v>490983595</v>
          </cell>
          <cell r="P231" t="str">
            <v>SP</v>
          </cell>
          <cell r="Q231" t="str">
            <v>SSP</v>
          </cell>
          <cell r="R231" t="str">
            <v>GUARUJA</v>
          </cell>
        </row>
        <row r="232">
          <cell r="A232" t="str">
            <v>ANDRE SANTOS DA SILVA</v>
          </cell>
          <cell r="B232" t="str">
            <v>Casado</v>
          </cell>
          <cell r="C232" t="str">
            <v>R Projetada Dezesseis</v>
          </cell>
          <cell r="D232" t="str">
            <v>Sítio Paecara (Vicen</v>
          </cell>
          <cell r="E232" t="str">
            <v>GUARUJA</v>
          </cell>
          <cell r="F232" t="str">
            <v>SP</v>
          </cell>
          <cell r="G232" t="str">
            <v>19</v>
          </cell>
          <cell r="H232" t="str">
            <v>CA 1</v>
          </cell>
          <cell r="I232" t="str">
            <v>11450-435</v>
          </cell>
          <cell r="J232" t="str">
            <v>981707431</v>
          </cell>
          <cell r="K232" t="str">
            <v>33412394</v>
          </cell>
          <cell r="L232" t="str">
            <v>Masculino</v>
          </cell>
          <cell r="M232" t="str">
            <v>Parda</v>
          </cell>
          <cell r="N232">
            <v>29615</v>
          </cell>
          <cell r="O232" t="str">
            <v>281357766</v>
          </cell>
          <cell r="P232" t="str">
            <v>SP</v>
          </cell>
          <cell r="Q232" t="str">
            <v>SSP</v>
          </cell>
          <cell r="R232" t="str">
            <v>GUARUJA</v>
          </cell>
        </row>
        <row r="233">
          <cell r="A233" t="str">
            <v>ANDRE MEDEIROS DE OLIVEIRA</v>
          </cell>
          <cell r="B233" t="str">
            <v>União Estável</v>
          </cell>
          <cell r="C233" t="str">
            <v>R DOUTOR GUEDES COELHO</v>
          </cell>
          <cell r="D233" t="str">
            <v>Encruzilhada</v>
          </cell>
          <cell r="E233" t="str">
            <v>SANTOS</v>
          </cell>
          <cell r="F233" t="str">
            <v>SP</v>
          </cell>
          <cell r="G233" t="str">
            <v>176</v>
          </cell>
          <cell r="H233" t="str">
            <v>AP 83</v>
          </cell>
          <cell r="I233" t="str">
            <v>11050-230</v>
          </cell>
          <cell r="J233" t="str">
            <v>988743177</v>
          </cell>
          <cell r="K233" t="str">
            <v/>
          </cell>
          <cell r="L233" t="str">
            <v>Masculino</v>
          </cell>
          <cell r="M233" t="str">
            <v>Parda</v>
          </cell>
          <cell r="N233">
            <v>28257</v>
          </cell>
          <cell r="O233" t="str">
            <v>630028205</v>
          </cell>
          <cell r="P233" t="str">
            <v>RS</v>
          </cell>
          <cell r="Q233" t="str">
            <v>SSP</v>
          </cell>
          <cell r="R233" t="str">
            <v>RIO GRANDE</v>
          </cell>
        </row>
        <row r="234">
          <cell r="A234" t="str">
            <v>ALDO BEZERRA DE ANDRADE</v>
          </cell>
          <cell r="B234" t="str">
            <v>Casado</v>
          </cell>
          <cell r="C234" t="str">
            <v>R João Maria Júnior</v>
          </cell>
          <cell r="D234" t="str">
            <v>Vila Santa Rosa</v>
          </cell>
          <cell r="E234" t="str">
            <v>GUARUJA</v>
          </cell>
          <cell r="F234" t="str">
            <v>SP</v>
          </cell>
          <cell r="G234" t="str">
            <v>117</v>
          </cell>
          <cell r="H234" t="str">
            <v/>
          </cell>
          <cell r="I234" t="str">
            <v>11431-180</v>
          </cell>
          <cell r="J234" t="str">
            <v>33831334</v>
          </cell>
          <cell r="K234" t="str">
            <v>997387799</v>
          </cell>
          <cell r="L234" t="str">
            <v>Masculino</v>
          </cell>
          <cell r="M234" t="str">
            <v>Parda</v>
          </cell>
          <cell r="N234">
            <v>25162</v>
          </cell>
          <cell r="O234" t="str">
            <v>209526804</v>
          </cell>
          <cell r="P234" t="str">
            <v>PE</v>
          </cell>
          <cell r="Q234" t="str">
            <v>SPPE</v>
          </cell>
          <cell r="R234" t="str">
            <v>BELO JARDIM</v>
          </cell>
        </row>
        <row r="235">
          <cell r="A235" t="str">
            <v>WAGNER ALEXANDRE SALGUEIRO BENETTI</v>
          </cell>
          <cell r="B235" t="str">
            <v>Casado</v>
          </cell>
          <cell r="C235" t="str">
            <v>R CARLOS GOMES</v>
          </cell>
          <cell r="D235" t="str">
            <v>Marapé</v>
          </cell>
          <cell r="E235" t="str">
            <v>SANTOS</v>
          </cell>
          <cell r="F235" t="str">
            <v>SP</v>
          </cell>
          <cell r="G235" t="str">
            <v>245</v>
          </cell>
          <cell r="H235" t="str">
            <v>APTO 72</v>
          </cell>
          <cell r="I235" t="str">
            <v>11075-672</v>
          </cell>
          <cell r="J235" t="str">
            <v>32526745</v>
          </cell>
          <cell r="K235" t="str">
            <v>974135556</v>
          </cell>
          <cell r="L235" t="str">
            <v>Masculino</v>
          </cell>
          <cell r="M235" t="str">
            <v>Parda</v>
          </cell>
          <cell r="N235">
            <v>26915</v>
          </cell>
          <cell r="O235" t="str">
            <v>223921075</v>
          </cell>
          <cell r="P235" t="str">
            <v>SP</v>
          </cell>
          <cell r="Q235" t="str">
            <v>SSP</v>
          </cell>
          <cell r="R235" t="str">
            <v>SANTOS</v>
          </cell>
        </row>
        <row r="236">
          <cell r="A236" t="str">
            <v>RAFAEL SILVA DE SOUZA</v>
          </cell>
          <cell r="B236" t="str">
            <v>Casado</v>
          </cell>
          <cell r="C236" t="str">
            <v>R Pindorama</v>
          </cell>
          <cell r="D236" t="str">
            <v>Sítio Paecara (Vicen</v>
          </cell>
          <cell r="E236" t="str">
            <v>GUARUJA</v>
          </cell>
          <cell r="F236" t="str">
            <v>SP</v>
          </cell>
          <cell r="G236" t="str">
            <v>61</v>
          </cell>
          <cell r="H236" t="str">
            <v/>
          </cell>
          <cell r="I236" t="str">
            <v>11461-610</v>
          </cell>
          <cell r="J236" t="str">
            <v>988069893</v>
          </cell>
          <cell r="K236" t="str">
            <v/>
          </cell>
          <cell r="L236" t="str">
            <v>Masculino</v>
          </cell>
          <cell r="M236" t="str">
            <v>Parda</v>
          </cell>
          <cell r="N236">
            <v>32405</v>
          </cell>
          <cell r="O236" t="str">
            <v>245639802</v>
          </cell>
          <cell r="P236" t="str">
            <v>RJ</v>
          </cell>
          <cell r="Q236" t="str">
            <v>RJ</v>
          </cell>
          <cell r="R236" t="str">
            <v>RIO DE JANEIRO</v>
          </cell>
        </row>
        <row r="237">
          <cell r="A237" t="str">
            <v>ADRIANO FLORIPPI GONCALVES</v>
          </cell>
          <cell r="B237" t="str">
            <v>Casado</v>
          </cell>
          <cell r="C237" t="str">
            <v>AV Marechal Maurício José Cardoso</v>
          </cell>
          <cell r="D237" t="str">
            <v>Canto do Forte</v>
          </cell>
          <cell r="E237" t="str">
            <v>PRAIA GRANDE</v>
          </cell>
          <cell r="F237" t="str">
            <v>SP</v>
          </cell>
          <cell r="G237" t="str">
            <v>748</v>
          </cell>
          <cell r="H237" t="str">
            <v>Ap 45 ibiza</v>
          </cell>
          <cell r="I237" t="str">
            <v>11700-140</v>
          </cell>
          <cell r="J237" t="str">
            <v>91143910</v>
          </cell>
          <cell r="K237" t="str">
            <v/>
          </cell>
          <cell r="L237" t="str">
            <v>Masculino</v>
          </cell>
          <cell r="M237" t="str">
            <v>Parda</v>
          </cell>
          <cell r="N237">
            <v>26520</v>
          </cell>
          <cell r="O237" t="str">
            <v>243282692</v>
          </cell>
          <cell r="P237" t="str">
            <v>SP</v>
          </cell>
          <cell r="Q237" t="str">
            <v>SSP</v>
          </cell>
          <cell r="R237" t="str">
            <v>SANTOS</v>
          </cell>
        </row>
        <row r="238">
          <cell r="A238" t="str">
            <v>DINO VIEIRA</v>
          </cell>
          <cell r="B238" t="str">
            <v>Solteiro</v>
          </cell>
          <cell r="C238" t="str">
            <v>R PROFESSOR CARLOS ESCOBAR</v>
          </cell>
          <cell r="D238" t="str">
            <v>Ponta da Praia</v>
          </cell>
          <cell r="E238" t="str">
            <v>SANTOS</v>
          </cell>
          <cell r="F238" t="str">
            <v>SP</v>
          </cell>
          <cell r="G238" t="str">
            <v>66</v>
          </cell>
          <cell r="H238" t="str">
            <v>84</v>
          </cell>
          <cell r="I238" t="str">
            <v>11030-030</v>
          </cell>
          <cell r="J238" t="str">
            <v>997714824</v>
          </cell>
          <cell r="K238" t="str">
            <v>997714824</v>
          </cell>
          <cell r="L238" t="str">
            <v>Masculino</v>
          </cell>
          <cell r="M238" t="str">
            <v>Parda</v>
          </cell>
          <cell r="N238">
            <v>28242</v>
          </cell>
          <cell r="O238" t="str">
            <v>307944347</v>
          </cell>
          <cell r="P238" t="str">
            <v>SP</v>
          </cell>
          <cell r="Q238" t="str">
            <v>SSP</v>
          </cell>
          <cell r="R238" t="str">
            <v>GUARUJA</v>
          </cell>
        </row>
        <row r="239">
          <cell r="A239" t="str">
            <v>GILBERTO FERRINHO MENDES</v>
          </cell>
          <cell r="B239" t="str">
            <v>Casado</v>
          </cell>
          <cell r="C239" t="str">
            <v>R Benedito Garcia de Moura</v>
          </cell>
          <cell r="D239" t="str">
            <v>Santa Cruz dos Naveg</v>
          </cell>
          <cell r="E239" t="str">
            <v>GUARUJA</v>
          </cell>
          <cell r="F239" t="str">
            <v>SP</v>
          </cell>
          <cell r="G239" t="str">
            <v>156</v>
          </cell>
          <cell r="H239" t="str">
            <v/>
          </cell>
          <cell r="I239" t="str">
            <v>11425-220</v>
          </cell>
          <cell r="J239" t="str">
            <v>33544286</v>
          </cell>
          <cell r="K239" t="str">
            <v>974038060</v>
          </cell>
          <cell r="L239" t="str">
            <v>Masculino</v>
          </cell>
          <cell r="M239" t="str">
            <v>Parda</v>
          </cell>
          <cell r="N239">
            <v>25352</v>
          </cell>
          <cell r="O239" t="str">
            <v>179526686</v>
          </cell>
          <cell r="P239" t="str">
            <v>SP</v>
          </cell>
          <cell r="Q239" t="str">
            <v>SSP</v>
          </cell>
          <cell r="R239" t="str">
            <v>SANTOS</v>
          </cell>
        </row>
        <row r="240">
          <cell r="A240" t="str">
            <v>ROGERIO CARVALHO EULALIO</v>
          </cell>
          <cell r="B240" t="str">
            <v>Casado</v>
          </cell>
          <cell r="C240" t="str">
            <v>R GODOFREDO FRAGA</v>
          </cell>
          <cell r="D240" t="str">
            <v>Marapé</v>
          </cell>
          <cell r="E240" t="str">
            <v>SANTOS</v>
          </cell>
          <cell r="F240" t="str">
            <v>SP</v>
          </cell>
          <cell r="G240" t="str">
            <v>153</v>
          </cell>
          <cell r="H240" t="str">
            <v>AP 33</v>
          </cell>
          <cell r="I240" t="str">
            <v>11070-401</v>
          </cell>
          <cell r="J240" t="str">
            <v>32725031</v>
          </cell>
          <cell r="K240" t="str">
            <v/>
          </cell>
          <cell r="L240" t="str">
            <v>Masculino</v>
          </cell>
          <cell r="M240" t="str">
            <v>Parda</v>
          </cell>
          <cell r="N240">
            <v>28094</v>
          </cell>
          <cell r="O240" t="str">
            <v>253931046</v>
          </cell>
          <cell r="P240" t="str">
            <v>SP</v>
          </cell>
          <cell r="Q240" t="str">
            <v>SSP</v>
          </cell>
          <cell r="R240" t="str">
            <v>SANTOS</v>
          </cell>
        </row>
        <row r="241">
          <cell r="A241" t="str">
            <v>LUIZ FELIPE NASCIMENTO DOS REIS</v>
          </cell>
          <cell r="B241" t="str">
            <v>Solteiro</v>
          </cell>
          <cell r="C241" t="str">
            <v>R Álvaro Alvim</v>
          </cell>
          <cell r="D241" t="str">
            <v>Embare</v>
          </cell>
          <cell r="E241" t="str">
            <v>SANTOS</v>
          </cell>
          <cell r="F241" t="str">
            <v>SP</v>
          </cell>
          <cell r="G241" t="str">
            <v>191</v>
          </cell>
          <cell r="H241" t="str">
            <v>AP 31</v>
          </cell>
          <cell r="I241" t="str">
            <v>11040-131</v>
          </cell>
          <cell r="J241" t="str">
            <v>996546603</v>
          </cell>
          <cell r="K241" t="str">
            <v/>
          </cell>
          <cell r="L241" t="str">
            <v>Masculino</v>
          </cell>
          <cell r="M241" t="str">
            <v>Branca</v>
          </cell>
          <cell r="N241">
            <v>31783</v>
          </cell>
          <cell r="O241" t="str">
            <v>44469402</v>
          </cell>
          <cell r="P241" t="str">
            <v>SP</v>
          </cell>
          <cell r="Q241" t="str">
            <v>SSP</v>
          </cell>
          <cell r="R241" t="str">
            <v>SANTOS</v>
          </cell>
        </row>
        <row r="242">
          <cell r="A242" t="str">
            <v>JOSE ALFREDO DA SILVA JUNIOR</v>
          </cell>
          <cell r="B242" t="str">
            <v>Casado</v>
          </cell>
          <cell r="C242" t="str">
            <v>R José do Patrocínio</v>
          </cell>
          <cell r="D242" t="str">
            <v>Vila Sao Jorge</v>
          </cell>
          <cell r="E242" t="str">
            <v>SAO VICENTE</v>
          </cell>
          <cell r="F242" t="str">
            <v>SP</v>
          </cell>
          <cell r="G242" t="str">
            <v>70</v>
          </cell>
          <cell r="H242" t="str">
            <v>APTO 22</v>
          </cell>
          <cell r="I242" t="str">
            <v>11380-110</v>
          </cell>
          <cell r="J242" t="str">
            <v>982173979</v>
          </cell>
          <cell r="K242" t="str">
            <v/>
          </cell>
          <cell r="L242" t="str">
            <v>Masculino</v>
          </cell>
          <cell r="M242" t="str">
            <v>Parda</v>
          </cell>
          <cell r="N242">
            <v>29940</v>
          </cell>
          <cell r="O242" t="str">
            <v>407056051</v>
          </cell>
          <cell r="P242" t="str">
            <v>PB</v>
          </cell>
          <cell r="Q242" t="str">
            <v>PB</v>
          </cell>
          <cell r="R242" t="str">
            <v>CAMPINA GRANDE</v>
          </cell>
        </row>
        <row r="243">
          <cell r="A243" t="str">
            <v>RENATO MIRANDA ESTEVES</v>
          </cell>
          <cell r="B243" t="str">
            <v>Casado</v>
          </cell>
          <cell r="C243" t="str">
            <v>AV João Mendes Júnior</v>
          </cell>
          <cell r="D243" t="str">
            <v>Sitio do Campo</v>
          </cell>
          <cell r="E243" t="str">
            <v>PRAIA GRANDE</v>
          </cell>
          <cell r="F243" t="str">
            <v>SP</v>
          </cell>
          <cell r="G243" t="str">
            <v>473</v>
          </cell>
          <cell r="H243" t="str">
            <v/>
          </cell>
          <cell r="I243" t="str">
            <v>11725-060</v>
          </cell>
          <cell r="J243" t="str">
            <v>34736802</v>
          </cell>
          <cell r="K243" t="str">
            <v/>
          </cell>
          <cell r="L243" t="str">
            <v>Masculino</v>
          </cell>
          <cell r="M243" t="str">
            <v>Parda</v>
          </cell>
          <cell r="N243">
            <v>31319</v>
          </cell>
          <cell r="O243" t="str">
            <v>346773763</v>
          </cell>
          <cell r="P243" t="str">
            <v>SP</v>
          </cell>
          <cell r="Q243" t="str">
            <v>SSP</v>
          </cell>
          <cell r="R243" t="str">
            <v>SAO PAULO</v>
          </cell>
        </row>
        <row r="244">
          <cell r="A244" t="str">
            <v>WITALAS BARROS DA SILVA</v>
          </cell>
          <cell r="B244" t="str">
            <v>Casado</v>
          </cell>
          <cell r="C244" t="str">
            <v>R Elídio Julio Batista</v>
          </cell>
          <cell r="D244" t="str">
            <v>Vila Sonia</v>
          </cell>
          <cell r="E244" t="str">
            <v>PRAIA GRANDE</v>
          </cell>
          <cell r="F244" t="str">
            <v>SP</v>
          </cell>
          <cell r="G244" t="str">
            <v>1612</v>
          </cell>
          <cell r="H244" t="str">
            <v/>
          </cell>
          <cell r="I244" t="str">
            <v>11723-030</v>
          </cell>
          <cell r="J244" t="str">
            <v>82127903</v>
          </cell>
          <cell r="K244" t="str">
            <v/>
          </cell>
          <cell r="L244" t="str">
            <v>Masculino</v>
          </cell>
          <cell r="M244" t="str">
            <v>Parda</v>
          </cell>
          <cell r="N244">
            <v>25584</v>
          </cell>
          <cell r="O244" t="str">
            <v>204616530</v>
          </cell>
          <cell r="P244" t="str">
            <v>SP</v>
          </cell>
          <cell r="Q244" t="str">
            <v>SSP</v>
          </cell>
          <cell r="R244" t="str">
            <v>SANTOS</v>
          </cell>
        </row>
        <row r="245">
          <cell r="A245" t="str">
            <v>HENRIQUE DE SOUZA RODRIGUES</v>
          </cell>
          <cell r="B245" t="str">
            <v>Solteiro</v>
          </cell>
          <cell r="C245" t="str">
            <v>AV Miguel Alonso Gonzales</v>
          </cell>
          <cell r="D245" t="str">
            <v>Jardim Las Palmas</v>
          </cell>
          <cell r="E245" t="str">
            <v>GUARUJA</v>
          </cell>
          <cell r="F245" t="str">
            <v>SP</v>
          </cell>
          <cell r="G245" t="str">
            <v>269</v>
          </cell>
          <cell r="H245" t="str">
            <v>apartamento 44</v>
          </cell>
          <cell r="I245" t="str">
            <v>11420-220</v>
          </cell>
          <cell r="J245" t="str">
            <v>974073085</v>
          </cell>
          <cell r="K245" t="str">
            <v/>
          </cell>
          <cell r="L245" t="str">
            <v>Masculino</v>
          </cell>
          <cell r="M245" t="str">
            <v>Parda</v>
          </cell>
          <cell r="N245">
            <v>32472</v>
          </cell>
          <cell r="O245" t="str">
            <v>460138510</v>
          </cell>
          <cell r="P245" t="str">
            <v>SP</v>
          </cell>
          <cell r="Q245" t="str">
            <v>SSP</v>
          </cell>
          <cell r="R245" t="str">
            <v>SANTOS</v>
          </cell>
        </row>
        <row r="246">
          <cell r="A246" t="str">
            <v>LUIZA OLIVEIRA GUIMARAES</v>
          </cell>
          <cell r="B246" t="str">
            <v>Solteiro</v>
          </cell>
          <cell r="C246" t="str">
            <v>R Luiz Antônio de Andrade Vieira</v>
          </cell>
          <cell r="D246" t="str">
            <v>Boqueirão</v>
          </cell>
          <cell r="E246" t="str">
            <v>PRAIA GRANDE</v>
          </cell>
          <cell r="F246" t="str">
            <v>SP</v>
          </cell>
          <cell r="G246" t="str">
            <v>150</v>
          </cell>
          <cell r="H246" t="str">
            <v>ap 11</v>
          </cell>
          <cell r="I246" t="str">
            <v>11701-040</v>
          </cell>
          <cell r="J246" t="str">
            <v>88515760</v>
          </cell>
          <cell r="K246" t="str">
            <v/>
          </cell>
          <cell r="L246" t="str">
            <v>Feminino</v>
          </cell>
          <cell r="M246" t="str">
            <v>Parda</v>
          </cell>
          <cell r="N246">
            <v>33648</v>
          </cell>
          <cell r="O246" t="str">
            <v>397064779</v>
          </cell>
          <cell r="P246" t="str">
            <v>SP</v>
          </cell>
          <cell r="Q246" t="str">
            <v>SSP</v>
          </cell>
          <cell r="R246" t="str">
            <v>SAO VICENTE</v>
          </cell>
        </row>
        <row r="247">
          <cell r="A247" t="str">
            <v>PATRICK HERBERT WATSON</v>
          </cell>
          <cell r="B247" t="str">
            <v>Casado</v>
          </cell>
          <cell r="C247" t="str">
            <v>R Vahia de Abreu</v>
          </cell>
          <cell r="D247" t="str">
            <v>Boqueirao</v>
          </cell>
          <cell r="E247" t="str">
            <v>SANTOS</v>
          </cell>
          <cell r="F247" t="str">
            <v>SP</v>
          </cell>
          <cell r="G247" t="str">
            <v>126</v>
          </cell>
          <cell r="H247" t="str">
            <v>APTO 81</v>
          </cell>
          <cell r="I247" t="str">
            <v>11050-120</v>
          </cell>
          <cell r="J247" t="str">
            <v>974075993</v>
          </cell>
          <cell r="K247" t="str">
            <v/>
          </cell>
          <cell r="L247" t="str">
            <v>Masculino</v>
          </cell>
          <cell r="M247" t="str">
            <v>Parda</v>
          </cell>
          <cell r="N247">
            <v>25518</v>
          </cell>
          <cell r="O247" t="str">
            <v>196530805</v>
          </cell>
          <cell r="P247" t="str">
            <v>SP</v>
          </cell>
          <cell r="Q247" t="str">
            <v>SSP</v>
          </cell>
          <cell r="R247" t="str">
            <v>SANTOS</v>
          </cell>
        </row>
        <row r="248">
          <cell r="A248" t="str">
            <v>GUILHERME GONCALVES LOBO</v>
          </cell>
          <cell r="B248" t="str">
            <v>Casado</v>
          </cell>
          <cell r="C248" t="str">
            <v>R Roberto de Molina Cintra</v>
          </cell>
          <cell r="D248" t="str">
            <v>Santa Maria</v>
          </cell>
          <cell r="E248" t="str">
            <v>SANTOS</v>
          </cell>
          <cell r="F248" t="str">
            <v>SP</v>
          </cell>
          <cell r="G248" t="str">
            <v>87</v>
          </cell>
          <cell r="H248" t="str">
            <v/>
          </cell>
          <cell r="I248" t="str">
            <v>11089-180</v>
          </cell>
          <cell r="J248" t="str">
            <v>981915848</v>
          </cell>
          <cell r="K248" t="str">
            <v/>
          </cell>
          <cell r="L248" t="str">
            <v>Masculino</v>
          </cell>
          <cell r="M248" t="str">
            <v>Branca</v>
          </cell>
          <cell r="N248">
            <v>33333</v>
          </cell>
          <cell r="O248" t="str">
            <v>359852993</v>
          </cell>
          <cell r="P248" t="str">
            <v>SP</v>
          </cell>
          <cell r="Q248" t="str">
            <v>SSP</v>
          </cell>
          <cell r="R248" t="str">
            <v>SANTOS</v>
          </cell>
        </row>
        <row r="249">
          <cell r="A249" t="str">
            <v>ROBSON DA SILVA MOURA</v>
          </cell>
          <cell r="B249" t="str">
            <v>Casado</v>
          </cell>
          <cell r="C249" t="str">
            <v>R Guaíra</v>
          </cell>
          <cell r="D249" t="str">
            <v>Vila Áurea (Vicente de Carvalho)</v>
          </cell>
          <cell r="E249" t="str">
            <v>GUARUJA</v>
          </cell>
          <cell r="F249" t="str">
            <v>SP</v>
          </cell>
          <cell r="G249" t="str">
            <v>268</v>
          </cell>
          <cell r="H249" t="str">
            <v>Casa 4</v>
          </cell>
          <cell r="I249" t="str">
            <v>11454-080</v>
          </cell>
          <cell r="J249" t="str">
            <v>33415708</v>
          </cell>
          <cell r="K249" t="str">
            <v/>
          </cell>
          <cell r="L249" t="str">
            <v>Masculino</v>
          </cell>
          <cell r="M249" t="str">
            <v>Parda</v>
          </cell>
          <cell r="N249">
            <v>29713</v>
          </cell>
          <cell r="O249" t="str">
            <v>32562673</v>
          </cell>
          <cell r="P249" t="str">
            <v>SP</v>
          </cell>
          <cell r="Q249" t="str">
            <v>SSP</v>
          </cell>
          <cell r="R249" t="str">
            <v>GUARUJA</v>
          </cell>
        </row>
        <row r="250">
          <cell r="A250" t="str">
            <v>CRISTIANO LUIS DE OLIVEIRA</v>
          </cell>
          <cell r="B250" t="str">
            <v>União Estável</v>
          </cell>
          <cell r="C250" t="str">
            <v>R Antônio Cândido da Silva</v>
          </cell>
          <cell r="D250" t="str">
            <v>Vila Sonia</v>
          </cell>
          <cell r="E250" t="str">
            <v>PRAIA GRANDE</v>
          </cell>
          <cell r="F250" t="str">
            <v>SP</v>
          </cell>
          <cell r="G250" t="str">
            <v>971</v>
          </cell>
          <cell r="H250" t="str">
            <v>Casa 5</v>
          </cell>
          <cell r="I250" t="str">
            <v>11722-000</v>
          </cell>
          <cell r="J250" t="str">
            <v>988772944</v>
          </cell>
          <cell r="K250" t="str">
            <v/>
          </cell>
          <cell r="L250" t="str">
            <v>Masculino</v>
          </cell>
          <cell r="M250" t="str">
            <v>Branca</v>
          </cell>
          <cell r="N250">
            <v>28331</v>
          </cell>
          <cell r="O250" t="str">
            <v>217836951</v>
          </cell>
          <cell r="P250" t="str">
            <v>SP</v>
          </cell>
          <cell r="Q250" t="str">
            <v>SSP</v>
          </cell>
          <cell r="R250" t="str">
            <v>JACAREI</v>
          </cell>
        </row>
        <row r="251">
          <cell r="A251" t="str">
            <v>VANDERLEI BEZERRA DA SILVA</v>
          </cell>
          <cell r="B251" t="str">
            <v>Casado</v>
          </cell>
          <cell r="C251" t="str">
            <v>R E</v>
          </cell>
          <cell r="D251" t="str">
            <v>Vila Santa Clara</v>
          </cell>
          <cell r="E251" t="str">
            <v>GUARUJA</v>
          </cell>
          <cell r="F251" t="str">
            <v>SP</v>
          </cell>
          <cell r="G251" t="str">
            <v>4</v>
          </cell>
          <cell r="H251" t="str">
            <v/>
          </cell>
          <cell r="I251" t="str">
            <v>11435-080</v>
          </cell>
          <cell r="J251" t="str">
            <v>974137832</v>
          </cell>
          <cell r="K251" t="str">
            <v/>
          </cell>
          <cell r="L251" t="str">
            <v>Masculino</v>
          </cell>
          <cell r="M251" t="str">
            <v>Parda</v>
          </cell>
          <cell r="N251">
            <v>28400</v>
          </cell>
          <cell r="O251" t="str">
            <v>279929699</v>
          </cell>
          <cell r="P251" t="str">
            <v>SP</v>
          </cell>
          <cell r="Q251" t="str">
            <v>SSP</v>
          </cell>
          <cell r="R251" t="str">
            <v>GUARUJA</v>
          </cell>
        </row>
        <row r="252">
          <cell r="A252" t="str">
            <v>JOSIVALDO DOS SANTOS</v>
          </cell>
          <cell r="B252" t="str">
            <v>Casado</v>
          </cell>
          <cell r="C252" t="str">
            <v>R Padre Antônio</v>
          </cell>
          <cell r="D252" t="str">
            <v>Vila dos Pescadores</v>
          </cell>
          <cell r="E252" t="str">
            <v>CUBATAO</v>
          </cell>
          <cell r="F252" t="str">
            <v>SP</v>
          </cell>
          <cell r="G252" t="str">
            <v>280</v>
          </cell>
          <cell r="H252" t="str">
            <v>Casa</v>
          </cell>
          <cell r="I252" t="str">
            <v>11531-060</v>
          </cell>
          <cell r="J252" t="str">
            <v>88130389</v>
          </cell>
          <cell r="K252" t="str">
            <v/>
          </cell>
          <cell r="L252" t="str">
            <v>Masculino</v>
          </cell>
          <cell r="M252" t="str">
            <v>Parda</v>
          </cell>
          <cell r="N252">
            <v>27514</v>
          </cell>
          <cell r="O252" t="str">
            <v>256860348</v>
          </cell>
          <cell r="P252" t="str">
            <v>SP</v>
          </cell>
          <cell r="Q252" t="str">
            <v>SSP</v>
          </cell>
          <cell r="R252" t="str">
            <v>CUBATAO</v>
          </cell>
        </row>
        <row r="253">
          <cell r="A253" t="str">
            <v>BRUNO JOSE DE SOUZA</v>
          </cell>
          <cell r="B253" t="str">
            <v>Casado</v>
          </cell>
          <cell r="C253" t="str">
            <v>AV Doutor Haroldo de Camargo</v>
          </cell>
          <cell r="D253" t="str">
            <v>Castelo</v>
          </cell>
          <cell r="E253" t="str">
            <v>SANTOS</v>
          </cell>
          <cell r="F253" t="str">
            <v>SP</v>
          </cell>
          <cell r="G253" t="str">
            <v>60</v>
          </cell>
          <cell r="H253" t="str">
            <v>apartamento 153 torre C</v>
          </cell>
          <cell r="I253" t="str">
            <v>11087-500</v>
          </cell>
          <cell r="J253" t="str">
            <v>974033000</v>
          </cell>
          <cell r="K253" t="str">
            <v/>
          </cell>
          <cell r="L253" t="str">
            <v>Masculino</v>
          </cell>
          <cell r="M253" t="str">
            <v>Parda</v>
          </cell>
          <cell r="N253">
            <v>32725</v>
          </cell>
          <cell r="O253" t="str">
            <v>462282107</v>
          </cell>
          <cell r="P253" t="str">
            <v>SP</v>
          </cell>
          <cell r="Q253" t="str">
            <v>SSP</v>
          </cell>
          <cell r="R253" t="str">
            <v>SANTOS</v>
          </cell>
        </row>
        <row r="254">
          <cell r="A254" t="str">
            <v>LEANDRO APARECIDO DE ARAUJO</v>
          </cell>
          <cell r="B254" t="str">
            <v>Casado</v>
          </cell>
          <cell r="C254" t="str">
            <v>R Anadir Dias de Carvalho</v>
          </cell>
          <cell r="D254" t="str">
            <v>Vila Jockei Clube</v>
          </cell>
          <cell r="E254" t="str">
            <v>SAO VICENTE</v>
          </cell>
          <cell r="F254" t="str">
            <v>SP</v>
          </cell>
          <cell r="G254" t="str">
            <v>85</v>
          </cell>
          <cell r="H254" t="str">
            <v/>
          </cell>
          <cell r="I254" t="str">
            <v>11360-400</v>
          </cell>
          <cell r="J254" t="str">
            <v>982291800</v>
          </cell>
          <cell r="K254" t="str">
            <v/>
          </cell>
          <cell r="L254" t="str">
            <v>Masculino</v>
          </cell>
          <cell r="M254" t="str">
            <v>Parda</v>
          </cell>
          <cell r="N254">
            <v>28742</v>
          </cell>
          <cell r="O254" t="str">
            <v>29110163</v>
          </cell>
          <cell r="P254" t="str">
            <v>SP</v>
          </cell>
          <cell r="Q254" t="str">
            <v>SSP</v>
          </cell>
          <cell r="R254" t="str">
            <v>SAO PAULO</v>
          </cell>
        </row>
        <row r="255">
          <cell r="A255" t="str">
            <v>RILDO JOSE DO NASCIMENTO</v>
          </cell>
          <cell r="B255" t="str">
            <v>Solteiro</v>
          </cell>
          <cell r="C255" t="str">
            <v>R José Carlos do Rêgo</v>
          </cell>
          <cell r="D255" t="str">
            <v>Bom Retiro</v>
          </cell>
          <cell r="E255" t="str">
            <v>SANTOS</v>
          </cell>
          <cell r="F255" t="str">
            <v>SP</v>
          </cell>
          <cell r="G255" t="str">
            <v>1037</v>
          </cell>
          <cell r="H255" t="str">
            <v/>
          </cell>
          <cell r="I255" t="str">
            <v>11090-275</v>
          </cell>
          <cell r="J255" t="str">
            <v>32998474</v>
          </cell>
          <cell r="K255" t="str">
            <v>997213777</v>
          </cell>
          <cell r="L255" t="str">
            <v>Masculino</v>
          </cell>
          <cell r="M255" t="str">
            <v>Parda</v>
          </cell>
          <cell r="N255">
            <v>25221</v>
          </cell>
          <cell r="O255" t="str">
            <v>188108877</v>
          </cell>
          <cell r="P255" t="str">
            <v>SP</v>
          </cell>
          <cell r="Q255" t="str">
            <v>SSP</v>
          </cell>
          <cell r="R255" t="str">
            <v>NATAL</v>
          </cell>
        </row>
        <row r="256">
          <cell r="A256" t="str">
            <v>ANTONIO COSTA</v>
          </cell>
          <cell r="B256" t="str">
            <v>Casado</v>
          </cell>
          <cell r="C256" t="str">
            <v>R dos Bambus</v>
          </cell>
          <cell r="D256" t="str">
            <v>Balneario Praia do Pernambuco</v>
          </cell>
          <cell r="E256" t="str">
            <v>GUARUJA</v>
          </cell>
          <cell r="F256" t="str">
            <v>SP</v>
          </cell>
          <cell r="G256" t="str">
            <v>57</v>
          </cell>
          <cell r="H256" t="str">
            <v>Casa</v>
          </cell>
          <cell r="I256" t="str">
            <v>11444-460</v>
          </cell>
          <cell r="J256" t="str">
            <v>991139081</v>
          </cell>
          <cell r="K256" t="str">
            <v/>
          </cell>
          <cell r="L256" t="str">
            <v>Masculino</v>
          </cell>
          <cell r="M256" t="str">
            <v>Parda</v>
          </cell>
          <cell r="N256">
            <v>29058</v>
          </cell>
          <cell r="O256" t="str">
            <v>2303200</v>
          </cell>
          <cell r="P256" t="str">
            <v>PB</v>
          </cell>
          <cell r="Q256" t="str">
            <v>SPPB</v>
          </cell>
          <cell r="R256" t="str">
            <v>TAPEROA</v>
          </cell>
        </row>
        <row r="257">
          <cell r="A257" t="str">
            <v>DANIEL ARAUJO SILVEIRA</v>
          </cell>
          <cell r="B257" t="str">
            <v>Casado</v>
          </cell>
          <cell r="C257" t="str">
            <v>R JURUBATUBA</v>
          </cell>
          <cell r="D257" t="str">
            <v>Aparecida</v>
          </cell>
          <cell r="E257" t="str">
            <v>SANTOS</v>
          </cell>
          <cell r="F257" t="str">
            <v>SP</v>
          </cell>
          <cell r="G257" t="str">
            <v>27</v>
          </cell>
          <cell r="H257" t="str">
            <v>P04 AP 108</v>
          </cell>
          <cell r="I257" t="str">
            <v>11035-101</v>
          </cell>
          <cell r="J257" t="str">
            <v>991235939</v>
          </cell>
          <cell r="K257" t="str">
            <v>988528824</v>
          </cell>
          <cell r="L257" t="str">
            <v>Masculino</v>
          </cell>
          <cell r="M257" t="str">
            <v>Parda</v>
          </cell>
          <cell r="N257">
            <v>29205</v>
          </cell>
          <cell r="O257" t="str">
            <v>307734493</v>
          </cell>
          <cell r="P257" t="str">
            <v>SP</v>
          </cell>
          <cell r="Q257" t="str">
            <v>SSP</v>
          </cell>
          <cell r="R257" t="str">
            <v>SANTOS</v>
          </cell>
        </row>
        <row r="258">
          <cell r="A258" t="str">
            <v>LEONARDO DOS SANTOS OLIVEIRA</v>
          </cell>
          <cell r="B258" t="str">
            <v>Casado</v>
          </cell>
          <cell r="C258" t="str">
            <v>R Capitão Francisco Lessa</v>
          </cell>
          <cell r="D258" t="str">
            <v>Parque Estuário (Vic</v>
          </cell>
          <cell r="E258" t="str">
            <v>GUARUJA</v>
          </cell>
          <cell r="F258" t="str">
            <v>SP</v>
          </cell>
          <cell r="G258" t="str">
            <v>176</v>
          </cell>
          <cell r="H258" t="str">
            <v/>
          </cell>
          <cell r="I258" t="str">
            <v>11451-160</v>
          </cell>
          <cell r="J258" t="str">
            <v>988159538</v>
          </cell>
          <cell r="K258" t="str">
            <v/>
          </cell>
          <cell r="L258" t="str">
            <v>Masculino</v>
          </cell>
          <cell r="M258" t="str">
            <v>Parda</v>
          </cell>
          <cell r="N258">
            <v>30117</v>
          </cell>
          <cell r="O258" t="str">
            <v>35677384</v>
          </cell>
          <cell r="P258" t="str">
            <v>SP</v>
          </cell>
          <cell r="Q258" t="str">
            <v>SSP</v>
          </cell>
          <cell r="R258" t="str">
            <v>GUARUJA</v>
          </cell>
        </row>
        <row r="259">
          <cell r="A259" t="str">
            <v>SERGIO LUIZ GONCALVES</v>
          </cell>
          <cell r="B259" t="str">
            <v>Casado</v>
          </cell>
          <cell r="C259" t="str">
            <v>R Brasília</v>
          </cell>
          <cell r="D259" t="str">
            <v>Sítio Paecara (Vicen</v>
          </cell>
          <cell r="E259" t="str">
            <v>GUARUJA</v>
          </cell>
          <cell r="F259" t="str">
            <v>SP</v>
          </cell>
          <cell r="G259" t="str">
            <v>351</v>
          </cell>
          <cell r="H259" t="str">
            <v/>
          </cell>
          <cell r="I259" t="str">
            <v>11451-340</v>
          </cell>
          <cell r="J259" t="str">
            <v>988630695</v>
          </cell>
          <cell r="K259" t="str">
            <v/>
          </cell>
          <cell r="L259" t="str">
            <v>Masculino</v>
          </cell>
          <cell r="M259" t="str">
            <v>Parda</v>
          </cell>
          <cell r="N259">
            <v>26620</v>
          </cell>
          <cell r="O259" t="str">
            <v>242691687</v>
          </cell>
          <cell r="P259" t="str">
            <v>SP</v>
          </cell>
          <cell r="Q259" t="str">
            <v>SSP</v>
          </cell>
          <cell r="R259" t="str">
            <v>SANTOS</v>
          </cell>
        </row>
        <row r="260">
          <cell r="A260" t="str">
            <v>ELIEZIO VIEIRA DA SILVA</v>
          </cell>
          <cell r="B260" t="str">
            <v>Casado</v>
          </cell>
          <cell r="C260" t="str">
            <v>R Manoel Nascimento Júnior</v>
          </cell>
          <cell r="D260" t="str">
            <v>Parque Bitaru</v>
          </cell>
          <cell r="E260" t="str">
            <v>SAO VICENTE</v>
          </cell>
          <cell r="F260" t="str">
            <v>SP</v>
          </cell>
          <cell r="G260" t="str">
            <v>41</v>
          </cell>
          <cell r="H260" t="str">
            <v>FT</v>
          </cell>
          <cell r="I260" t="str">
            <v>11330-220</v>
          </cell>
          <cell r="J260" t="str">
            <v>988184746</v>
          </cell>
          <cell r="K260" t="str">
            <v>30625311</v>
          </cell>
          <cell r="L260" t="str">
            <v>Masculino</v>
          </cell>
          <cell r="M260" t="str">
            <v>Parda</v>
          </cell>
          <cell r="N260">
            <v>29846</v>
          </cell>
          <cell r="O260" t="str">
            <v>406424846</v>
          </cell>
          <cell r="P260" t="str">
            <v>CE</v>
          </cell>
          <cell r="Q260" t="str">
            <v>SPCE</v>
          </cell>
          <cell r="R260" t="str">
            <v>ACOPIARA</v>
          </cell>
        </row>
        <row r="261">
          <cell r="A261" t="str">
            <v>ALEXANDRE FERNANDES DA SILVA</v>
          </cell>
          <cell r="B261" t="str">
            <v>Casado</v>
          </cell>
          <cell r="C261" t="str">
            <v>R OSCAR SAMPAIO</v>
          </cell>
          <cell r="D261" t="str">
            <v>Embare</v>
          </cell>
          <cell r="E261" t="str">
            <v>SANTOS</v>
          </cell>
          <cell r="F261" t="str">
            <v>SP</v>
          </cell>
          <cell r="G261" t="str">
            <v>54</v>
          </cell>
          <cell r="H261" t="str">
            <v>APTO 32</v>
          </cell>
          <cell r="I261" t="str">
            <v>11025-010</v>
          </cell>
          <cell r="J261" t="str">
            <v>991342564</v>
          </cell>
          <cell r="K261" t="str">
            <v/>
          </cell>
          <cell r="L261" t="str">
            <v>Masculino</v>
          </cell>
          <cell r="M261" t="str">
            <v>Parda</v>
          </cell>
          <cell r="N261">
            <v>26662</v>
          </cell>
          <cell r="O261" t="str">
            <v>222537371</v>
          </cell>
          <cell r="P261" t="str">
            <v>SP</v>
          </cell>
          <cell r="Q261" t="str">
            <v>SSP</v>
          </cell>
          <cell r="R261" t="str">
            <v>SAO VICENTE</v>
          </cell>
        </row>
        <row r="262">
          <cell r="A262" t="str">
            <v>GRACIANO ANTONIO DE SOUZA</v>
          </cell>
          <cell r="B262" t="str">
            <v>Divorciado</v>
          </cell>
          <cell r="C262" t="str">
            <v>R Doutor José Dias de Moraes</v>
          </cell>
          <cell r="D262" t="str">
            <v>Bom Retiro</v>
          </cell>
          <cell r="E262" t="str">
            <v>SANTOS</v>
          </cell>
          <cell r="F262" t="str">
            <v>SP</v>
          </cell>
          <cell r="G262" t="str">
            <v>615</v>
          </cell>
          <cell r="H262" t="str">
            <v/>
          </cell>
          <cell r="I262" t="str">
            <v>11090-100</v>
          </cell>
          <cell r="J262" t="str">
            <v>33273083</v>
          </cell>
          <cell r="K262" t="str">
            <v>991671770</v>
          </cell>
          <cell r="L262" t="str">
            <v>Masculino</v>
          </cell>
          <cell r="M262" t="str">
            <v>Parda</v>
          </cell>
          <cell r="N262">
            <v>20645</v>
          </cell>
          <cell r="O262" t="str">
            <v>84065217</v>
          </cell>
          <cell r="P262" t="str">
            <v>SP</v>
          </cell>
          <cell r="Q262" t="str">
            <v>SSP</v>
          </cell>
          <cell r="R262" t="str">
            <v>ITARIRI</v>
          </cell>
        </row>
        <row r="263">
          <cell r="A263" t="str">
            <v>KAUE IGNACIO DE SOUZA</v>
          </cell>
          <cell r="B263" t="str">
            <v>Casado</v>
          </cell>
          <cell r="C263" t="str">
            <v>AV Francisco Castro</v>
          </cell>
          <cell r="D263" t="str">
            <v>Vila Áurea (Vicente</v>
          </cell>
          <cell r="E263" t="str">
            <v>GUARUJA</v>
          </cell>
          <cell r="F263" t="str">
            <v>SP</v>
          </cell>
          <cell r="G263" t="str">
            <v>188</v>
          </cell>
          <cell r="H263" t="str">
            <v/>
          </cell>
          <cell r="I263" t="str">
            <v>11454-000</v>
          </cell>
          <cell r="J263" t="str">
            <v>30189609</v>
          </cell>
          <cell r="K263" t="str">
            <v/>
          </cell>
          <cell r="L263" t="str">
            <v>Masculino</v>
          </cell>
          <cell r="M263" t="str">
            <v>Parda</v>
          </cell>
          <cell r="N263">
            <v>32496</v>
          </cell>
          <cell r="O263" t="str">
            <v>32916076</v>
          </cell>
          <cell r="P263" t="str">
            <v>SP</v>
          </cell>
          <cell r="Q263" t="str">
            <v>SSP</v>
          </cell>
          <cell r="R263" t="str">
            <v>SANTOS</v>
          </cell>
        </row>
        <row r="264">
          <cell r="A264" t="str">
            <v>ROGERIO DE SOUSA BARBOSA</v>
          </cell>
          <cell r="B264" t="str">
            <v>Casado</v>
          </cell>
          <cell r="C264" t="str">
            <v>R Grajaú</v>
          </cell>
          <cell r="D264" t="str">
            <v>Sítio Paecara (Vicen</v>
          </cell>
          <cell r="E264" t="str">
            <v>GUARUJA</v>
          </cell>
          <cell r="F264" t="str">
            <v>SP</v>
          </cell>
          <cell r="G264" t="str">
            <v>63</v>
          </cell>
          <cell r="H264" t="str">
            <v>CASA 01</v>
          </cell>
          <cell r="I264" t="str">
            <v>11461-630</v>
          </cell>
          <cell r="J264" t="str">
            <v>33425599</v>
          </cell>
          <cell r="K264" t="str">
            <v/>
          </cell>
          <cell r="L264" t="str">
            <v>Masculino</v>
          </cell>
          <cell r="M264" t="str">
            <v>Parda</v>
          </cell>
          <cell r="N264">
            <v>27719</v>
          </cell>
          <cell r="O264" t="str">
            <v>545090866</v>
          </cell>
          <cell r="P264" t="str">
            <v>SP</v>
          </cell>
          <cell r="Q264" t="str">
            <v>SSP</v>
          </cell>
          <cell r="R264" t="str">
            <v>GUARUJA</v>
          </cell>
        </row>
        <row r="265">
          <cell r="A265" t="str">
            <v>ADERALDO BARROS DA SILVA</v>
          </cell>
          <cell r="B265" t="str">
            <v>Casado</v>
          </cell>
          <cell r="C265" t="str">
            <v>R Ribeirão Preto</v>
          </cell>
          <cell r="D265" t="str">
            <v>Vila Áurea (Vicente</v>
          </cell>
          <cell r="E265" t="str">
            <v>GUARUJA</v>
          </cell>
          <cell r="F265" t="str">
            <v>SP</v>
          </cell>
          <cell r="G265" t="str">
            <v>72</v>
          </cell>
          <cell r="H265" t="str">
            <v/>
          </cell>
          <cell r="I265" t="str">
            <v>11454-490</v>
          </cell>
          <cell r="J265" t="str">
            <v>974179609</v>
          </cell>
          <cell r="K265" t="str">
            <v/>
          </cell>
          <cell r="L265" t="str">
            <v>Masculino</v>
          </cell>
          <cell r="M265" t="str">
            <v>Parda</v>
          </cell>
          <cell r="N265">
            <v>31875</v>
          </cell>
          <cell r="O265" t="str">
            <v>324690538</v>
          </cell>
          <cell r="P265" t="str">
            <v>SP</v>
          </cell>
          <cell r="Q265" t="str">
            <v>SSP</v>
          </cell>
          <cell r="R265" t="str">
            <v>GUARUJA</v>
          </cell>
        </row>
        <row r="266">
          <cell r="A266" t="str">
            <v>LUCAS MONTEIRO RINALDI PINTO</v>
          </cell>
          <cell r="B266" t="str">
            <v>Casado</v>
          </cell>
          <cell r="C266" t="str">
            <v>R Monsenhor Paula Rodrigues</v>
          </cell>
          <cell r="D266" t="str">
            <v>Vila Belmiro</v>
          </cell>
          <cell r="E266" t="str">
            <v>SANTOS</v>
          </cell>
          <cell r="F266" t="str">
            <v>SP</v>
          </cell>
          <cell r="G266" t="str">
            <v>120</v>
          </cell>
          <cell r="H266" t="str">
            <v>Apto 184</v>
          </cell>
          <cell r="I266" t="str">
            <v>11075-350</v>
          </cell>
          <cell r="J266" t="str">
            <v>33270802</v>
          </cell>
          <cell r="K266" t="str">
            <v/>
          </cell>
          <cell r="L266" t="str">
            <v>Masculino</v>
          </cell>
          <cell r="M266" t="str">
            <v>Parda</v>
          </cell>
          <cell r="N266">
            <v>30885</v>
          </cell>
          <cell r="O266" t="str">
            <v>299504499</v>
          </cell>
          <cell r="P266" t="str">
            <v>SP</v>
          </cell>
          <cell r="Q266" t="str">
            <v>SSP</v>
          </cell>
          <cell r="R266" t="str">
            <v>SANTOS</v>
          </cell>
        </row>
        <row r="267">
          <cell r="A267" t="str">
            <v>AILTON MESSIAS MACHADO</v>
          </cell>
          <cell r="B267" t="str">
            <v>Casado</v>
          </cell>
          <cell r="C267" t="str">
            <v>R Tambaú</v>
          </cell>
          <cell r="D267" t="str">
            <v>Vila Nossa Senhora d</v>
          </cell>
          <cell r="E267" t="str">
            <v>SAO VICENTE</v>
          </cell>
          <cell r="F267" t="str">
            <v>SP</v>
          </cell>
          <cell r="G267" t="str">
            <v>1105</v>
          </cell>
          <cell r="H267" t="str">
            <v>CASA 2</v>
          </cell>
          <cell r="I267" t="str">
            <v>11355-030</v>
          </cell>
          <cell r="J267" t="str">
            <v>30184030</v>
          </cell>
          <cell r="K267" t="str">
            <v>988091154</v>
          </cell>
          <cell r="L267" t="str">
            <v>Masculino</v>
          </cell>
          <cell r="M267" t="str">
            <v>Parda</v>
          </cell>
          <cell r="N267">
            <v>26343</v>
          </cell>
          <cell r="O267" t="str">
            <v>230333734</v>
          </cell>
          <cell r="P267" t="str">
            <v>SP</v>
          </cell>
          <cell r="Q267" t="str">
            <v>SSP</v>
          </cell>
          <cell r="R267" t="str">
            <v>SANTOS</v>
          </cell>
        </row>
        <row r="268">
          <cell r="A268" t="str">
            <v>FABIO VALDEVINO CORDEIRO</v>
          </cell>
          <cell r="B268" t="str">
            <v>Casado</v>
          </cell>
          <cell r="C268" t="str">
            <v>R Ofélia Chaves de Meireles</v>
          </cell>
          <cell r="D268" t="str">
            <v>Vila Jockei Clube</v>
          </cell>
          <cell r="E268" t="str">
            <v>SAO VICENTE</v>
          </cell>
          <cell r="F268" t="str">
            <v>SP</v>
          </cell>
          <cell r="G268" t="str">
            <v>719</v>
          </cell>
          <cell r="H268" t="str">
            <v/>
          </cell>
          <cell r="I268" t="str">
            <v>11360-210</v>
          </cell>
          <cell r="J268" t="str">
            <v>974176318</v>
          </cell>
          <cell r="K268" t="str">
            <v>34648598</v>
          </cell>
          <cell r="L268" t="str">
            <v>Masculino</v>
          </cell>
          <cell r="M268" t="str">
            <v>Parda</v>
          </cell>
          <cell r="N268">
            <v>28322</v>
          </cell>
          <cell r="O268" t="str">
            <v>250086487</v>
          </cell>
          <cell r="P268" t="str">
            <v>SP</v>
          </cell>
          <cell r="Q268" t="str">
            <v>SSP</v>
          </cell>
          <cell r="R268" t="str">
            <v>SAO VICENTE</v>
          </cell>
        </row>
        <row r="269">
          <cell r="A269" t="str">
            <v>CLAUDIO BARBOSA DE ALMEIDA JUNIOR</v>
          </cell>
          <cell r="B269" t="str">
            <v>Solteiro</v>
          </cell>
          <cell r="C269" t="str">
            <v>R ANTONIO FERREIRA E SILVA</v>
          </cell>
          <cell r="D269" t="str">
            <v>Parque das Bandeiras</v>
          </cell>
          <cell r="E269" t="str">
            <v>SAO VICENTE</v>
          </cell>
          <cell r="F269" t="str">
            <v>SP</v>
          </cell>
          <cell r="G269" t="str">
            <v>751</v>
          </cell>
          <cell r="H269" t="str">
            <v>CASA</v>
          </cell>
          <cell r="I269" t="str">
            <v>11346-120</v>
          </cell>
          <cell r="J269" t="str">
            <v>35765631</v>
          </cell>
          <cell r="K269" t="str">
            <v>997827419</v>
          </cell>
          <cell r="L269" t="str">
            <v>Masculino</v>
          </cell>
          <cell r="M269" t="str">
            <v>Parda</v>
          </cell>
          <cell r="N269">
            <v>32287</v>
          </cell>
          <cell r="O269" t="str">
            <v>441071478</v>
          </cell>
          <cell r="P269" t="str">
            <v>SP</v>
          </cell>
          <cell r="Q269" t="str">
            <v>SSP</v>
          </cell>
          <cell r="R269" t="str">
            <v>CUBATAO</v>
          </cell>
        </row>
        <row r="270">
          <cell r="A270" t="str">
            <v>GILSON SILVA</v>
          </cell>
          <cell r="B270" t="str">
            <v>Solteiro</v>
          </cell>
          <cell r="C270" t="str">
            <v>R Frei Gaspar</v>
          </cell>
          <cell r="D270" t="str">
            <v>Cidade Nautica</v>
          </cell>
          <cell r="E270" t="str">
            <v>SAO VICENTE</v>
          </cell>
          <cell r="F270" t="str">
            <v>SP</v>
          </cell>
          <cell r="G270" t="str">
            <v>3562</v>
          </cell>
          <cell r="H270" t="str">
            <v>AP 31</v>
          </cell>
          <cell r="I270" t="str">
            <v>11350-000</v>
          </cell>
          <cell r="J270" t="str">
            <v/>
          </cell>
          <cell r="K270" t="str">
            <v/>
          </cell>
          <cell r="L270" t="str">
            <v>Masculino</v>
          </cell>
          <cell r="M270" t="str">
            <v>Parda</v>
          </cell>
          <cell r="N270">
            <v>28012</v>
          </cell>
          <cell r="O270" t="str">
            <v>30976094</v>
          </cell>
          <cell r="P270" t="str">
            <v>SE</v>
          </cell>
          <cell r="Q270" t="str">
            <v>SE</v>
          </cell>
          <cell r="R270" t="str">
            <v>ITABAIANA</v>
          </cell>
        </row>
        <row r="271">
          <cell r="A271" t="str">
            <v>LAERCIO DOS SANTOS MACENA</v>
          </cell>
          <cell r="B271" t="str">
            <v>Casado</v>
          </cell>
          <cell r="C271" t="str">
            <v>R Amapá</v>
          </cell>
          <cell r="D271" t="str">
            <v>Sítio Paecara (Vicen</v>
          </cell>
          <cell r="E271" t="str">
            <v>GUARUJA</v>
          </cell>
          <cell r="F271" t="str">
            <v>SP</v>
          </cell>
          <cell r="G271" t="str">
            <v>111</v>
          </cell>
          <cell r="H271" t="str">
            <v>CASA</v>
          </cell>
          <cell r="I271" t="str">
            <v>11460-560</v>
          </cell>
          <cell r="J271" t="str">
            <v>30229038</v>
          </cell>
          <cell r="K271" t="str">
            <v/>
          </cell>
          <cell r="L271" t="str">
            <v>Masculino</v>
          </cell>
          <cell r="M271" t="str">
            <v>Parda</v>
          </cell>
          <cell r="N271">
            <v>25723</v>
          </cell>
          <cell r="O271" t="str">
            <v>21250339</v>
          </cell>
          <cell r="P271" t="str">
            <v>SP</v>
          </cell>
          <cell r="Q271" t="str">
            <v>SSP</v>
          </cell>
          <cell r="R271" t="str">
            <v>GUARUJA</v>
          </cell>
        </row>
        <row r="272">
          <cell r="A272" t="str">
            <v>RODRIGO XAVIER JESUINO</v>
          </cell>
          <cell r="B272" t="str">
            <v>Solteiro</v>
          </cell>
          <cell r="C272" t="str">
            <v>R PERPETUA DE OLIVEIRA FREITAS</v>
          </cell>
          <cell r="D272" t="str">
            <v>Jardim Rio Branco</v>
          </cell>
          <cell r="E272" t="str">
            <v>SAO VICENTE</v>
          </cell>
          <cell r="F272" t="str">
            <v>SP</v>
          </cell>
          <cell r="G272" t="str">
            <v>1206</v>
          </cell>
          <cell r="H272" t="str">
            <v>CASA 2</v>
          </cell>
          <cell r="I272" t="str">
            <v>11347-060</v>
          </cell>
          <cell r="J272" t="str">
            <v>34642321</v>
          </cell>
          <cell r="K272" t="str">
            <v>988371252</v>
          </cell>
          <cell r="L272" t="str">
            <v>Masculino</v>
          </cell>
          <cell r="M272" t="str">
            <v>Parda</v>
          </cell>
          <cell r="N272">
            <v>30607</v>
          </cell>
          <cell r="O272" t="str">
            <v>329981833</v>
          </cell>
          <cell r="P272" t="str">
            <v>SP</v>
          </cell>
          <cell r="Q272" t="str">
            <v>SSP</v>
          </cell>
          <cell r="R272" t="str">
            <v>SAO VICENTE</v>
          </cell>
        </row>
        <row r="273">
          <cell r="A273" t="str">
            <v>MARCOS NASCIMENTO DE ALMEIDA</v>
          </cell>
          <cell r="B273" t="str">
            <v>Casado</v>
          </cell>
          <cell r="C273" t="str">
            <v>R José do Patrocínio</v>
          </cell>
          <cell r="D273" t="str">
            <v>Sítio Paecara (Vicen</v>
          </cell>
          <cell r="E273" t="str">
            <v>GUARUJA</v>
          </cell>
          <cell r="F273" t="str">
            <v>SP</v>
          </cell>
          <cell r="G273" t="str">
            <v>43</v>
          </cell>
          <cell r="H273" t="str">
            <v>AL</v>
          </cell>
          <cell r="I273" t="str">
            <v>11451-410</v>
          </cell>
          <cell r="J273" t="str">
            <v>991296233</v>
          </cell>
          <cell r="K273" t="str">
            <v/>
          </cell>
          <cell r="L273" t="str">
            <v>Masculino</v>
          </cell>
          <cell r="M273" t="str">
            <v>Parda</v>
          </cell>
          <cell r="N273">
            <v>28852</v>
          </cell>
          <cell r="O273" t="str">
            <v>353950658</v>
          </cell>
          <cell r="P273" t="str">
            <v>SE</v>
          </cell>
          <cell r="Q273" t="str">
            <v>SE</v>
          </cell>
          <cell r="R273" t="str">
            <v>ESTANCIA</v>
          </cell>
        </row>
        <row r="274">
          <cell r="A274" t="str">
            <v>NOEMI PIMENTEL</v>
          </cell>
          <cell r="B274" t="str">
            <v>Casado</v>
          </cell>
          <cell r="C274" t="str">
            <v>R Frei Santa Rita Durão</v>
          </cell>
          <cell r="D274" t="str">
            <v>Melvi</v>
          </cell>
          <cell r="E274" t="str">
            <v>PRAIA GRANDE</v>
          </cell>
          <cell r="F274" t="str">
            <v>SP</v>
          </cell>
          <cell r="G274" t="str">
            <v>102</v>
          </cell>
          <cell r="H274" t="str">
            <v>casa 3</v>
          </cell>
          <cell r="I274" t="str">
            <v>11712-110</v>
          </cell>
          <cell r="J274" t="str">
            <v>35611707</v>
          </cell>
          <cell r="K274" t="str">
            <v/>
          </cell>
          <cell r="L274" t="str">
            <v>Feminino</v>
          </cell>
          <cell r="M274" t="str">
            <v>Parda</v>
          </cell>
          <cell r="N274">
            <v>23026</v>
          </cell>
          <cell r="O274" t="str">
            <v>115974180</v>
          </cell>
          <cell r="P274" t="str">
            <v>SP</v>
          </cell>
          <cell r="Q274" t="str">
            <v>SSP</v>
          </cell>
          <cell r="R274" t="str">
            <v>SANTOS</v>
          </cell>
        </row>
        <row r="275">
          <cell r="A275" t="str">
            <v>RONALDO CONTENTE DA SILVA</v>
          </cell>
          <cell r="B275" t="str">
            <v>Solteiro</v>
          </cell>
          <cell r="C275" t="str">
            <v>R MARTIM FRANCISCO</v>
          </cell>
          <cell r="D275" t="str">
            <v>Encruzilhada</v>
          </cell>
          <cell r="E275" t="str">
            <v>SANTOS</v>
          </cell>
          <cell r="F275" t="str">
            <v>SP</v>
          </cell>
          <cell r="G275" t="str">
            <v>74</v>
          </cell>
          <cell r="H275" t="str">
            <v>CA 5</v>
          </cell>
          <cell r="I275" t="str">
            <v>11015-480</v>
          </cell>
          <cell r="J275" t="str">
            <v>996623539</v>
          </cell>
          <cell r="K275" t="str">
            <v/>
          </cell>
          <cell r="L275" t="str">
            <v>Masculino</v>
          </cell>
          <cell r="M275" t="str">
            <v>Parda</v>
          </cell>
          <cell r="N275">
            <v>25420</v>
          </cell>
          <cell r="O275" t="str">
            <v>18120041</v>
          </cell>
          <cell r="P275" t="str">
            <v>SP</v>
          </cell>
          <cell r="Q275" t="str">
            <v>SSP</v>
          </cell>
          <cell r="R275" t="str">
            <v>SAO PAULO</v>
          </cell>
        </row>
        <row r="276">
          <cell r="A276" t="str">
            <v>THIAGO AQUINO CARVALHO</v>
          </cell>
          <cell r="B276" t="str">
            <v>Casado</v>
          </cell>
          <cell r="C276" t="str">
            <v>R Manoel Neves dos Santos</v>
          </cell>
          <cell r="D276" t="str">
            <v>Jardim Castelo</v>
          </cell>
          <cell r="E276" t="str">
            <v>SANTOS</v>
          </cell>
          <cell r="F276" t="str">
            <v>SP</v>
          </cell>
          <cell r="G276" t="str">
            <v>128</v>
          </cell>
          <cell r="H276" t="str">
            <v>Bloco E-5 APTO 13</v>
          </cell>
          <cell r="I276" t="str">
            <v>11087-290</v>
          </cell>
          <cell r="J276" t="str">
            <v>988120880</v>
          </cell>
          <cell r="K276" t="str">
            <v/>
          </cell>
          <cell r="L276" t="str">
            <v>Masculino</v>
          </cell>
          <cell r="M276" t="str">
            <v>Parda</v>
          </cell>
          <cell r="N276">
            <v>32472</v>
          </cell>
          <cell r="O276" t="str">
            <v>426396510</v>
          </cell>
          <cell r="P276" t="str">
            <v>SP</v>
          </cell>
          <cell r="Q276" t="str">
            <v>SSP</v>
          </cell>
          <cell r="R276" t="str">
            <v>SANTOS</v>
          </cell>
        </row>
        <row r="277">
          <cell r="A277" t="str">
            <v>JOSE MIGUEL LOPES FERNANDES</v>
          </cell>
          <cell r="B277" t="str">
            <v>Casado</v>
          </cell>
          <cell r="C277" t="str">
            <v>R Marechal José Olintho de Carvalho</v>
          </cell>
          <cell r="D277" t="str">
            <v>Vila Belmiro</v>
          </cell>
          <cell r="E277" t="str">
            <v>SANTOS</v>
          </cell>
          <cell r="F277" t="str">
            <v>SP</v>
          </cell>
          <cell r="G277" t="str">
            <v>54</v>
          </cell>
          <cell r="H277" t="str">
            <v>APTO 81</v>
          </cell>
          <cell r="I277" t="str">
            <v>11070-210</v>
          </cell>
          <cell r="J277" t="str">
            <v>32374798</v>
          </cell>
          <cell r="K277" t="str">
            <v>996329090</v>
          </cell>
          <cell r="L277" t="str">
            <v>Masculino</v>
          </cell>
          <cell r="M277" t="str">
            <v>Parda</v>
          </cell>
          <cell r="N277">
            <v>21330</v>
          </cell>
          <cell r="O277" t="str">
            <v>9456710</v>
          </cell>
          <cell r="P277" t="str">
            <v>SP</v>
          </cell>
          <cell r="Q277" t="str">
            <v>SSP</v>
          </cell>
          <cell r="R277" t="str">
            <v>SANTOS</v>
          </cell>
        </row>
        <row r="278">
          <cell r="A278" t="str">
            <v>MAX GUIMARAES MARQUES</v>
          </cell>
          <cell r="B278" t="str">
            <v>Casado</v>
          </cell>
          <cell r="C278" t="str">
            <v>AV Manoel da Nóbrega</v>
          </cell>
          <cell r="D278" t="str">
            <v>Itararé</v>
          </cell>
          <cell r="E278" t="str">
            <v>SAO VICENTE</v>
          </cell>
          <cell r="F278" t="str">
            <v>SP</v>
          </cell>
          <cell r="G278" t="str">
            <v>412</v>
          </cell>
          <cell r="H278" t="str">
            <v>1405</v>
          </cell>
          <cell r="I278" t="str">
            <v>11320-201</v>
          </cell>
          <cell r="J278" t="str">
            <v>91545819</v>
          </cell>
          <cell r="K278" t="str">
            <v/>
          </cell>
          <cell r="L278" t="str">
            <v>Masculino</v>
          </cell>
          <cell r="M278" t="str">
            <v>Parda</v>
          </cell>
          <cell r="N278">
            <v>28940</v>
          </cell>
          <cell r="O278" t="str">
            <v>305908893</v>
          </cell>
          <cell r="P278" t="str">
            <v>SP</v>
          </cell>
          <cell r="Q278" t="str">
            <v>SSP</v>
          </cell>
          <cell r="R278" t="str">
            <v>SANTOS</v>
          </cell>
        </row>
        <row r="279">
          <cell r="A279" t="str">
            <v>MAURICIO ANTONIO PAIVA</v>
          </cell>
          <cell r="B279" t="str">
            <v>Casado</v>
          </cell>
          <cell r="C279" t="str">
            <v>R DR TOLENTINO FILGUEIRAS</v>
          </cell>
          <cell r="D279" t="str">
            <v>Gonzaga</v>
          </cell>
          <cell r="E279" t="str">
            <v>SANTOS</v>
          </cell>
          <cell r="F279" t="str">
            <v>SP</v>
          </cell>
          <cell r="G279" t="str">
            <v>98</v>
          </cell>
          <cell r="H279" t="str">
            <v>102</v>
          </cell>
          <cell r="I279" t="str">
            <v>11060-470</v>
          </cell>
          <cell r="J279" t="str">
            <v>991771881</v>
          </cell>
          <cell r="K279" t="str">
            <v/>
          </cell>
          <cell r="L279" t="str">
            <v>Masculino</v>
          </cell>
          <cell r="M279" t="str">
            <v>Parda</v>
          </cell>
          <cell r="N279">
            <v>30975</v>
          </cell>
          <cell r="O279" t="str">
            <v>288518548</v>
          </cell>
          <cell r="P279" t="str">
            <v>SP</v>
          </cell>
          <cell r="Q279" t="str">
            <v>SSP</v>
          </cell>
          <cell r="R279" t="str">
            <v>SANTOS</v>
          </cell>
        </row>
        <row r="280">
          <cell r="A280" t="str">
            <v>WANDERSON JOSE DO NASCIMENTO</v>
          </cell>
          <cell r="B280" t="str">
            <v>Casado</v>
          </cell>
          <cell r="C280" t="str">
            <v>AV LUZIA ENCARNAÇÃO VIDAL</v>
          </cell>
          <cell r="D280" t="str">
            <v>Aviação</v>
          </cell>
          <cell r="E280" t="str">
            <v>PRAIA GRANDE</v>
          </cell>
          <cell r="F280" t="str">
            <v>SP</v>
          </cell>
          <cell r="G280" t="str">
            <v>522</v>
          </cell>
          <cell r="H280" t="str">
            <v/>
          </cell>
          <cell r="I280" t="str">
            <v>11702-370</v>
          </cell>
          <cell r="J280" t="str">
            <v>974217086</v>
          </cell>
          <cell r="K280" t="str">
            <v>974217086</v>
          </cell>
          <cell r="L280" t="str">
            <v>Masculino</v>
          </cell>
          <cell r="M280" t="str">
            <v>Parda</v>
          </cell>
          <cell r="N280">
            <v>30303</v>
          </cell>
          <cell r="O280" t="str">
            <v>415902447</v>
          </cell>
          <cell r="P280" t="str">
            <v>SP</v>
          </cell>
          <cell r="Q280" t="str">
            <v>SSP</v>
          </cell>
          <cell r="R280" t="str">
            <v>SANTOS</v>
          </cell>
        </row>
        <row r="281">
          <cell r="A281" t="str">
            <v>CARLOS DELPHIM NOGUEIRA DA GAMA</v>
          </cell>
          <cell r="B281" t="str">
            <v>Casado</v>
          </cell>
          <cell r="C281" t="str">
            <v>R Oswaldo Cochrane</v>
          </cell>
          <cell r="D281" t="str">
            <v>Embare</v>
          </cell>
          <cell r="E281" t="str">
            <v>SANTOS</v>
          </cell>
          <cell r="F281" t="str">
            <v>SP</v>
          </cell>
          <cell r="G281" t="str">
            <v>165</v>
          </cell>
          <cell r="H281" t="str">
            <v>AP 32</v>
          </cell>
          <cell r="I281" t="str">
            <v>11040-111</v>
          </cell>
          <cell r="J281" t="str">
            <v>974102190</v>
          </cell>
          <cell r="K281" t="str">
            <v/>
          </cell>
          <cell r="L281" t="str">
            <v>Masculino</v>
          </cell>
          <cell r="M281" t="str">
            <v>Parda</v>
          </cell>
          <cell r="N281">
            <v>26711</v>
          </cell>
          <cell r="O281" t="str">
            <v>222929583</v>
          </cell>
          <cell r="P281" t="str">
            <v>SP</v>
          </cell>
          <cell r="Q281" t="str">
            <v>SSP</v>
          </cell>
          <cell r="R281" t="str">
            <v>SANTOS</v>
          </cell>
        </row>
        <row r="282">
          <cell r="A282" t="str">
            <v>WAGNER ROCHA DOS SANTOS</v>
          </cell>
          <cell r="B282" t="str">
            <v>Casado</v>
          </cell>
          <cell r="C282" t="str">
            <v>R Valdomiro Macário</v>
          </cell>
          <cell r="D282" t="str">
            <v>Jardim Conceiçãozinh</v>
          </cell>
          <cell r="E282" t="str">
            <v>GUARUJA</v>
          </cell>
          <cell r="F282" t="str">
            <v>SP</v>
          </cell>
          <cell r="G282" t="str">
            <v>111</v>
          </cell>
          <cell r="H282" t="str">
            <v>AP 409</v>
          </cell>
          <cell r="I282" t="str">
            <v>11472-100</v>
          </cell>
          <cell r="J282" t="str">
            <v>988206030</v>
          </cell>
          <cell r="K282" t="str">
            <v/>
          </cell>
          <cell r="L282" t="str">
            <v>Masculino</v>
          </cell>
          <cell r="M282" t="str">
            <v>Parda</v>
          </cell>
          <cell r="N282">
            <v>29020</v>
          </cell>
          <cell r="O282" t="str">
            <v>272363327</v>
          </cell>
          <cell r="P282" t="str">
            <v>SP</v>
          </cell>
          <cell r="Q282" t="str">
            <v>SSP</v>
          </cell>
          <cell r="R282" t="str">
            <v>GUARUJA</v>
          </cell>
        </row>
        <row r="283">
          <cell r="A283" t="str">
            <v>JULIO ROBERTO GONCALVES DE MENDONCA</v>
          </cell>
          <cell r="B283" t="str">
            <v>Solteiro</v>
          </cell>
          <cell r="C283" t="str">
            <v>R São Fernando</v>
          </cell>
          <cell r="D283" t="str">
            <v>Morro São Bento</v>
          </cell>
          <cell r="E283" t="str">
            <v>SANTOS</v>
          </cell>
          <cell r="F283" t="str">
            <v>SP</v>
          </cell>
          <cell r="G283" t="str">
            <v>4020</v>
          </cell>
          <cell r="H283" t="str">
            <v>casa</v>
          </cell>
          <cell r="I283" t="str">
            <v>11081-060</v>
          </cell>
          <cell r="J283" t="str">
            <v>32586991</v>
          </cell>
          <cell r="K283" t="str">
            <v/>
          </cell>
          <cell r="L283" t="str">
            <v>Masculino</v>
          </cell>
          <cell r="M283" t="str">
            <v>Parda</v>
          </cell>
          <cell r="N283">
            <v>27013</v>
          </cell>
          <cell r="O283" t="str">
            <v>173018877</v>
          </cell>
          <cell r="P283" t="str">
            <v>SP</v>
          </cell>
          <cell r="Q283" t="str">
            <v>SSP</v>
          </cell>
          <cell r="R283" t="str">
            <v>SANTOS</v>
          </cell>
        </row>
        <row r="284">
          <cell r="A284" t="str">
            <v>ALEXANDRE TORRES MOREIRA</v>
          </cell>
          <cell r="B284" t="str">
            <v>Casado</v>
          </cell>
          <cell r="C284" t="str">
            <v>R Professora Maria Neusa Cunha</v>
          </cell>
          <cell r="D284" t="str">
            <v>Saboo</v>
          </cell>
          <cell r="E284" t="str">
            <v>SANTOS</v>
          </cell>
          <cell r="F284" t="str">
            <v>SP</v>
          </cell>
          <cell r="G284" t="str">
            <v>131</v>
          </cell>
          <cell r="H284" t="str">
            <v>BL B AP 12</v>
          </cell>
          <cell r="I284" t="str">
            <v>11085-010</v>
          </cell>
          <cell r="J284" t="str">
            <v>32192872</v>
          </cell>
          <cell r="K284" t="str">
            <v/>
          </cell>
          <cell r="L284" t="str">
            <v>Masculino</v>
          </cell>
          <cell r="M284" t="str">
            <v>Parda</v>
          </cell>
          <cell r="N284">
            <v>27992</v>
          </cell>
          <cell r="O284" t="str">
            <v>283019906</v>
          </cell>
          <cell r="P284" t="str">
            <v>SP</v>
          </cell>
          <cell r="Q284" t="str">
            <v>SSP</v>
          </cell>
          <cell r="R284" t="str">
            <v>SANTOS</v>
          </cell>
        </row>
        <row r="285">
          <cell r="A285" t="str">
            <v>EVERALDO FREITAS DOS SANTOS</v>
          </cell>
          <cell r="B285" t="str">
            <v>Casado</v>
          </cell>
          <cell r="C285" t="str">
            <v>R Soldado André Fernandes Júnior</v>
          </cell>
          <cell r="D285" t="str">
            <v>Balneário Mar Casado</v>
          </cell>
          <cell r="E285" t="str">
            <v>GUARUJA</v>
          </cell>
          <cell r="F285" t="str">
            <v>SP</v>
          </cell>
          <cell r="G285" t="str">
            <v>412</v>
          </cell>
          <cell r="H285" t="str">
            <v>CASA 01</v>
          </cell>
          <cell r="I285" t="str">
            <v>11444-580</v>
          </cell>
          <cell r="J285" t="str">
            <v>33533008</v>
          </cell>
          <cell r="K285" t="str">
            <v/>
          </cell>
          <cell r="L285" t="str">
            <v>Masculino</v>
          </cell>
          <cell r="M285" t="str">
            <v>Parda</v>
          </cell>
          <cell r="N285">
            <v>26213</v>
          </cell>
          <cell r="O285" t="str">
            <v>284145452</v>
          </cell>
          <cell r="P285" t="str">
            <v>PE</v>
          </cell>
          <cell r="Q285" t="str">
            <v>SPPE</v>
          </cell>
          <cell r="R285" t="str">
            <v>RECIFE</v>
          </cell>
        </row>
        <row r="286">
          <cell r="A286" t="str">
            <v>VALTER SOUZA</v>
          </cell>
          <cell r="B286" t="str">
            <v>Solteiro</v>
          </cell>
          <cell r="C286" t="str">
            <v>R Walt Disney</v>
          </cell>
          <cell r="D286" t="str">
            <v>Vila Nossa Senhora d</v>
          </cell>
          <cell r="E286" t="str">
            <v>SAO VICENTE</v>
          </cell>
          <cell r="F286" t="str">
            <v>SP</v>
          </cell>
          <cell r="G286" t="str">
            <v>1384</v>
          </cell>
          <cell r="H286" t="str">
            <v/>
          </cell>
          <cell r="I286" t="str">
            <v>11355-010</v>
          </cell>
          <cell r="J286" t="str">
            <v>34613274</v>
          </cell>
          <cell r="K286" t="str">
            <v/>
          </cell>
          <cell r="L286" t="str">
            <v>Masculino</v>
          </cell>
          <cell r="M286" t="str">
            <v>Parda</v>
          </cell>
          <cell r="N286">
            <v>27126</v>
          </cell>
          <cell r="O286" t="str">
            <v>204585363</v>
          </cell>
          <cell r="P286" t="str">
            <v>SP</v>
          </cell>
          <cell r="Q286" t="str">
            <v>SSP</v>
          </cell>
          <cell r="R286" t="str">
            <v>SANTOS</v>
          </cell>
        </row>
        <row r="287">
          <cell r="A287" t="str">
            <v>RAFAEL ALVES CERQUEIRA DE SA</v>
          </cell>
          <cell r="B287" t="str">
            <v>Casado</v>
          </cell>
          <cell r="C287" t="str">
            <v>R Dois</v>
          </cell>
          <cell r="D287" t="str">
            <v>Bom Retiro</v>
          </cell>
          <cell r="E287" t="str">
            <v>SANTOS</v>
          </cell>
          <cell r="F287" t="str">
            <v>SP</v>
          </cell>
          <cell r="G287" t="str">
            <v>06</v>
          </cell>
          <cell r="H287" t="str">
            <v>Apto 33</v>
          </cell>
          <cell r="I287" t="str">
            <v>11090-300</v>
          </cell>
          <cell r="J287" t="str">
            <v>997305411</v>
          </cell>
          <cell r="K287" t="str">
            <v/>
          </cell>
          <cell r="L287" t="str">
            <v>Masculino</v>
          </cell>
          <cell r="M287" t="str">
            <v>Parda</v>
          </cell>
          <cell r="N287">
            <v>30109</v>
          </cell>
          <cell r="O287" t="str">
            <v>33576941</v>
          </cell>
          <cell r="P287" t="str">
            <v>SP</v>
          </cell>
          <cell r="Q287" t="str">
            <v>SSP</v>
          </cell>
          <cell r="R287" t="str">
            <v>SANTOS</v>
          </cell>
        </row>
        <row r="288">
          <cell r="A288" t="str">
            <v>BRUNO DONALD MARIETTO DOS SANTOS</v>
          </cell>
          <cell r="B288" t="str">
            <v>Solteiro</v>
          </cell>
          <cell r="C288" t="str">
            <v>R Walter  Pereira Prado</v>
          </cell>
          <cell r="D288" t="str">
            <v>VILA ITAPANHAU</v>
          </cell>
          <cell r="E288" t="str">
            <v>BERTIOGA</v>
          </cell>
          <cell r="F288" t="str">
            <v>SP</v>
          </cell>
          <cell r="G288" t="str">
            <v>140</v>
          </cell>
          <cell r="H288" t="str">
            <v>AP 14</v>
          </cell>
          <cell r="I288" t="str">
            <v>11250-249</v>
          </cell>
          <cell r="J288" t="str">
            <v>33525544</v>
          </cell>
          <cell r="K288" t="str">
            <v/>
          </cell>
          <cell r="L288" t="str">
            <v>Masculino</v>
          </cell>
          <cell r="M288" t="str">
            <v>Parda</v>
          </cell>
          <cell r="N288">
            <v>31574</v>
          </cell>
          <cell r="O288" t="str">
            <v>324687345</v>
          </cell>
          <cell r="P288" t="str">
            <v>SP</v>
          </cell>
          <cell r="Q288" t="str">
            <v>SSP</v>
          </cell>
          <cell r="R288" t="str">
            <v>SANTOS</v>
          </cell>
        </row>
        <row r="289">
          <cell r="A289" t="str">
            <v>RODOLFO VIEIRA MARTINS</v>
          </cell>
          <cell r="B289" t="str">
            <v>Solteiro</v>
          </cell>
          <cell r="C289" t="str">
            <v>R MATO GROSSO</v>
          </cell>
          <cell r="D289" t="str">
            <v>Boqueirao</v>
          </cell>
          <cell r="E289" t="str">
            <v>SANTOS</v>
          </cell>
          <cell r="F289" t="str">
            <v>SP</v>
          </cell>
          <cell r="G289" t="str">
            <v>232</v>
          </cell>
          <cell r="H289" t="str">
            <v>AP 31</v>
          </cell>
          <cell r="I289" t="str">
            <v>11055-010</v>
          </cell>
          <cell r="J289" t="str">
            <v>974026059</v>
          </cell>
          <cell r="K289" t="str">
            <v/>
          </cell>
          <cell r="L289" t="str">
            <v>Masculino</v>
          </cell>
          <cell r="M289" t="str">
            <v>Parda</v>
          </cell>
          <cell r="N289">
            <v>31352</v>
          </cell>
          <cell r="O289" t="str">
            <v>350410744</v>
          </cell>
          <cell r="P289" t="str">
            <v>SP</v>
          </cell>
          <cell r="Q289" t="str">
            <v>SSP</v>
          </cell>
          <cell r="R289" t="str">
            <v>SANTOS</v>
          </cell>
        </row>
        <row r="290">
          <cell r="A290" t="str">
            <v>JAIRO SOARES FERREIRA</v>
          </cell>
          <cell r="B290" t="str">
            <v>Casado</v>
          </cell>
          <cell r="C290" t="str">
            <v>R Dom Pedro II</v>
          </cell>
          <cell r="D290" t="str">
            <v>Vila Nova</v>
          </cell>
          <cell r="E290" t="str">
            <v>CUBATAO</v>
          </cell>
          <cell r="F290" t="str">
            <v>SP</v>
          </cell>
          <cell r="G290" t="str">
            <v>820</v>
          </cell>
          <cell r="H290" t="str">
            <v>CS 02</v>
          </cell>
          <cell r="I290" t="str">
            <v>11520-040</v>
          </cell>
          <cell r="J290" t="str">
            <v/>
          </cell>
          <cell r="K290" t="str">
            <v/>
          </cell>
          <cell r="L290" t="str">
            <v>Masculino</v>
          </cell>
          <cell r="M290" t="str">
            <v>Parda</v>
          </cell>
          <cell r="N290">
            <v>30409</v>
          </cell>
          <cell r="O290" t="str">
            <v>506745727</v>
          </cell>
          <cell r="P290" t="str">
            <v>SP</v>
          </cell>
          <cell r="Q290" t="str">
            <v>SSP</v>
          </cell>
          <cell r="R290" t="str">
            <v>SAO PAULO</v>
          </cell>
        </row>
        <row r="291">
          <cell r="A291" t="str">
            <v>RODRIGO SILVA GARCIA</v>
          </cell>
          <cell r="B291" t="str">
            <v>Solteiro</v>
          </cell>
          <cell r="C291" t="str">
            <v>R MACHADO DE ASSIS</v>
          </cell>
          <cell r="D291" t="str">
            <v>Boqueirao</v>
          </cell>
          <cell r="E291" t="str">
            <v>SANTOS</v>
          </cell>
          <cell r="F291" t="str">
            <v>SP</v>
          </cell>
          <cell r="G291" t="str">
            <v>396</v>
          </cell>
          <cell r="H291" t="str">
            <v>71</v>
          </cell>
          <cell r="I291" t="str">
            <v>11050-060</v>
          </cell>
          <cell r="J291" t="str">
            <v>32213549</v>
          </cell>
          <cell r="K291" t="str">
            <v>99796691</v>
          </cell>
          <cell r="L291" t="str">
            <v>Masculino</v>
          </cell>
          <cell r="M291" t="str">
            <v>Parda</v>
          </cell>
          <cell r="N291">
            <v>28410</v>
          </cell>
          <cell r="O291" t="str">
            <v>221128864</v>
          </cell>
          <cell r="P291" t="str">
            <v>SP</v>
          </cell>
          <cell r="Q291" t="str">
            <v>SSP</v>
          </cell>
          <cell r="R291" t="str">
            <v>SANTOS</v>
          </cell>
        </row>
        <row r="292">
          <cell r="A292" t="str">
            <v>MARCOS VINICIUS GOLLEGA SOARES</v>
          </cell>
          <cell r="B292" t="str">
            <v>Casado</v>
          </cell>
          <cell r="C292" t="str">
            <v>R Dona Maria Máximo</v>
          </cell>
          <cell r="D292" t="str">
            <v>Ponta da Praia</v>
          </cell>
          <cell r="E292" t="str">
            <v>SANTOS</v>
          </cell>
          <cell r="F292" t="str">
            <v>SP</v>
          </cell>
          <cell r="G292" t="str">
            <v>153</v>
          </cell>
          <cell r="H292" t="str">
            <v>AP 111 C</v>
          </cell>
          <cell r="I292" t="str">
            <v>11030-101</v>
          </cell>
          <cell r="J292" t="str">
            <v>33492405</v>
          </cell>
          <cell r="K292" t="str">
            <v/>
          </cell>
          <cell r="L292" t="str">
            <v>Masculino</v>
          </cell>
          <cell r="M292" t="str">
            <v>Parda</v>
          </cell>
          <cell r="N292">
            <v>28732</v>
          </cell>
          <cell r="O292" t="str">
            <v>327665853</v>
          </cell>
          <cell r="P292" t="str">
            <v>SP</v>
          </cell>
          <cell r="Q292" t="str">
            <v>SSP</v>
          </cell>
          <cell r="R292" t="str">
            <v>SANTOS</v>
          </cell>
        </row>
        <row r="293">
          <cell r="A293" t="str">
            <v>RAFAEL LEANDRO DE SOUZA</v>
          </cell>
          <cell r="B293" t="str">
            <v>Casado</v>
          </cell>
          <cell r="C293" t="str">
            <v>R Vítor Torquato dos Santos</v>
          </cell>
          <cell r="D293" t="str">
            <v>Parque das Bandeiras</v>
          </cell>
          <cell r="E293" t="str">
            <v>SAO VICENTE</v>
          </cell>
          <cell r="F293" t="str">
            <v>SP</v>
          </cell>
          <cell r="G293" t="str">
            <v>310</v>
          </cell>
          <cell r="H293" t="str">
            <v>Casa</v>
          </cell>
          <cell r="I293" t="str">
            <v>11346-150</v>
          </cell>
          <cell r="J293" t="str">
            <v>35661425</v>
          </cell>
          <cell r="K293" t="str">
            <v/>
          </cell>
          <cell r="L293" t="str">
            <v>Masculino</v>
          </cell>
          <cell r="M293" t="str">
            <v>Parda</v>
          </cell>
          <cell r="N293">
            <v>31380</v>
          </cell>
          <cell r="O293" t="str">
            <v>283008350</v>
          </cell>
          <cell r="P293" t="str">
            <v>SP</v>
          </cell>
          <cell r="Q293" t="str">
            <v>SSP</v>
          </cell>
          <cell r="R293" t="str">
            <v>SAO VICENTE</v>
          </cell>
        </row>
        <row r="294">
          <cell r="A294" t="str">
            <v>REGINALDO SILVA DE FREITAS</v>
          </cell>
          <cell r="B294" t="str">
            <v>Casado</v>
          </cell>
          <cell r="C294" t="str">
            <v>R Visconde de Inhaúma</v>
          </cell>
          <cell r="D294" t="str">
            <v>Parque Estuário (Vicente de Carvalho)</v>
          </cell>
          <cell r="E294" t="str">
            <v>GUARUJA</v>
          </cell>
          <cell r="F294" t="str">
            <v>SP</v>
          </cell>
          <cell r="G294" t="str">
            <v>95</v>
          </cell>
          <cell r="H294" t="str">
            <v>casa 04 Ba</v>
          </cell>
          <cell r="I294" t="str">
            <v>11451-080</v>
          </cell>
          <cell r="J294" t="str">
            <v>88212497</v>
          </cell>
          <cell r="K294" t="str">
            <v/>
          </cell>
          <cell r="L294" t="str">
            <v>Masculino</v>
          </cell>
          <cell r="M294" t="str">
            <v>Parda</v>
          </cell>
          <cell r="N294">
            <v>30087</v>
          </cell>
          <cell r="O294" t="str">
            <v>127704872</v>
          </cell>
          <cell r="P294" t="str">
            <v>RJ</v>
          </cell>
          <cell r="Q294" t="str">
            <v>RJ</v>
          </cell>
          <cell r="R294" t="str">
            <v>RIO DE JANEIRO</v>
          </cell>
        </row>
        <row r="295">
          <cell r="A295" t="str">
            <v>LEONARDO DOS SANTOS MARTINS</v>
          </cell>
          <cell r="B295" t="str">
            <v>Casado</v>
          </cell>
          <cell r="C295" t="str">
            <v>R NORBERTO LOPES DE FREITAS</v>
          </cell>
          <cell r="D295" t="str">
            <v>Jardim Praiano</v>
          </cell>
          <cell r="E295" t="str">
            <v>GUARUJA</v>
          </cell>
          <cell r="F295" t="str">
            <v>SP</v>
          </cell>
          <cell r="G295" t="str">
            <v>124</v>
          </cell>
          <cell r="H295" t="str">
            <v>12</v>
          </cell>
          <cell r="I295" t="str">
            <v>11440-430</v>
          </cell>
          <cell r="J295" t="str">
            <v/>
          </cell>
          <cell r="K295" t="str">
            <v/>
          </cell>
          <cell r="L295" t="str">
            <v>Masculino</v>
          </cell>
          <cell r="M295" t="str">
            <v>Parda</v>
          </cell>
          <cell r="N295">
            <v>28822</v>
          </cell>
          <cell r="O295" t="str">
            <v>340248208</v>
          </cell>
          <cell r="P295" t="str">
            <v>SP</v>
          </cell>
          <cell r="Q295" t="str">
            <v>SSP</v>
          </cell>
          <cell r="R295" t="str">
            <v>SANTOS</v>
          </cell>
        </row>
        <row r="296">
          <cell r="A296" t="str">
            <v>VALMIR DOS SANTOS</v>
          </cell>
          <cell r="B296" t="str">
            <v>Casado</v>
          </cell>
          <cell r="C296" t="str">
            <v>R Dona Risoleta de Moraes</v>
          </cell>
          <cell r="D296" t="str">
            <v>Jardim Progresso (Vi</v>
          </cell>
          <cell r="E296" t="str">
            <v>GUARUJA</v>
          </cell>
          <cell r="F296" t="str">
            <v>SP</v>
          </cell>
          <cell r="G296" t="str">
            <v>155</v>
          </cell>
          <cell r="H296" t="str">
            <v>CA 2</v>
          </cell>
          <cell r="I296" t="str">
            <v>11453-210</v>
          </cell>
          <cell r="J296" t="str">
            <v>974066337</v>
          </cell>
          <cell r="K296" t="str">
            <v/>
          </cell>
          <cell r="L296" t="str">
            <v>Masculino</v>
          </cell>
          <cell r="M296" t="str">
            <v>Parda</v>
          </cell>
          <cell r="N296">
            <v>25955</v>
          </cell>
          <cell r="O296" t="str">
            <v>225438203</v>
          </cell>
          <cell r="P296" t="str">
            <v>SP</v>
          </cell>
          <cell r="Q296" t="str">
            <v>SSP</v>
          </cell>
          <cell r="R296" t="str">
            <v>GUARUJA</v>
          </cell>
        </row>
        <row r="297">
          <cell r="A297" t="str">
            <v>SILVANO FIDELIS DA SILVA</v>
          </cell>
          <cell r="B297" t="str">
            <v>União Estável</v>
          </cell>
          <cell r="C297" t="str">
            <v>AV Doutor Pedro Lessa 2298</v>
          </cell>
          <cell r="D297" t="str">
            <v>Aparecida</v>
          </cell>
          <cell r="E297" t="str">
            <v>SANTOS</v>
          </cell>
          <cell r="F297" t="str">
            <v>SP</v>
          </cell>
          <cell r="G297" t="str">
            <v>2298</v>
          </cell>
          <cell r="H297" t="str">
            <v>Ap41</v>
          </cell>
          <cell r="I297" t="str">
            <v>11025-002</v>
          </cell>
          <cell r="J297" t="str">
            <v>75033675</v>
          </cell>
          <cell r="K297" t="str">
            <v/>
          </cell>
          <cell r="L297" t="str">
            <v>Masculino</v>
          </cell>
          <cell r="M297" t="str">
            <v>Parda</v>
          </cell>
          <cell r="N297">
            <v>33547</v>
          </cell>
          <cell r="O297" t="str">
            <v>235401155</v>
          </cell>
          <cell r="P297" t="str">
            <v>PB</v>
          </cell>
          <cell r="Q297" t="str">
            <v>PB</v>
          </cell>
          <cell r="R297" t="str">
            <v>BARRA DE SANTA ROSA</v>
          </cell>
        </row>
        <row r="298">
          <cell r="A298" t="str">
            <v>RONNEY MEIRA</v>
          </cell>
          <cell r="B298" t="str">
            <v>Casado</v>
          </cell>
          <cell r="C298" t="str">
            <v>R Azuil Loureiro</v>
          </cell>
          <cell r="D298" t="str">
            <v>Vila Santa Rosa</v>
          </cell>
          <cell r="E298" t="str">
            <v>GUARUJA</v>
          </cell>
          <cell r="F298" t="str">
            <v>SP</v>
          </cell>
          <cell r="G298" t="str">
            <v>938</v>
          </cell>
          <cell r="H298" t="str">
            <v>CA 2</v>
          </cell>
          <cell r="I298" t="str">
            <v>11430-110</v>
          </cell>
          <cell r="J298" t="str">
            <v>974041472</v>
          </cell>
          <cell r="K298" t="str">
            <v/>
          </cell>
          <cell r="L298" t="str">
            <v>Masculino</v>
          </cell>
          <cell r="M298" t="str">
            <v>Parda</v>
          </cell>
          <cell r="N298">
            <v>24682</v>
          </cell>
          <cell r="O298" t="str">
            <v>193789255</v>
          </cell>
          <cell r="P298" t="str">
            <v>SP</v>
          </cell>
          <cell r="Q298" t="str">
            <v>SSP</v>
          </cell>
          <cell r="R298" t="str">
            <v>SANTOS</v>
          </cell>
        </row>
        <row r="299">
          <cell r="A299" t="str">
            <v>MARCOS SOSA COIMBRA</v>
          </cell>
          <cell r="B299" t="str">
            <v>Solteiro</v>
          </cell>
          <cell r="C299" t="str">
            <v>R Robert Sandall</v>
          </cell>
          <cell r="D299" t="str">
            <v>Ponta da Praia</v>
          </cell>
          <cell r="E299" t="str">
            <v>SANTOS</v>
          </cell>
          <cell r="F299" t="str">
            <v>SP</v>
          </cell>
          <cell r="G299" t="str">
            <v>52</v>
          </cell>
          <cell r="H299" t="str">
            <v>Apt 47</v>
          </cell>
          <cell r="I299" t="str">
            <v>11030-530</v>
          </cell>
          <cell r="J299" t="str">
            <v>997749455</v>
          </cell>
          <cell r="K299" t="str">
            <v/>
          </cell>
          <cell r="L299" t="str">
            <v>Masculino</v>
          </cell>
          <cell r="M299" t="str">
            <v>Parda</v>
          </cell>
          <cell r="N299">
            <v>31905</v>
          </cell>
          <cell r="O299" t="str">
            <v>219770450</v>
          </cell>
          <cell r="P299" t="str">
            <v>MG</v>
          </cell>
          <cell r="Q299" t="str">
            <v>SPMG</v>
          </cell>
          <cell r="R299" t="str">
            <v>LAVRAS</v>
          </cell>
        </row>
        <row r="300">
          <cell r="A300" t="str">
            <v>DEYVIS SILVA DE ARAUJO</v>
          </cell>
          <cell r="B300" t="str">
            <v>Casado</v>
          </cell>
          <cell r="C300" t="str">
            <v>R Nelson Horácio Conceição</v>
          </cell>
          <cell r="D300" t="str">
            <v>Jardim Las Palmas</v>
          </cell>
          <cell r="E300" t="str">
            <v>GUARUJA</v>
          </cell>
          <cell r="F300" t="str">
            <v>SP</v>
          </cell>
          <cell r="G300" t="str">
            <v>331</v>
          </cell>
          <cell r="H300" t="str">
            <v>Casa 34</v>
          </cell>
          <cell r="I300" t="str">
            <v>11420-500</v>
          </cell>
          <cell r="J300" t="str">
            <v>33265714</v>
          </cell>
          <cell r="K300" t="str">
            <v/>
          </cell>
          <cell r="L300" t="str">
            <v>Masculino</v>
          </cell>
          <cell r="M300" t="str">
            <v>Parda</v>
          </cell>
          <cell r="N300">
            <v>30845</v>
          </cell>
          <cell r="O300" t="str">
            <v>1291001861</v>
          </cell>
          <cell r="P300" t="str">
            <v>RJ</v>
          </cell>
          <cell r="Q300" t="str">
            <v>SSP</v>
          </cell>
          <cell r="R300" t="str">
            <v>RIO DE JANEIRO</v>
          </cell>
        </row>
        <row r="301">
          <cell r="A301" t="str">
            <v>MARLON IOVANOVICHI BORGES</v>
          </cell>
          <cell r="B301" t="str">
            <v>Casado</v>
          </cell>
          <cell r="C301" t="str">
            <v>R Alexandre Martins</v>
          </cell>
          <cell r="D301" t="str">
            <v>Aparecida</v>
          </cell>
          <cell r="E301" t="str">
            <v>SANTOS</v>
          </cell>
          <cell r="F301" t="str">
            <v>SP</v>
          </cell>
          <cell r="G301" t="str">
            <v>25</v>
          </cell>
          <cell r="H301" t="str">
            <v>Ap22</v>
          </cell>
          <cell r="I301" t="str">
            <v>11025-201</v>
          </cell>
          <cell r="J301" t="str">
            <v>981093127</v>
          </cell>
          <cell r="K301" t="str">
            <v>981521230</v>
          </cell>
          <cell r="L301" t="str">
            <v>Masculino</v>
          </cell>
          <cell r="M301" t="str">
            <v>Parda</v>
          </cell>
          <cell r="N301">
            <v>26040</v>
          </cell>
          <cell r="O301" t="str">
            <v>58431152</v>
          </cell>
          <cell r="P301" t="str">
            <v>SP</v>
          </cell>
          <cell r="Q301" t="str">
            <v>SSP</v>
          </cell>
          <cell r="R301" t="str">
            <v>RIO GRANDE</v>
          </cell>
        </row>
        <row r="302">
          <cell r="A302" t="str">
            <v>RENATO DA SILVA DE LIMA</v>
          </cell>
          <cell r="B302" t="str">
            <v>Casado</v>
          </cell>
          <cell r="C302" t="str">
            <v>R AZUIL LOUREIRO</v>
          </cell>
          <cell r="D302" t="str">
            <v>Vila Santa Rosa</v>
          </cell>
          <cell r="E302" t="str">
            <v>GUARUJA</v>
          </cell>
          <cell r="F302" t="str">
            <v>SP</v>
          </cell>
          <cell r="G302" t="str">
            <v>871</v>
          </cell>
          <cell r="H302" t="str">
            <v/>
          </cell>
          <cell r="I302" t="str">
            <v>11430-110</v>
          </cell>
          <cell r="J302" t="str">
            <v>988552846</v>
          </cell>
          <cell r="K302" t="str">
            <v/>
          </cell>
          <cell r="L302" t="str">
            <v>Masculino</v>
          </cell>
          <cell r="M302" t="str">
            <v>Parda</v>
          </cell>
          <cell r="N302">
            <v>29704</v>
          </cell>
          <cell r="O302" t="str">
            <v>121362586</v>
          </cell>
          <cell r="P302" t="str">
            <v>RJ</v>
          </cell>
          <cell r="Q302" t="str">
            <v>SSP</v>
          </cell>
          <cell r="R302" t="str">
            <v>RIO DE JANEIRO</v>
          </cell>
        </row>
        <row r="303">
          <cell r="A303" t="str">
            <v>MARCOS FERNANDO PEREIRA DE CARVALHO</v>
          </cell>
          <cell r="B303" t="str">
            <v>Casado</v>
          </cell>
          <cell r="C303" t="str">
            <v>R Júlio Conceição</v>
          </cell>
          <cell r="D303" t="str">
            <v>Vila Mathias</v>
          </cell>
          <cell r="E303" t="str">
            <v>SANTOS</v>
          </cell>
          <cell r="F303" t="str">
            <v>SP</v>
          </cell>
          <cell r="G303" t="str">
            <v>174</v>
          </cell>
          <cell r="H303" t="str">
            <v>AP 1</v>
          </cell>
          <cell r="I303" t="str">
            <v>11015-540</v>
          </cell>
          <cell r="J303" t="str">
            <v>33226106</v>
          </cell>
          <cell r="K303" t="str">
            <v/>
          </cell>
          <cell r="L303" t="str">
            <v>Masculino</v>
          </cell>
          <cell r="M303" t="str">
            <v>Parda</v>
          </cell>
          <cell r="N303">
            <v>22923</v>
          </cell>
          <cell r="O303" t="str">
            <v>135483219</v>
          </cell>
          <cell r="P303" t="str">
            <v>SP</v>
          </cell>
          <cell r="Q303" t="str">
            <v>SSP</v>
          </cell>
          <cell r="R303" t="str">
            <v>PANORAMA</v>
          </cell>
        </row>
        <row r="304">
          <cell r="A304" t="str">
            <v>ANDRE HENRIQUE DOS SANTOS RIBEIRO</v>
          </cell>
          <cell r="B304" t="str">
            <v>Solteiro</v>
          </cell>
          <cell r="C304" t="str">
            <v>R Professor Francisco De Domênico</v>
          </cell>
          <cell r="D304" t="str">
            <v>Rádio Clube</v>
          </cell>
          <cell r="E304" t="str">
            <v>SANTOS</v>
          </cell>
          <cell r="F304" t="str">
            <v>SP</v>
          </cell>
          <cell r="G304" t="str">
            <v>615</v>
          </cell>
          <cell r="H304" t="str">
            <v/>
          </cell>
          <cell r="I304" t="str">
            <v>11086-001</v>
          </cell>
          <cell r="J304" t="str">
            <v>32036659</v>
          </cell>
          <cell r="K304" t="str">
            <v>974050832</v>
          </cell>
          <cell r="L304" t="str">
            <v>Masculino</v>
          </cell>
          <cell r="M304" t="str">
            <v>Parda</v>
          </cell>
          <cell r="N304">
            <v>29412</v>
          </cell>
          <cell r="O304" t="str">
            <v>340247216</v>
          </cell>
          <cell r="P304" t="str">
            <v>SP</v>
          </cell>
          <cell r="Q304" t="str">
            <v>SSP</v>
          </cell>
          <cell r="R304" t="str">
            <v>SANTOS</v>
          </cell>
        </row>
        <row r="305">
          <cell r="A305" t="str">
            <v>DIEGO HENRIQUE DE SOUZA CUNHA</v>
          </cell>
          <cell r="B305" t="str">
            <v>Solteiro</v>
          </cell>
          <cell r="C305" t="str">
            <v>R Emílio Ribas</v>
          </cell>
          <cell r="D305" t="str">
            <v>Vila Mathias</v>
          </cell>
          <cell r="E305" t="str">
            <v>SANTOS</v>
          </cell>
          <cell r="F305" t="str">
            <v>SP</v>
          </cell>
          <cell r="G305" t="str">
            <v>94</v>
          </cell>
          <cell r="H305" t="str">
            <v>TP B AP 186</v>
          </cell>
          <cell r="I305" t="str">
            <v>11015-070</v>
          </cell>
          <cell r="J305" t="str">
            <v>974177078</v>
          </cell>
          <cell r="K305" t="str">
            <v/>
          </cell>
          <cell r="L305" t="str">
            <v>Masculino</v>
          </cell>
          <cell r="M305" t="str">
            <v>Parda</v>
          </cell>
          <cell r="N305">
            <v>29250</v>
          </cell>
          <cell r="O305" t="str">
            <v>285343671</v>
          </cell>
          <cell r="P305" t="str">
            <v>SP</v>
          </cell>
          <cell r="Q305" t="str">
            <v>SSP</v>
          </cell>
          <cell r="R305" t="str">
            <v>SANTOS</v>
          </cell>
        </row>
        <row r="306">
          <cell r="A306" t="str">
            <v>DIEGO AYALA RODRIGUES</v>
          </cell>
          <cell r="B306" t="str">
            <v>Casado</v>
          </cell>
          <cell r="C306" t="str">
            <v>AV Marechal Mallet</v>
          </cell>
          <cell r="D306" t="str">
            <v>Canto do Forte</v>
          </cell>
          <cell r="E306" t="str">
            <v>PRAIA GRANDE</v>
          </cell>
          <cell r="F306" t="str">
            <v>SP</v>
          </cell>
          <cell r="G306" t="str">
            <v>208</v>
          </cell>
          <cell r="H306" t="str">
            <v>ap 15</v>
          </cell>
          <cell r="I306" t="str">
            <v>11700-405</v>
          </cell>
          <cell r="J306" t="str">
            <v>997052283</v>
          </cell>
          <cell r="K306" t="str">
            <v/>
          </cell>
          <cell r="L306" t="str">
            <v>Masculino</v>
          </cell>
          <cell r="M306" t="str">
            <v>Parda</v>
          </cell>
          <cell r="N306">
            <v>29696</v>
          </cell>
          <cell r="O306" t="str">
            <v>1074500041</v>
          </cell>
          <cell r="P306" t="str">
            <v>RS</v>
          </cell>
          <cell r="Q306" t="str">
            <v>SPRS</v>
          </cell>
          <cell r="R306" t="str">
            <v>RIO GRANDE</v>
          </cell>
        </row>
        <row r="307">
          <cell r="A307" t="str">
            <v>SANDRO LUIZ FERREIRA</v>
          </cell>
          <cell r="B307" t="str">
            <v>Casado</v>
          </cell>
          <cell r="C307" t="str">
            <v>AV DR Haroldo de Camargo</v>
          </cell>
          <cell r="D307" t="str">
            <v>Castelo</v>
          </cell>
          <cell r="E307" t="str">
            <v>SANTOS</v>
          </cell>
          <cell r="F307" t="str">
            <v>SP</v>
          </cell>
          <cell r="G307" t="str">
            <v>60</v>
          </cell>
          <cell r="H307" t="str">
            <v>AP 146 BL C</v>
          </cell>
          <cell r="I307" t="str">
            <v>11087-500</v>
          </cell>
          <cell r="J307" t="str">
            <v>997811145</v>
          </cell>
          <cell r="K307" t="str">
            <v/>
          </cell>
          <cell r="L307" t="str">
            <v>Masculino</v>
          </cell>
          <cell r="M307" t="str">
            <v>Parda</v>
          </cell>
          <cell r="N307">
            <v>25973</v>
          </cell>
          <cell r="O307" t="str">
            <v>225434337</v>
          </cell>
          <cell r="P307" t="str">
            <v>SP</v>
          </cell>
          <cell r="Q307" t="str">
            <v>SP</v>
          </cell>
          <cell r="R307" t="str">
            <v>SANTOS</v>
          </cell>
        </row>
        <row r="308">
          <cell r="A308" t="str">
            <v>DECIO SILVA DE OLIVEIRA</v>
          </cell>
          <cell r="B308" t="str">
            <v>Solteiro</v>
          </cell>
          <cell r="C308" t="str">
            <v>R Monsenhor João Martins Ladeira</v>
          </cell>
          <cell r="D308" t="str">
            <v>Chico de Paula</v>
          </cell>
          <cell r="E308" t="str">
            <v>SANTOS</v>
          </cell>
          <cell r="F308" t="str">
            <v>SP</v>
          </cell>
          <cell r="G308" t="str">
            <v>107</v>
          </cell>
          <cell r="H308" t="str">
            <v/>
          </cell>
          <cell r="I308" t="str">
            <v>11085-360</v>
          </cell>
          <cell r="J308" t="str">
            <v>974101386</v>
          </cell>
          <cell r="K308" t="str">
            <v>32962326</v>
          </cell>
          <cell r="L308" t="str">
            <v>Masculino</v>
          </cell>
          <cell r="M308" t="str">
            <v>Parda</v>
          </cell>
          <cell r="N308">
            <v>31158</v>
          </cell>
          <cell r="O308" t="str">
            <v>330846656</v>
          </cell>
          <cell r="P308" t="str">
            <v>SP</v>
          </cell>
          <cell r="Q308" t="str">
            <v>SSP</v>
          </cell>
          <cell r="R308" t="str">
            <v>SANTOS</v>
          </cell>
        </row>
        <row r="309">
          <cell r="A309" t="str">
            <v>PERIGLES ALVES SENA JUNIOR</v>
          </cell>
          <cell r="B309" t="str">
            <v>Casado</v>
          </cell>
          <cell r="C309" t="str">
            <v>R VIVALDO DE ALMEIDA NERY</v>
          </cell>
          <cell r="D309" t="str">
            <v>Saboo</v>
          </cell>
          <cell r="E309" t="str">
            <v>SANTOS</v>
          </cell>
          <cell r="F309" t="str">
            <v>SP</v>
          </cell>
          <cell r="G309" t="str">
            <v>76</v>
          </cell>
          <cell r="H309" t="str">
            <v/>
          </cell>
          <cell r="I309" t="str">
            <v>11085-090</v>
          </cell>
          <cell r="J309" t="str">
            <v>974077025</v>
          </cell>
          <cell r="K309" t="str">
            <v/>
          </cell>
          <cell r="L309" t="str">
            <v>Masculino</v>
          </cell>
          <cell r="M309" t="str">
            <v>Parda</v>
          </cell>
          <cell r="N309">
            <v>27995</v>
          </cell>
          <cell r="O309" t="str">
            <v>256174982</v>
          </cell>
          <cell r="P309" t="str">
            <v>SP</v>
          </cell>
          <cell r="Q309" t="str">
            <v>SSP</v>
          </cell>
          <cell r="R309" t="str">
            <v>SANTOS</v>
          </cell>
        </row>
        <row r="310">
          <cell r="A310" t="str">
            <v>CARLOS ANDRE JESUS DE LIMA</v>
          </cell>
          <cell r="B310" t="str">
            <v>Casado</v>
          </cell>
          <cell r="C310" t="str">
            <v>R VISCONDE CAYRU</v>
          </cell>
          <cell r="D310" t="str">
            <v>Campo Grande</v>
          </cell>
          <cell r="E310" t="str">
            <v>SANTOS</v>
          </cell>
          <cell r="F310" t="str">
            <v>SP</v>
          </cell>
          <cell r="G310" t="str">
            <v>87</v>
          </cell>
          <cell r="H310" t="str">
            <v>AP 21</v>
          </cell>
          <cell r="I310" t="str">
            <v>11075-700</v>
          </cell>
          <cell r="J310" t="str">
            <v/>
          </cell>
          <cell r="K310" t="str">
            <v/>
          </cell>
          <cell r="L310" t="str">
            <v>Masculino</v>
          </cell>
          <cell r="M310" t="str">
            <v>Parda</v>
          </cell>
          <cell r="N310">
            <v>26404</v>
          </cell>
          <cell r="O310" t="str">
            <v>215840483</v>
          </cell>
          <cell r="P310" t="str">
            <v>SP</v>
          </cell>
          <cell r="Q310" t="str">
            <v>SPSP</v>
          </cell>
          <cell r="R310" t="str">
            <v>SANTOS</v>
          </cell>
        </row>
        <row r="311">
          <cell r="A311" t="str">
            <v>LUIZ CARLOS GALAGGI</v>
          </cell>
          <cell r="B311" t="str">
            <v>Casado</v>
          </cell>
          <cell r="C311" t="str">
            <v>R LUIZ DE MATTOS</v>
          </cell>
          <cell r="D311" t="str">
            <v>Estuario</v>
          </cell>
          <cell r="E311" t="str">
            <v>SANTOS</v>
          </cell>
          <cell r="F311" t="str">
            <v>SP</v>
          </cell>
          <cell r="G311" t="str">
            <v>46</v>
          </cell>
          <cell r="H311" t="str">
            <v/>
          </cell>
          <cell r="I311" t="str">
            <v>11020-330</v>
          </cell>
          <cell r="J311" t="str">
            <v>988246788</v>
          </cell>
          <cell r="K311" t="str">
            <v/>
          </cell>
          <cell r="L311" t="str">
            <v>Masculino</v>
          </cell>
          <cell r="M311" t="str">
            <v>Parda</v>
          </cell>
          <cell r="N311">
            <v>24600</v>
          </cell>
          <cell r="O311" t="str">
            <v>18810802</v>
          </cell>
          <cell r="P311" t="str">
            <v>SP</v>
          </cell>
          <cell r="Q311" t="str">
            <v>SSP</v>
          </cell>
          <cell r="R311" t="str">
            <v>SANTOS</v>
          </cell>
        </row>
        <row r="312">
          <cell r="A312" t="str">
            <v>JOSE TOMAZ DE AQUINO</v>
          </cell>
          <cell r="B312" t="str">
            <v>Casado</v>
          </cell>
          <cell r="C312" t="str">
            <v>R Progresso</v>
          </cell>
          <cell r="D312" t="str">
            <v>Sítio Paecara (Vicen</v>
          </cell>
          <cell r="E312" t="str">
            <v>GUARUJA</v>
          </cell>
          <cell r="F312" t="str">
            <v>SP</v>
          </cell>
          <cell r="G312" t="str">
            <v>59</v>
          </cell>
          <cell r="H312" t="str">
            <v/>
          </cell>
          <cell r="I312" t="str">
            <v>11451-400</v>
          </cell>
          <cell r="J312" t="str">
            <v>33416659</v>
          </cell>
          <cell r="K312" t="str">
            <v/>
          </cell>
          <cell r="L312" t="str">
            <v>Masculino</v>
          </cell>
          <cell r="M312" t="str">
            <v>Parda</v>
          </cell>
          <cell r="N312">
            <v>27704</v>
          </cell>
          <cell r="O312" t="str">
            <v>243248489</v>
          </cell>
          <cell r="P312" t="str">
            <v>SP</v>
          </cell>
          <cell r="Q312" t="str">
            <v>SSP</v>
          </cell>
          <cell r="R312" t="str">
            <v>CANOAS</v>
          </cell>
        </row>
        <row r="313">
          <cell r="A313" t="str">
            <v>ORTENIZ ANTONIO HIPOLITO</v>
          </cell>
          <cell r="B313" t="str">
            <v>Casado</v>
          </cell>
          <cell r="C313" t="str">
            <v>R VITORIA</v>
          </cell>
          <cell r="D313" t="str">
            <v>Jardim Irmã Dolores</v>
          </cell>
          <cell r="E313" t="str">
            <v>SAO VICENTE</v>
          </cell>
          <cell r="F313" t="str">
            <v>SP</v>
          </cell>
          <cell r="G313" t="str">
            <v>765</v>
          </cell>
          <cell r="H313" t="str">
            <v/>
          </cell>
          <cell r="I313" t="str">
            <v>11347-560</v>
          </cell>
          <cell r="J313" t="str">
            <v>988066085</v>
          </cell>
          <cell r="K313" t="str">
            <v/>
          </cell>
          <cell r="L313" t="str">
            <v>Masculino</v>
          </cell>
          <cell r="M313" t="str">
            <v>Parda</v>
          </cell>
          <cell r="N313">
            <v>25635</v>
          </cell>
          <cell r="O313" t="str">
            <v>292862404</v>
          </cell>
          <cell r="P313" t="str">
            <v>SP</v>
          </cell>
          <cell r="Q313" t="str">
            <v>SSP</v>
          </cell>
          <cell r="R313" t="str">
            <v>SAO VICENTE</v>
          </cell>
        </row>
        <row r="314">
          <cell r="A314" t="str">
            <v>ANDERSON DOS SANTOS BRAGA</v>
          </cell>
          <cell r="B314" t="str">
            <v>Solteiro</v>
          </cell>
          <cell r="C314" t="str">
            <v>R Godofredo Fraga</v>
          </cell>
          <cell r="D314" t="str">
            <v>Marapé</v>
          </cell>
          <cell r="E314" t="str">
            <v>SANTOS</v>
          </cell>
          <cell r="F314" t="str">
            <v>SP</v>
          </cell>
          <cell r="G314" t="str">
            <v>10</v>
          </cell>
          <cell r="H314" t="str">
            <v>176 torre Tulipa</v>
          </cell>
          <cell r="I314" t="str">
            <v>11070-400</v>
          </cell>
          <cell r="J314" t="str">
            <v>33233363</v>
          </cell>
          <cell r="K314" t="str">
            <v/>
          </cell>
          <cell r="L314" t="str">
            <v>Masculino</v>
          </cell>
          <cell r="M314" t="str">
            <v>Parda</v>
          </cell>
          <cell r="N314">
            <v>32204</v>
          </cell>
          <cell r="O314" t="str">
            <v>435784699</v>
          </cell>
          <cell r="P314" t="str">
            <v>SP</v>
          </cell>
          <cell r="Q314" t="str">
            <v>SSP</v>
          </cell>
          <cell r="R314" t="str">
            <v>SANTOS</v>
          </cell>
        </row>
        <row r="315">
          <cell r="A315" t="str">
            <v>THIAGO MOREIRA QUEIROZ</v>
          </cell>
          <cell r="B315" t="str">
            <v>Casado</v>
          </cell>
          <cell r="C315" t="str">
            <v>R Papa João XXIII</v>
          </cell>
          <cell r="D315" t="str">
            <v>Japuí</v>
          </cell>
          <cell r="E315" t="str">
            <v>SAO VICENTE</v>
          </cell>
          <cell r="F315" t="str">
            <v>SP</v>
          </cell>
          <cell r="G315" t="str">
            <v>341</v>
          </cell>
          <cell r="H315" t="str">
            <v>Casa 3</v>
          </cell>
          <cell r="I315" t="str">
            <v>11325-040</v>
          </cell>
          <cell r="J315" t="str">
            <v>974041221</v>
          </cell>
          <cell r="K315" t="str">
            <v/>
          </cell>
          <cell r="L315" t="str">
            <v>Masculino</v>
          </cell>
          <cell r="M315" t="str">
            <v>Parda</v>
          </cell>
          <cell r="N315">
            <v>34057</v>
          </cell>
          <cell r="O315" t="str">
            <v>257819995</v>
          </cell>
          <cell r="P315" t="str">
            <v>RJ</v>
          </cell>
          <cell r="Q315" t="str">
            <v>SECC</v>
          </cell>
          <cell r="R315" t="str">
            <v>RIO DE JANEIRO</v>
          </cell>
        </row>
        <row r="316">
          <cell r="A316" t="str">
            <v>FRANCISCO SEBASTIÃO DO CARMO</v>
          </cell>
          <cell r="B316" t="str">
            <v>Casado</v>
          </cell>
          <cell r="C316" t="str">
            <v>R BIRIGUI</v>
          </cell>
          <cell r="D316" t="str">
            <v>Vila Aurea</v>
          </cell>
          <cell r="E316" t="str">
            <v>GUARUJA</v>
          </cell>
          <cell r="F316" t="str">
            <v>SP</v>
          </cell>
          <cell r="G316" t="str">
            <v>98</v>
          </cell>
          <cell r="H316" t="str">
            <v>Alto</v>
          </cell>
          <cell r="I316" t="str">
            <v>11454-340</v>
          </cell>
          <cell r="J316" t="str">
            <v>991599791</v>
          </cell>
          <cell r="K316" t="str">
            <v/>
          </cell>
          <cell r="L316" t="str">
            <v>Masculino</v>
          </cell>
          <cell r="M316" t="str">
            <v>Parda</v>
          </cell>
          <cell r="N316">
            <v>24374</v>
          </cell>
          <cell r="O316" t="str">
            <v>176012473</v>
          </cell>
          <cell r="P316" t="str">
            <v>SP</v>
          </cell>
          <cell r="Q316" t="str">
            <v>SSP</v>
          </cell>
          <cell r="R316" t="str">
            <v>IGUATU</v>
          </cell>
        </row>
        <row r="317">
          <cell r="A317" t="str">
            <v>EDUARDO AMERICO REIS</v>
          </cell>
          <cell r="B317" t="str">
            <v>Casado</v>
          </cell>
          <cell r="C317" t="str">
            <v>R Doutor Marcos Vendramini</v>
          </cell>
          <cell r="D317" t="str">
            <v>Castelo</v>
          </cell>
          <cell r="E317" t="str">
            <v>SANTOS</v>
          </cell>
          <cell r="F317" t="str">
            <v>SP</v>
          </cell>
          <cell r="G317" t="str">
            <v>145</v>
          </cell>
          <cell r="H317" t="str">
            <v/>
          </cell>
          <cell r="I317" t="str">
            <v>11087-320</v>
          </cell>
          <cell r="J317" t="str">
            <v>991925713</v>
          </cell>
          <cell r="K317" t="str">
            <v>32998970</v>
          </cell>
          <cell r="L317" t="str">
            <v>Masculino</v>
          </cell>
          <cell r="M317" t="str">
            <v>Parda</v>
          </cell>
          <cell r="N317">
            <v>24199</v>
          </cell>
          <cell r="O317" t="str">
            <v>187387862</v>
          </cell>
          <cell r="P317" t="str">
            <v>SP</v>
          </cell>
          <cell r="Q317" t="str">
            <v>SSP</v>
          </cell>
          <cell r="R317" t="str">
            <v>SANTOS</v>
          </cell>
        </row>
        <row r="318">
          <cell r="A318" t="str">
            <v>RONALDO GASPAR</v>
          </cell>
          <cell r="B318" t="str">
            <v>Casado</v>
          </cell>
          <cell r="C318" t="str">
            <v>R Josefa de Almeida Galindo</v>
          </cell>
          <cell r="D318" t="str">
            <v>Jardim Las Palmas</v>
          </cell>
          <cell r="E318" t="str">
            <v>GUARUJA</v>
          </cell>
          <cell r="F318" t="str">
            <v>SP</v>
          </cell>
          <cell r="G318" t="str">
            <v>19</v>
          </cell>
          <cell r="H318" t="str">
            <v/>
          </cell>
          <cell r="I318" t="str">
            <v>11420-460</v>
          </cell>
          <cell r="J318" t="str">
            <v>988216197</v>
          </cell>
          <cell r="K318" t="str">
            <v>991388803</v>
          </cell>
          <cell r="L318" t="str">
            <v>Masculino</v>
          </cell>
          <cell r="M318" t="str">
            <v>Parda</v>
          </cell>
          <cell r="N318">
            <v>25532</v>
          </cell>
          <cell r="O318" t="str">
            <v>201320460</v>
          </cell>
          <cell r="P318" t="str">
            <v>SP</v>
          </cell>
          <cell r="Q318" t="str">
            <v>SSP</v>
          </cell>
          <cell r="R318" t="str">
            <v>SANTOS</v>
          </cell>
        </row>
        <row r="319">
          <cell r="A319" t="str">
            <v>LEONARDO ESCOBAR DOS SANTOS</v>
          </cell>
          <cell r="B319" t="str">
            <v>Casado</v>
          </cell>
          <cell r="C319" t="str">
            <v>AV Jorge Hagge</v>
          </cell>
          <cell r="D319" t="str">
            <v>Aviação</v>
          </cell>
          <cell r="E319" t="str">
            <v>PRAIA GRANDE</v>
          </cell>
          <cell r="F319" t="str">
            <v>SP</v>
          </cell>
          <cell r="G319" t="str">
            <v>261</v>
          </cell>
          <cell r="H319" t="str">
            <v>33</v>
          </cell>
          <cell r="I319" t="str">
            <v>11072-390</v>
          </cell>
          <cell r="J319" t="str">
            <v>981354936</v>
          </cell>
          <cell r="K319" t="str">
            <v/>
          </cell>
          <cell r="L319" t="str">
            <v>Masculino</v>
          </cell>
          <cell r="M319" t="str">
            <v>Parda</v>
          </cell>
          <cell r="N319">
            <v>29230</v>
          </cell>
          <cell r="O319" t="str">
            <v>294070291</v>
          </cell>
          <cell r="P319" t="str">
            <v>SP</v>
          </cell>
          <cell r="Q319" t="str">
            <v>SSP</v>
          </cell>
          <cell r="R319" t="str">
            <v>SANTOS</v>
          </cell>
        </row>
        <row r="320">
          <cell r="A320" t="str">
            <v>EDMIR NUNES DE BRITO</v>
          </cell>
          <cell r="B320" t="str">
            <v>Casado</v>
          </cell>
          <cell r="C320" t="str">
            <v>R Frei Francisco Sampaio</v>
          </cell>
          <cell r="D320" t="str">
            <v>Embare</v>
          </cell>
          <cell r="E320" t="str">
            <v>SANTOS</v>
          </cell>
          <cell r="F320" t="str">
            <v>SP</v>
          </cell>
          <cell r="G320" t="str">
            <v>113</v>
          </cell>
          <cell r="H320" t="str">
            <v>TRAVESSA A CASA 10</v>
          </cell>
          <cell r="I320" t="str">
            <v>11040-220</v>
          </cell>
          <cell r="J320" t="str">
            <v>974035222</v>
          </cell>
          <cell r="K320" t="str">
            <v>33249202</v>
          </cell>
          <cell r="L320" t="str">
            <v>Masculino</v>
          </cell>
          <cell r="M320" t="str">
            <v>Parda</v>
          </cell>
          <cell r="N320">
            <v>25248</v>
          </cell>
          <cell r="O320" t="str">
            <v>177510651</v>
          </cell>
          <cell r="P320" t="str">
            <v>SP</v>
          </cell>
          <cell r="Q320" t="str">
            <v>SSP</v>
          </cell>
          <cell r="R320" t="str">
            <v>SANTOS</v>
          </cell>
        </row>
        <row r="321">
          <cell r="A321" t="str">
            <v>ANTONIO HENRIQUE DE CARVALHO DAMY</v>
          </cell>
          <cell r="B321" t="str">
            <v>Casado</v>
          </cell>
          <cell r="C321" t="str">
            <v>R Oswaldo Cochrane</v>
          </cell>
          <cell r="D321" t="str">
            <v>Embare</v>
          </cell>
          <cell r="E321" t="str">
            <v>SANTOS</v>
          </cell>
          <cell r="F321" t="str">
            <v>SP</v>
          </cell>
          <cell r="G321" t="str">
            <v>146</v>
          </cell>
          <cell r="H321" t="str">
            <v>APTO 01</v>
          </cell>
          <cell r="I321" t="str">
            <v>11040-110</v>
          </cell>
          <cell r="J321" t="str">
            <v>30414458</v>
          </cell>
          <cell r="K321" t="str">
            <v/>
          </cell>
          <cell r="L321" t="str">
            <v>Masculino</v>
          </cell>
          <cell r="M321" t="str">
            <v>Parda</v>
          </cell>
          <cell r="N321">
            <v>26483</v>
          </cell>
          <cell r="O321" t="str">
            <v>221142290</v>
          </cell>
          <cell r="P321" t="str">
            <v>SP</v>
          </cell>
          <cell r="Q321" t="str">
            <v>SSP</v>
          </cell>
          <cell r="R321" t="str">
            <v>SANTOS</v>
          </cell>
        </row>
        <row r="322">
          <cell r="A322" t="str">
            <v>LUZIMAR VICENTE FERREIRA</v>
          </cell>
          <cell r="B322" t="str">
            <v>Casado</v>
          </cell>
          <cell r="C322" t="str">
            <v>AV Senador Feijó</v>
          </cell>
          <cell r="D322" t="str">
            <v>Encruzilhada</v>
          </cell>
          <cell r="E322" t="str">
            <v>SANTOS</v>
          </cell>
          <cell r="F322" t="str">
            <v>SP</v>
          </cell>
          <cell r="G322" t="str">
            <v>811</v>
          </cell>
          <cell r="H322" t="str">
            <v>APTO 41</v>
          </cell>
          <cell r="I322" t="str">
            <v>11050-300</v>
          </cell>
          <cell r="J322" t="str">
            <v>974074420</v>
          </cell>
          <cell r="K322" t="str">
            <v/>
          </cell>
          <cell r="L322" t="str">
            <v>Masculino</v>
          </cell>
          <cell r="M322" t="str">
            <v>Parda</v>
          </cell>
          <cell r="N322">
            <v>25706</v>
          </cell>
          <cell r="O322" t="str">
            <v>219363948</v>
          </cell>
          <cell r="P322" t="str">
            <v>SP</v>
          </cell>
          <cell r="Q322" t="str">
            <v>SSP</v>
          </cell>
          <cell r="R322" t="str">
            <v>ITAMBE</v>
          </cell>
        </row>
        <row r="323">
          <cell r="A323" t="str">
            <v>GENILSON FIDELIS</v>
          </cell>
          <cell r="B323" t="str">
            <v>Casado</v>
          </cell>
          <cell r="C323" t="str">
            <v>R Antônio da Silva Melo</v>
          </cell>
          <cell r="D323" t="str">
            <v>Santa Cruz dos Naveg</v>
          </cell>
          <cell r="E323" t="str">
            <v>GUARUJA</v>
          </cell>
          <cell r="F323" t="str">
            <v>SP</v>
          </cell>
          <cell r="G323" t="str">
            <v>355</v>
          </cell>
          <cell r="H323" t="str">
            <v>FUNDOS</v>
          </cell>
          <cell r="I323" t="str">
            <v>11425-180</v>
          </cell>
          <cell r="J323" t="str">
            <v>974032595</v>
          </cell>
          <cell r="K323" t="str">
            <v/>
          </cell>
          <cell r="L323" t="str">
            <v>Masculino</v>
          </cell>
          <cell r="M323" t="str">
            <v>Parda</v>
          </cell>
          <cell r="N323">
            <v>27752</v>
          </cell>
          <cell r="O323" t="str">
            <v>26736376</v>
          </cell>
          <cell r="P323" t="str">
            <v>SP</v>
          </cell>
          <cell r="Q323" t="str">
            <v>SSP</v>
          </cell>
          <cell r="R323" t="str">
            <v>ITAJAI</v>
          </cell>
        </row>
        <row r="324">
          <cell r="A324" t="str">
            <v>JOSE DE FARIAS DA SILVA</v>
          </cell>
          <cell r="B324" t="str">
            <v>Casado</v>
          </cell>
          <cell r="C324" t="str">
            <v>R Luís La Scala</v>
          </cell>
          <cell r="D324" t="str">
            <v>Vila Cascatinha</v>
          </cell>
          <cell r="E324" t="str">
            <v>SAO VICENTE</v>
          </cell>
          <cell r="F324" t="str">
            <v>SP</v>
          </cell>
          <cell r="G324" t="str">
            <v>98</v>
          </cell>
          <cell r="H324" t="str">
            <v>Casa 03</v>
          </cell>
          <cell r="I324" t="str">
            <v>11370-060</v>
          </cell>
          <cell r="J324" t="str">
            <v>974067922</v>
          </cell>
          <cell r="K324" t="str">
            <v/>
          </cell>
          <cell r="L324" t="str">
            <v>Masculino</v>
          </cell>
          <cell r="M324" t="str">
            <v>Parda</v>
          </cell>
          <cell r="N324">
            <v>28723</v>
          </cell>
          <cell r="O324" t="str">
            <v>298656668</v>
          </cell>
          <cell r="P324" t="str">
            <v>SP</v>
          </cell>
          <cell r="Q324" t="str">
            <v>SSP</v>
          </cell>
          <cell r="R324" t="str">
            <v>BOQUEIRAO</v>
          </cell>
        </row>
        <row r="325">
          <cell r="A325" t="str">
            <v>EDUARDO BATISTA CAMPOS</v>
          </cell>
          <cell r="B325" t="str">
            <v>Casado</v>
          </cell>
          <cell r="C325" t="str">
            <v>R BRAZ CUBAS</v>
          </cell>
          <cell r="D325" t="str">
            <v>Vila Nova</v>
          </cell>
          <cell r="E325" t="str">
            <v>SANTOS</v>
          </cell>
          <cell r="F325" t="str">
            <v>SP</v>
          </cell>
          <cell r="G325" t="str">
            <v>249</v>
          </cell>
          <cell r="H325" t="str">
            <v>APTO 2</v>
          </cell>
          <cell r="I325" t="str">
            <v>11013-163</v>
          </cell>
          <cell r="J325" t="str">
            <v>974075591</v>
          </cell>
          <cell r="K325" t="str">
            <v/>
          </cell>
          <cell r="L325" t="str">
            <v>Masculino</v>
          </cell>
          <cell r="M325" t="str">
            <v>Parda</v>
          </cell>
          <cell r="N325">
            <v>29585</v>
          </cell>
          <cell r="O325" t="str">
            <v>355766838</v>
          </cell>
          <cell r="P325" t="str">
            <v>SP</v>
          </cell>
          <cell r="Q325" t="str">
            <v>SSP</v>
          </cell>
          <cell r="R325" t="str">
            <v>MONTANHA</v>
          </cell>
        </row>
        <row r="326">
          <cell r="A326" t="str">
            <v>ANDRE PEREIRA VENANCIO MARTINS</v>
          </cell>
          <cell r="B326" t="str">
            <v>Casado</v>
          </cell>
          <cell r="C326" t="str">
            <v>AV Engenheiro Manuel Ferramenta Junior</v>
          </cell>
          <cell r="D326" t="str">
            <v>Areia Branca</v>
          </cell>
          <cell r="E326" t="str">
            <v>SANTOS</v>
          </cell>
          <cell r="F326" t="str">
            <v>SP</v>
          </cell>
          <cell r="G326" t="str">
            <v>363</v>
          </cell>
          <cell r="H326" t="str">
            <v>Apto 75 Bloco D</v>
          </cell>
          <cell r="I326" t="str">
            <v>11086-400</v>
          </cell>
          <cell r="J326" t="str">
            <v/>
          </cell>
          <cell r="K326" t="str">
            <v/>
          </cell>
          <cell r="L326" t="str">
            <v>Masculino</v>
          </cell>
          <cell r="M326" t="str">
            <v>Parda</v>
          </cell>
          <cell r="N326">
            <v>27992</v>
          </cell>
          <cell r="O326" t="str">
            <v>257600632</v>
          </cell>
          <cell r="P326" t="str">
            <v>SP</v>
          </cell>
          <cell r="Q326" t="str">
            <v>SSP</v>
          </cell>
          <cell r="R326" t="str">
            <v>SANTOS</v>
          </cell>
        </row>
        <row r="327">
          <cell r="A327" t="str">
            <v>GENILDO ALVES DE SOUZA</v>
          </cell>
          <cell r="B327" t="str">
            <v>Casado</v>
          </cell>
          <cell r="C327" t="str">
            <v>RES República do Equador</v>
          </cell>
          <cell r="D327" t="str">
            <v>Ponta da Praia</v>
          </cell>
          <cell r="E327" t="str">
            <v>SANTOS</v>
          </cell>
          <cell r="F327" t="str">
            <v>SP</v>
          </cell>
          <cell r="G327" t="str">
            <v>120</v>
          </cell>
          <cell r="H327" t="str">
            <v>Casa 21</v>
          </cell>
          <cell r="I327" t="str">
            <v>11030-151</v>
          </cell>
          <cell r="J327" t="str">
            <v>988074934</v>
          </cell>
          <cell r="K327" t="str">
            <v>996792413</v>
          </cell>
          <cell r="L327" t="str">
            <v>Masculino</v>
          </cell>
          <cell r="M327" t="str">
            <v>Parda</v>
          </cell>
          <cell r="N327">
            <v>28755</v>
          </cell>
          <cell r="O327" t="str">
            <v>544106453</v>
          </cell>
          <cell r="P327" t="str">
            <v>SP</v>
          </cell>
          <cell r="Q327" t="str">
            <v>SSP</v>
          </cell>
          <cell r="R327" t="str">
            <v>RIBEIRA DO POMBAL</v>
          </cell>
        </row>
        <row r="328">
          <cell r="A328" t="str">
            <v>REYNALDO XAVIER NOGUEIRA WIHBY</v>
          </cell>
          <cell r="B328" t="str">
            <v>Casado</v>
          </cell>
          <cell r="C328" t="str">
            <v>R Ubaldo Pinto</v>
          </cell>
          <cell r="D328" t="str">
            <v>Sítio do Campo</v>
          </cell>
          <cell r="E328" t="str">
            <v>PRAIA GRANDE</v>
          </cell>
          <cell r="F328" t="str">
            <v>SP</v>
          </cell>
          <cell r="G328" t="str">
            <v>50</v>
          </cell>
          <cell r="H328" t="str">
            <v>3</v>
          </cell>
          <cell r="I328" t="str">
            <v>11725-040</v>
          </cell>
          <cell r="J328" t="str">
            <v>991707958</v>
          </cell>
          <cell r="K328" t="str">
            <v/>
          </cell>
          <cell r="L328" t="str">
            <v>Masculino</v>
          </cell>
          <cell r="M328" t="str">
            <v>Parda</v>
          </cell>
          <cell r="N328">
            <v>30662</v>
          </cell>
          <cell r="O328" t="str">
            <v>444571590</v>
          </cell>
          <cell r="P328" t="str">
            <v>SP</v>
          </cell>
          <cell r="Q328" t="str">
            <v>SSP</v>
          </cell>
          <cell r="R328" t="str">
            <v>SANTOS</v>
          </cell>
        </row>
        <row r="329">
          <cell r="A329" t="str">
            <v>RICARDO ACAHU DA ROCHA</v>
          </cell>
          <cell r="B329" t="str">
            <v>Casado</v>
          </cell>
          <cell r="C329" t="str">
            <v>R JOSE CLEMENTE PEREIRA</v>
          </cell>
          <cell r="D329" t="str">
            <v>Campo Grande</v>
          </cell>
          <cell r="E329" t="str">
            <v>SANTOS</v>
          </cell>
          <cell r="F329" t="str">
            <v>SP</v>
          </cell>
          <cell r="G329" t="str">
            <v>31</v>
          </cell>
          <cell r="H329" t="str">
            <v>APTO 44</v>
          </cell>
          <cell r="I329" t="str">
            <v>11070-901</v>
          </cell>
          <cell r="J329" t="str">
            <v>32517166</v>
          </cell>
          <cell r="K329" t="str">
            <v>974169115</v>
          </cell>
          <cell r="L329" t="str">
            <v>Masculino</v>
          </cell>
          <cell r="M329" t="str">
            <v>Parda</v>
          </cell>
          <cell r="N329">
            <v>26132</v>
          </cell>
          <cell r="O329" t="str">
            <v>198999987</v>
          </cell>
          <cell r="P329" t="str">
            <v>SP</v>
          </cell>
          <cell r="Q329" t="str">
            <v>SSP</v>
          </cell>
          <cell r="R329" t="str">
            <v>SANTOS</v>
          </cell>
        </row>
        <row r="330">
          <cell r="A330" t="str">
            <v>ROBERT ADRIANO DOS SANTOS</v>
          </cell>
          <cell r="B330" t="str">
            <v>Casado</v>
          </cell>
          <cell r="C330" t="str">
            <v>AV Senador Azevedo Júnior</v>
          </cell>
          <cell r="D330" t="str">
            <v>Sitio do Campo</v>
          </cell>
          <cell r="E330" t="str">
            <v>PRAIA GRANDE</v>
          </cell>
          <cell r="F330" t="str">
            <v>SP</v>
          </cell>
          <cell r="G330" t="str">
            <v>286</v>
          </cell>
          <cell r="H330" t="str">
            <v>Q42L24 CS6</v>
          </cell>
          <cell r="I330" t="str">
            <v>11725-030</v>
          </cell>
          <cell r="J330" t="str">
            <v>991291008</v>
          </cell>
          <cell r="K330" t="str">
            <v/>
          </cell>
          <cell r="L330" t="str">
            <v>Masculino</v>
          </cell>
          <cell r="M330" t="str">
            <v>Parda</v>
          </cell>
          <cell r="N330">
            <v>25959</v>
          </cell>
          <cell r="O330" t="str">
            <v>236694637</v>
          </cell>
          <cell r="P330" t="str">
            <v>SP</v>
          </cell>
          <cell r="Q330" t="str">
            <v>SSP</v>
          </cell>
          <cell r="R330" t="str">
            <v>SANTOS</v>
          </cell>
        </row>
        <row r="331">
          <cell r="A331" t="str">
            <v>RODRIGO ROSARIO DE MELO</v>
          </cell>
          <cell r="B331" t="str">
            <v>Divorciado</v>
          </cell>
          <cell r="C331" t="str">
            <v>R Carlos Gomes</v>
          </cell>
          <cell r="D331" t="str">
            <v>Jardim Casqueiro</v>
          </cell>
          <cell r="E331" t="str">
            <v>CUBATAO</v>
          </cell>
          <cell r="F331" t="str">
            <v>SP</v>
          </cell>
          <cell r="G331" t="str">
            <v>428</v>
          </cell>
          <cell r="H331" t="str">
            <v/>
          </cell>
          <cell r="I331" t="str">
            <v>11530-000</v>
          </cell>
          <cell r="J331" t="str">
            <v>33719569</v>
          </cell>
          <cell r="K331" t="str">
            <v/>
          </cell>
          <cell r="L331" t="str">
            <v>Masculino</v>
          </cell>
          <cell r="M331" t="str">
            <v>Parda</v>
          </cell>
          <cell r="N331">
            <v>31923</v>
          </cell>
          <cell r="O331" t="str">
            <v>118501352</v>
          </cell>
          <cell r="P331" t="str">
            <v>RJ</v>
          </cell>
          <cell r="Q331" t="str">
            <v>SRJ</v>
          </cell>
          <cell r="R331" t="str">
            <v>RIO DE JANEIRO</v>
          </cell>
        </row>
        <row r="332">
          <cell r="A332" t="str">
            <v>DANILO DE MATOS SANTOS</v>
          </cell>
          <cell r="B332" t="str">
            <v>Casado</v>
          </cell>
          <cell r="C332" t="str">
            <v>R Antonio Domingues de Oliveira</v>
          </cell>
          <cell r="D332" t="str">
            <v>Morrinhos</v>
          </cell>
          <cell r="E332" t="str">
            <v>GUARUJA</v>
          </cell>
          <cell r="F332" t="str">
            <v>SP</v>
          </cell>
          <cell r="G332" t="str">
            <v>196</v>
          </cell>
          <cell r="H332" t="str">
            <v>LTE13QDR19</v>
          </cell>
          <cell r="I332" t="str">
            <v>11495-019</v>
          </cell>
          <cell r="J332" t="str">
            <v/>
          </cell>
          <cell r="K332" t="str">
            <v>991897006</v>
          </cell>
          <cell r="L332" t="str">
            <v>Masculino</v>
          </cell>
          <cell r="M332" t="str">
            <v>Parda</v>
          </cell>
          <cell r="N332">
            <v>31447</v>
          </cell>
          <cell r="O332" t="str">
            <v>438887141</v>
          </cell>
          <cell r="P332" t="str">
            <v>SP</v>
          </cell>
          <cell r="Q332" t="str">
            <v>SSP</v>
          </cell>
          <cell r="R332" t="str">
            <v>GUARUJA</v>
          </cell>
        </row>
        <row r="333">
          <cell r="A333" t="str">
            <v>ANDRE TARTAGLIONE DOS SANTOS</v>
          </cell>
          <cell r="B333" t="str">
            <v>Solteiro</v>
          </cell>
          <cell r="C333" t="str">
            <v>R Oito</v>
          </cell>
          <cell r="D333" t="str">
            <v>Vila Margarida</v>
          </cell>
          <cell r="E333" t="str">
            <v>SAO VICENTE</v>
          </cell>
          <cell r="F333" t="str">
            <v>SP</v>
          </cell>
          <cell r="G333" t="str">
            <v>11</v>
          </cell>
          <cell r="H333" t="str">
            <v/>
          </cell>
          <cell r="I333" t="str">
            <v>11330-813</v>
          </cell>
          <cell r="J333" t="str">
            <v>988371140</v>
          </cell>
          <cell r="K333" t="str">
            <v/>
          </cell>
          <cell r="L333" t="str">
            <v>Masculino</v>
          </cell>
          <cell r="M333" t="str">
            <v>Parda</v>
          </cell>
          <cell r="N333">
            <v>30110</v>
          </cell>
          <cell r="O333" t="str">
            <v>35148176X</v>
          </cell>
          <cell r="P333" t="str">
            <v>SP</v>
          </cell>
          <cell r="Q333" t="str">
            <v>SSP</v>
          </cell>
          <cell r="R333" t="str">
            <v>SAO VICENTE</v>
          </cell>
        </row>
        <row r="334">
          <cell r="A334" t="str">
            <v>EDUARDO TAPURA ANTONIO DOS SANTOS</v>
          </cell>
          <cell r="B334" t="str">
            <v>Casado</v>
          </cell>
          <cell r="C334" t="str">
            <v>R Doutor Mário Graccho</v>
          </cell>
          <cell r="D334" t="str">
            <v>São Manoel</v>
          </cell>
          <cell r="E334" t="str">
            <v>SANTOS</v>
          </cell>
          <cell r="F334" t="str">
            <v>SP</v>
          </cell>
          <cell r="G334" t="str">
            <v>77</v>
          </cell>
          <cell r="H334" t="str">
            <v>CASA 01</v>
          </cell>
          <cell r="I334" t="str">
            <v>11095-210</v>
          </cell>
          <cell r="J334" t="str">
            <v>974214924</v>
          </cell>
          <cell r="K334" t="str">
            <v/>
          </cell>
          <cell r="L334" t="str">
            <v>Masculino</v>
          </cell>
          <cell r="M334" t="str">
            <v>Parda</v>
          </cell>
          <cell r="N334">
            <v>25750</v>
          </cell>
          <cell r="O334" t="str">
            <v>214368658</v>
          </cell>
          <cell r="P334" t="str">
            <v>SP</v>
          </cell>
          <cell r="Q334" t="str">
            <v>SSP</v>
          </cell>
          <cell r="R334" t="str">
            <v>GUARUJA</v>
          </cell>
        </row>
        <row r="335">
          <cell r="A335" t="str">
            <v>GERSON FERREIRA DA SILVA</v>
          </cell>
          <cell r="B335" t="str">
            <v>Casado</v>
          </cell>
          <cell r="C335" t="str">
            <v>R Doutor Nilo Costa</v>
          </cell>
          <cell r="D335" t="str">
            <v>Macuco</v>
          </cell>
          <cell r="E335" t="str">
            <v>SANTOS</v>
          </cell>
          <cell r="F335" t="str">
            <v>SP</v>
          </cell>
          <cell r="G335" t="str">
            <v>50</v>
          </cell>
          <cell r="H335" t="str">
            <v/>
          </cell>
          <cell r="I335" t="str">
            <v>11015-360</v>
          </cell>
          <cell r="J335" t="str">
            <v>974093636</v>
          </cell>
          <cell r="K335" t="str">
            <v/>
          </cell>
          <cell r="L335" t="str">
            <v>Masculino</v>
          </cell>
          <cell r="M335" t="str">
            <v>Parda</v>
          </cell>
          <cell r="N335">
            <v>25636</v>
          </cell>
          <cell r="O335" t="str">
            <v>179514003</v>
          </cell>
          <cell r="P335" t="str">
            <v>SP</v>
          </cell>
          <cell r="Q335" t="str">
            <v>SSP</v>
          </cell>
          <cell r="R335" t="str">
            <v>SAO VICENTE</v>
          </cell>
        </row>
        <row r="336">
          <cell r="A336" t="str">
            <v>RONALDO DO NASCIMENTO</v>
          </cell>
          <cell r="B336" t="str">
            <v>União Estável</v>
          </cell>
          <cell r="C336" t="str">
            <v>R SANTO EDEZIO</v>
          </cell>
          <cell r="D336" t="str">
            <v>Morro Sao Bento</v>
          </cell>
          <cell r="E336" t="str">
            <v>SANTOS</v>
          </cell>
          <cell r="F336" t="str">
            <v>SP</v>
          </cell>
          <cell r="G336" t="str">
            <v>566</v>
          </cell>
          <cell r="H336" t="str">
            <v/>
          </cell>
          <cell r="I336" t="str">
            <v>11081-020</v>
          </cell>
          <cell r="J336" t="str">
            <v/>
          </cell>
          <cell r="K336" t="str">
            <v>988213483</v>
          </cell>
          <cell r="L336" t="str">
            <v>Masculino</v>
          </cell>
          <cell r="M336" t="str">
            <v>Parda</v>
          </cell>
          <cell r="N336">
            <v>24578</v>
          </cell>
          <cell r="O336" t="str">
            <v>20820913</v>
          </cell>
          <cell r="P336" t="str">
            <v>SP</v>
          </cell>
          <cell r="Q336" t="str">
            <v>SSP</v>
          </cell>
          <cell r="R336" t="str">
            <v>SANTOS</v>
          </cell>
        </row>
        <row r="337">
          <cell r="A337" t="str">
            <v>OSCAR NIELSEN RIBAS DA COSTA</v>
          </cell>
          <cell r="B337" t="str">
            <v>Casado</v>
          </cell>
          <cell r="C337" t="str">
            <v>AV Presidente Wilson</v>
          </cell>
          <cell r="D337" t="str">
            <v>Itarare</v>
          </cell>
          <cell r="E337" t="str">
            <v>SAO VICENTE</v>
          </cell>
          <cell r="F337" t="str">
            <v>SP</v>
          </cell>
          <cell r="G337" t="str">
            <v>699</v>
          </cell>
          <cell r="H337" t="str">
            <v>APTO 45</v>
          </cell>
          <cell r="I337" t="str">
            <v>11320-001</v>
          </cell>
          <cell r="J337" t="str">
            <v>991741913</v>
          </cell>
          <cell r="K337" t="str">
            <v/>
          </cell>
          <cell r="L337" t="str">
            <v>Masculino</v>
          </cell>
          <cell r="M337" t="str">
            <v>Parda</v>
          </cell>
          <cell r="N337">
            <v>30282</v>
          </cell>
          <cell r="O337" t="str">
            <v>304594477</v>
          </cell>
          <cell r="P337" t="str">
            <v>SP</v>
          </cell>
          <cell r="Q337" t="str">
            <v>SSP</v>
          </cell>
          <cell r="R337" t="str">
            <v>SANTOS</v>
          </cell>
        </row>
        <row r="338">
          <cell r="A338" t="str">
            <v>CLAUDIO AUGUSTO DOS SANTOS</v>
          </cell>
          <cell r="B338" t="str">
            <v>Solteiro</v>
          </cell>
          <cell r="C338" t="str">
            <v>R Santo Agostinho</v>
          </cell>
          <cell r="D338" t="str">
            <v>Caiçara</v>
          </cell>
          <cell r="E338" t="str">
            <v>PRAIA GRANDE</v>
          </cell>
          <cell r="F338" t="str">
            <v>SP</v>
          </cell>
          <cell r="G338" t="str">
            <v>558</v>
          </cell>
          <cell r="H338" t="str">
            <v>Casa</v>
          </cell>
          <cell r="I338" t="str">
            <v>11706-150</v>
          </cell>
          <cell r="J338" t="str">
            <v>988024096</v>
          </cell>
          <cell r="K338" t="str">
            <v/>
          </cell>
          <cell r="L338" t="str">
            <v>Masculino</v>
          </cell>
          <cell r="M338" t="str">
            <v>Parda</v>
          </cell>
          <cell r="N338">
            <v>32292</v>
          </cell>
          <cell r="O338" t="str">
            <v>419987137</v>
          </cell>
          <cell r="P338" t="str">
            <v>SP</v>
          </cell>
          <cell r="Q338" t="str">
            <v>SSP</v>
          </cell>
          <cell r="R338" t="str">
            <v>SANTOS</v>
          </cell>
        </row>
        <row r="339">
          <cell r="A339" t="str">
            <v>ANDRE LUIZ DE PAULA SANTOS</v>
          </cell>
          <cell r="B339" t="str">
            <v>Casado</v>
          </cell>
          <cell r="C339" t="str">
            <v>R CESAR AUGUSTO DE CASTRO RIOS</v>
          </cell>
          <cell r="D339" t="str">
            <v>Areia Branca</v>
          </cell>
          <cell r="E339" t="str">
            <v>SANTOS</v>
          </cell>
          <cell r="F339" t="str">
            <v>SP</v>
          </cell>
          <cell r="G339" t="str">
            <v>286BL</v>
          </cell>
          <cell r="H339" t="str">
            <v>AP 152</v>
          </cell>
          <cell r="I339" t="str">
            <v>11086-415</v>
          </cell>
          <cell r="J339" t="str">
            <v>974057370</v>
          </cell>
          <cell r="K339" t="str">
            <v/>
          </cell>
          <cell r="L339" t="str">
            <v>Masculino</v>
          </cell>
          <cell r="M339" t="str">
            <v>Parda</v>
          </cell>
          <cell r="N339">
            <v>27250</v>
          </cell>
          <cell r="O339" t="str">
            <v>249585662</v>
          </cell>
          <cell r="P339" t="str">
            <v>SP</v>
          </cell>
          <cell r="Q339" t="str">
            <v>SSP</v>
          </cell>
          <cell r="R339" t="str">
            <v>SANTOS</v>
          </cell>
        </row>
        <row r="340">
          <cell r="A340" t="str">
            <v>ALEXANDRE DA CUNHA DOS SANTOS</v>
          </cell>
          <cell r="B340" t="str">
            <v>Solteiro</v>
          </cell>
          <cell r="C340" t="str">
            <v>R VEREADOR HUGO SCANAVACCA</v>
          </cell>
          <cell r="D340" t="str">
            <v>Vila Sao Jose</v>
          </cell>
          <cell r="E340" t="str">
            <v>CUBATAO</v>
          </cell>
          <cell r="F340" t="str">
            <v>SP</v>
          </cell>
          <cell r="G340" t="str">
            <v>23</v>
          </cell>
          <cell r="H340" t="str">
            <v>CASA</v>
          </cell>
          <cell r="I340" t="str">
            <v>11523-280</v>
          </cell>
          <cell r="J340" t="str">
            <v>33641395</v>
          </cell>
          <cell r="K340" t="str">
            <v/>
          </cell>
          <cell r="L340" t="str">
            <v>Masculino</v>
          </cell>
          <cell r="M340" t="str">
            <v>Parda</v>
          </cell>
          <cell r="N340">
            <v>32947</v>
          </cell>
          <cell r="O340" t="str">
            <v>466685701</v>
          </cell>
          <cell r="P340" t="str">
            <v>SP</v>
          </cell>
          <cell r="Q340" t="str">
            <v>SSP</v>
          </cell>
          <cell r="R340" t="str">
            <v>CUBATAO</v>
          </cell>
        </row>
        <row r="341">
          <cell r="A341" t="str">
            <v>WILLIAM DE OLIVEIRA SANTOS</v>
          </cell>
          <cell r="B341" t="str">
            <v>Solteiro</v>
          </cell>
          <cell r="C341" t="str">
            <v>R Monte Plano</v>
          </cell>
          <cell r="D341" t="str">
            <v>Vila Margarida</v>
          </cell>
          <cell r="E341" t="str">
            <v>SAO VICENTE</v>
          </cell>
          <cell r="F341" t="str">
            <v>SP</v>
          </cell>
          <cell r="G341" t="str">
            <v>134</v>
          </cell>
          <cell r="H341" t="str">
            <v>Casa. 9</v>
          </cell>
          <cell r="I341" t="str">
            <v>11335-020</v>
          </cell>
          <cell r="J341" t="str">
            <v>34613683</v>
          </cell>
          <cell r="K341" t="str">
            <v/>
          </cell>
          <cell r="L341" t="str">
            <v>Masculino</v>
          </cell>
          <cell r="M341" t="str">
            <v>Parda</v>
          </cell>
          <cell r="N341">
            <v>31271</v>
          </cell>
          <cell r="O341" t="str">
            <v>437998861</v>
          </cell>
          <cell r="P341" t="str">
            <v>SP</v>
          </cell>
          <cell r="Q341" t="str">
            <v>SSP</v>
          </cell>
          <cell r="R341" t="str">
            <v>SANTOS</v>
          </cell>
        </row>
        <row r="342">
          <cell r="A342" t="str">
            <v>ADELVAN DE MOURA VILARES</v>
          </cell>
          <cell r="B342" t="str">
            <v>Casado</v>
          </cell>
          <cell r="C342" t="str">
            <v>R Valdomiro Macário</v>
          </cell>
          <cell r="D342" t="str">
            <v>Jardim Conceiçãozinh</v>
          </cell>
          <cell r="E342" t="str">
            <v>GUARUJA</v>
          </cell>
          <cell r="F342" t="str">
            <v>SP</v>
          </cell>
          <cell r="G342" t="str">
            <v>350</v>
          </cell>
          <cell r="H342" t="str">
            <v>APTO 32</v>
          </cell>
          <cell r="I342" t="str">
            <v>11472-100</v>
          </cell>
          <cell r="J342" t="str">
            <v>33551446</v>
          </cell>
          <cell r="K342" t="str">
            <v/>
          </cell>
          <cell r="L342" t="str">
            <v>Masculino</v>
          </cell>
          <cell r="M342" t="str">
            <v>Parda</v>
          </cell>
          <cell r="N342">
            <v>26558</v>
          </cell>
          <cell r="O342" t="str">
            <v>212504824</v>
          </cell>
          <cell r="P342" t="str">
            <v>SP</v>
          </cell>
          <cell r="Q342" t="str">
            <v>SSP</v>
          </cell>
          <cell r="R342" t="str">
            <v>GUARUJA</v>
          </cell>
        </row>
        <row r="343">
          <cell r="A343" t="str">
            <v>EDUARDO VIEIRA DOS SANTOS</v>
          </cell>
          <cell r="B343" t="str">
            <v>Casado</v>
          </cell>
          <cell r="C343" t="str">
            <v>R Doutor Arnaldo de Carvalho</v>
          </cell>
          <cell r="D343" t="str">
            <v>Campo Grande</v>
          </cell>
          <cell r="E343" t="str">
            <v>SANTOS</v>
          </cell>
          <cell r="F343" t="str">
            <v>SP</v>
          </cell>
          <cell r="G343" t="str">
            <v>111</v>
          </cell>
          <cell r="H343" t="str">
            <v>41</v>
          </cell>
          <cell r="I343" t="str">
            <v>11075-430</v>
          </cell>
          <cell r="J343" t="str">
            <v>33278302</v>
          </cell>
          <cell r="K343" t="str">
            <v>988214650</v>
          </cell>
          <cell r="L343" t="str">
            <v>Masculino</v>
          </cell>
          <cell r="M343" t="str">
            <v>Branca</v>
          </cell>
          <cell r="N343">
            <v>31144</v>
          </cell>
          <cell r="O343" t="str">
            <v>433465165</v>
          </cell>
          <cell r="P343" t="str">
            <v>SP</v>
          </cell>
          <cell r="Q343" t="str">
            <v>SSP</v>
          </cell>
          <cell r="R343" t="str">
            <v>SANTOS</v>
          </cell>
        </row>
        <row r="344">
          <cell r="A344" t="str">
            <v>CARLOS VINICIUS DE SOUZA MARQUES</v>
          </cell>
          <cell r="B344" t="str">
            <v>Casado</v>
          </cell>
          <cell r="C344" t="str">
            <v>R Affonso Verediano</v>
          </cell>
          <cell r="D344" t="str">
            <v>Embaré</v>
          </cell>
          <cell r="E344" t="str">
            <v>SANTOS</v>
          </cell>
          <cell r="F344" t="str">
            <v>SP</v>
          </cell>
          <cell r="G344" t="str">
            <v>55</v>
          </cell>
          <cell r="H344" t="str">
            <v>apto 16</v>
          </cell>
          <cell r="I344" t="str">
            <v>11040-120</v>
          </cell>
          <cell r="J344" t="str">
            <v>988528478</v>
          </cell>
          <cell r="K344" t="str">
            <v/>
          </cell>
          <cell r="L344" t="str">
            <v>Masculino</v>
          </cell>
          <cell r="M344" t="str">
            <v>Parda</v>
          </cell>
          <cell r="N344">
            <v>28470</v>
          </cell>
          <cell r="O344" t="str">
            <v>10258337</v>
          </cell>
          <cell r="P344" t="str">
            <v>RJ</v>
          </cell>
          <cell r="Q344" t="str">
            <v>SRJ</v>
          </cell>
          <cell r="R344" t="str">
            <v>RIO DE JANEIRO</v>
          </cell>
        </row>
        <row r="345">
          <cell r="A345" t="str">
            <v>CARLOS ALBERTO FREIRE DA SILVA JUNIOR</v>
          </cell>
          <cell r="B345" t="str">
            <v>União Estável</v>
          </cell>
          <cell r="C345" t="str">
            <v>R Rio Grande do Sul</v>
          </cell>
          <cell r="D345" t="str">
            <v>José Menino</v>
          </cell>
          <cell r="E345" t="str">
            <v>SANTOS</v>
          </cell>
          <cell r="F345" t="str">
            <v>SP</v>
          </cell>
          <cell r="G345" t="str">
            <v>7</v>
          </cell>
          <cell r="H345" t="str">
            <v>Ap 1109</v>
          </cell>
          <cell r="I345" t="str">
            <v>11065-660</v>
          </cell>
          <cell r="J345" t="str">
            <v>991549926</v>
          </cell>
          <cell r="K345" t="str">
            <v/>
          </cell>
          <cell r="L345" t="str">
            <v>Masculino</v>
          </cell>
          <cell r="M345" t="str">
            <v>Parda</v>
          </cell>
          <cell r="N345">
            <v>27980</v>
          </cell>
          <cell r="O345" t="str">
            <v>271061984</v>
          </cell>
          <cell r="P345" t="str">
            <v>SP</v>
          </cell>
          <cell r="Q345" t="str">
            <v>SSP</v>
          </cell>
          <cell r="R345" t="str">
            <v>SANTOS</v>
          </cell>
        </row>
        <row r="346">
          <cell r="A346" t="str">
            <v>ANDRE LUIS LIMA</v>
          </cell>
          <cell r="B346" t="str">
            <v>Solteiro</v>
          </cell>
          <cell r="C346" t="str">
            <v>R Mongaguá</v>
          </cell>
          <cell r="D346" t="str">
            <v>Rádio Clube</v>
          </cell>
          <cell r="E346" t="str">
            <v>SANTOS</v>
          </cell>
          <cell r="F346" t="str">
            <v>SP</v>
          </cell>
          <cell r="G346" t="str">
            <v>140</v>
          </cell>
          <cell r="H346" t="str">
            <v/>
          </cell>
          <cell r="I346" t="str">
            <v>11088-310</v>
          </cell>
          <cell r="J346" t="str">
            <v>974146064</v>
          </cell>
          <cell r="K346" t="str">
            <v/>
          </cell>
          <cell r="L346" t="str">
            <v>Masculino</v>
          </cell>
          <cell r="M346" t="str">
            <v>Parda</v>
          </cell>
          <cell r="N346">
            <v>26249</v>
          </cell>
          <cell r="O346" t="str">
            <v>227771758</v>
          </cell>
          <cell r="P346" t="str">
            <v>SP</v>
          </cell>
          <cell r="Q346" t="str">
            <v>SSP</v>
          </cell>
          <cell r="R346" t="str">
            <v>SANTOS</v>
          </cell>
        </row>
        <row r="347">
          <cell r="A347" t="str">
            <v>ENIVALDO MORAES DO CARMO</v>
          </cell>
          <cell r="B347" t="str">
            <v>Casado</v>
          </cell>
          <cell r="C347" t="str">
            <v>R EDUARDO PRADO</v>
          </cell>
          <cell r="D347" t="str">
            <v>Esmeralda</v>
          </cell>
          <cell r="E347" t="str">
            <v>PRAIA GRANDE</v>
          </cell>
          <cell r="F347" t="str">
            <v>SP</v>
          </cell>
          <cell r="G347" t="str">
            <v>96</v>
          </cell>
          <cell r="H347" t="str">
            <v>CASA B</v>
          </cell>
          <cell r="I347" t="str">
            <v>11713-530</v>
          </cell>
          <cell r="J347" t="str">
            <v>34775745</v>
          </cell>
          <cell r="K347" t="str">
            <v/>
          </cell>
          <cell r="L347" t="str">
            <v>Masculino</v>
          </cell>
          <cell r="M347" t="str">
            <v>Parda</v>
          </cell>
          <cell r="N347">
            <v>25074</v>
          </cell>
          <cell r="O347" t="str">
            <v>189377690</v>
          </cell>
          <cell r="P347" t="str">
            <v>SP</v>
          </cell>
          <cell r="Q347" t="str">
            <v>SSP</v>
          </cell>
          <cell r="R347" t="str">
            <v>GUARUJA</v>
          </cell>
        </row>
        <row r="348">
          <cell r="A348" t="str">
            <v>ANDERSON BARBOSA GOIS</v>
          </cell>
          <cell r="B348" t="str">
            <v>Casado</v>
          </cell>
          <cell r="C348" t="str">
            <v>AV ANTONIO EMMERICK</v>
          </cell>
          <cell r="D348" t="str">
            <v>Vila São Jorge</v>
          </cell>
          <cell r="E348" t="str">
            <v>SAO VICENTE</v>
          </cell>
          <cell r="F348" t="str">
            <v>SP</v>
          </cell>
          <cell r="G348" t="str">
            <v>1700</v>
          </cell>
          <cell r="H348" t="str">
            <v>AP 30</v>
          </cell>
          <cell r="I348" t="str">
            <v>11370-000</v>
          </cell>
          <cell r="J348" t="str">
            <v>32352846</v>
          </cell>
          <cell r="K348" t="str">
            <v>981304781</v>
          </cell>
          <cell r="L348" t="str">
            <v>Masculino</v>
          </cell>
          <cell r="M348" t="str">
            <v>Parda</v>
          </cell>
          <cell r="N348">
            <v>26462</v>
          </cell>
          <cell r="O348" t="str">
            <v>235941669</v>
          </cell>
          <cell r="P348" t="str">
            <v>SP</v>
          </cell>
          <cell r="Q348" t="str">
            <v>SSP</v>
          </cell>
          <cell r="R348" t="str">
            <v>SANTOS</v>
          </cell>
        </row>
        <row r="349">
          <cell r="A349" t="str">
            <v>HILTON DE SOUSA ROCHA</v>
          </cell>
          <cell r="B349" t="str">
            <v>Solteiro</v>
          </cell>
          <cell r="C349" t="str">
            <v>R Josefa Araujo de Oliveira</v>
          </cell>
          <cell r="D349" t="str">
            <v>Parque São Luis</v>
          </cell>
          <cell r="E349" t="str">
            <v>CUBATAO</v>
          </cell>
          <cell r="F349" t="str">
            <v>SP</v>
          </cell>
          <cell r="G349" t="str">
            <v>55</v>
          </cell>
          <cell r="H349" t="str">
            <v>Bloco 3 Apartamento 24</v>
          </cell>
          <cell r="I349" t="str">
            <v>11533-580</v>
          </cell>
          <cell r="J349" t="str">
            <v>33778078</v>
          </cell>
          <cell r="K349" t="str">
            <v/>
          </cell>
          <cell r="L349" t="str">
            <v>Masculino</v>
          </cell>
          <cell r="M349" t="str">
            <v>Parda</v>
          </cell>
          <cell r="N349">
            <v>31482</v>
          </cell>
          <cell r="O349" t="str">
            <v>42176319X</v>
          </cell>
          <cell r="P349" t="str">
            <v>SP</v>
          </cell>
          <cell r="Q349" t="str">
            <v>SSP</v>
          </cell>
          <cell r="R349" t="str">
            <v>CUBATAO</v>
          </cell>
        </row>
        <row r="350">
          <cell r="A350" t="str">
            <v>VITOR AUGUSTO PIEDADE MEIRA</v>
          </cell>
          <cell r="B350" t="str">
            <v>Solteiro</v>
          </cell>
          <cell r="C350" t="str">
            <v>R Eduardo Alves</v>
          </cell>
          <cell r="D350" t="str">
            <v>São Jorge</v>
          </cell>
          <cell r="E350" t="str">
            <v>SANTOS</v>
          </cell>
          <cell r="F350" t="str">
            <v>SP</v>
          </cell>
          <cell r="G350" t="str">
            <v>719</v>
          </cell>
          <cell r="H350" t="str">
            <v/>
          </cell>
          <cell r="I350" t="str">
            <v>11085-680</v>
          </cell>
          <cell r="J350" t="str">
            <v>991637135</v>
          </cell>
          <cell r="K350" t="str">
            <v/>
          </cell>
          <cell r="L350" t="str">
            <v>Masculino</v>
          </cell>
          <cell r="M350" t="str">
            <v>Parda</v>
          </cell>
          <cell r="N350">
            <v>33788</v>
          </cell>
          <cell r="O350" t="str">
            <v>487259385</v>
          </cell>
          <cell r="P350" t="str">
            <v>SP</v>
          </cell>
          <cell r="Q350" t="str">
            <v>SSP</v>
          </cell>
          <cell r="R350" t="str">
            <v>SANTOS</v>
          </cell>
        </row>
        <row r="351">
          <cell r="A351" t="str">
            <v>ADRIANO DA COSTA RAMALHO</v>
          </cell>
          <cell r="B351" t="str">
            <v>Casado</v>
          </cell>
          <cell r="C351" t="str">
            <v>R Padre Donizete</v>
          </cell>
          <cell r="D351" t="str">
            <v>Vila Ligya</v>
          </cell>
          <cell r="E351" t="str">
            <v>GUARUJA</v>
          </cell>
          <cell r="F351" t="str">
            <v>SP</v>
          </cell>
          <cell r="G351" t="str">
            <v>435</v>
          </cell>
          <cell r="H351" t="str">
            <v/>
          </cell>
          <cell r="I351" t="str">
            <v>11430-160</v>
          </cell>
          <cell r="J351" t="str">
            <v>33579248</v>
          </cell>
          <cell r="K351" t="str">
            <v/>
          </cell>
          <cell r="L351" t="str">
            <v>Masculino</v>
          </cell>
          <cell r="M351" t="str">
            <v>Parda</v>
          </cell>
          <cell r="N351">
            <v>31022</v>
          </cell>
          <cell r="O351" t="str">
            <v>438956965</v>
          </cell>
          <cell r="P351" t="str">
            <v>SP</v>
          </cell>
          <cell r="Q351" t="str">
            <v>SSP</v>
          </cell>
          <cell r="R351" t="str">
            <v>GUARUJA</v>
          </cell>
        </row>
        <row r="352">
          <cell r="A352" t="str">
            <v>CARLOS ROBERTO DOS SANTOS MARTINS</v>
          </cell>
          <cell r="B352" t="str">
            <v>Casado</v>
          </cell>
          <cell r="C352" t="str">
            <v>R Euzébio de Queiroz</v>
          </cell>
          <cell r="D352" t="str">
            <v>Macuco</v>
          </cell>
          <cell r="E352" t="str">
            <v>SANTOS</v>
          </cell>
          <cell r="F352" t="str">
            <v>SP</v>
          </cell>
          <cell r="G352" t="str">
            <v>198</v>
          </cell>
          <cell r="H352" t="str">
            <v>ap 04</v>
          </cell>
          <cell r="I352" t="str">
            <v>11015-270</v>
          </cell>
          <cell r="J352" t="str">
            <v>33491836</v>
          </cell>
          <cell r="K352" t="str">
            <v/>
          </cell>
          <cell r="L352" t="str">
            <v>Masculino</v>
          </cell>
          <cell r="M352" t="str">
            <v>Parda</v>
          </cell>
          <cell r="N352">
            <v>26991</v>
          </cell>
          <cell r="O352" t="str">
            <v>209542378</v>
          </cell>
          <cell r="P352" t="str">
            <v>SP</v>
          </cell>
          <cell r="Q352" t="str">
            <v>SSP</v>
          </cell>
          <cell r="R352" t="str">
            <v>SANTOS</v>
          </cell>
        </row>
        <row r="353">
          <cell r="A353" t="str">
            <v>HENRIQUE GASPAR FERREIRA LOPES</v>
          </cell>
          <cell r="B353" t="str">
            <v>Casado</v>
          </cell>
          <cell r="C353" t="str">
            <v>R IARA NASCIMENTO SANTINI</v>
          </cell>
          <cell r="D353" t="str">
            <v>Vila Sao Jorge</v>
          </cell>
          <cell r="E353" t="str">
            <v>SANTOS</v>
          </cell>
          <cell r="F353" t="str">
            <v>SP</v>
          </cell>
          <cell r="G353" t="str">
            <v>64</v>
          </cell>
          <cell r="H353" t="str">
            <v>PORTA 03  Apto 14</v>
          </cell>
          <cell r="I353" t="str">
            <v>11085-755</v>
          </cell>
          <cell r="J353" t="str">
            <v>991405010</v>
          </cell>
          <cell r="K353" t="str">
            <v>33940570</v>
          </cell>
          <cell r="L353" t="str">
            <v>Masculino</v>
          </cell>
          <cell r="M353" t="str">
            <v>Parda</v>
          </cell>
          <cell r="N353">
            <v>23445</v>
          </cell>
          <cell r="O353" t="str">
            <v>23668307X</v>
          </cell>
          <cell r="P353" t="str">
            <v>SP</v>
          </cell>
          <cell r="Q353" t="str">
            <v>SSP</v>
          </cell>
          <cell r="R353" t="str">
            <v>RECIFE</v>
          </cell>
        </row>
        <row r="354">
          <cell r="A354" t="str">
            <v>RICARDO LEITE DE OLIVEIRA</v>
          </cell>
          <cell r="B354" t="str">
            <v>Casado</v>
          </cell>
          <cell r="C354" t="str">
            <v>TV SAO JORGE</v>
          </cell>
          <cell r="D354" t="str">
            <v>Chico de Paula</v>
          </cell>
          <cell r="E354" t="str">
            <v>SANTOS</v>
          </cell>
          <cell r="F354" t="str">
            <v>SP</v>
          </cell>
          <cell r="G354" t="str">
            <v>66</v>
          </cell>
          <cell r="H354" t="str">
            <v>CASA 01</v>
          </cell>
          <cell r="I354" t="str">
            <v>11085-405</v>
          </cell>
          <cell r="J354" t="str">
            <v>32992481</v>
          </cell>
          <cell r="K354" t="str">
            <v>991025472</v>
          </cell>
          <cell r="L354" t="str">
            <v>Masculino</v>
          </cell>
          <cell r="M354" t="str">
            <v>Parda</v>
          </cell>
          <cell r="N354">
            <v>27697</v>
          </cell>
          <cell r="O354" t="str">
            <v>307948791</v>
          </cell>
          <cell r="P354" t="str">
            <v>SP</v>
          </cell>
          <cell r="Q354" t="str">
            <v>SSP</v>
          </cell>
          <cell r="R354" t="str">
            <v>SANTOS</v>
          </cell>
        </row>
        <row r="355">
          <cell r="A355" t="str">
            <v>ROBERTO DE JESUS</v>
          </cell>
          <cell r="B355" t="str">
            <v>Casado</v>
          </cell>
          <cell r="C355" t="str">
            <v>R Altinópolis</v>
          </cell>
          <cell r="D355" t="str">
            <v>Vila Áurea (Vicente</v>
          </cell>
          <cell r="E355" t="str">
            <v>GUARUJA</v>
          </cell>
          <cell r="F355" t="str">
            <v>SP</v>
          </cell>
          <cell r="G355" t="str">
            <v>118</v>
          </cell>
          <cell r="H355" t="str">
            <v>CS4</v>
          </cell>
          <cell r="I355" t="str">
            <v>11454-270</v>
          </cell>
          <cell r="J355" t="str">
            <v/>
          </cell>
          <cell r="K355" t="str">
            <v/>
          </cell>
          <cell r="L355" t="str">
            <v>Masculino</v>
          </cell>
          <cell r="M355" t="str">
            <v>Parda</v>
          </cell>
          <cell r="N355">
            <v>25405</v>
          </cell>
          <cell r="O355" t="str">
            <v>196536141</v>
          </cell>
          <cell r="P355" t="str">
            <v>SP</v>
          </cell>
          <cell r="Q355" t="str">
            <v>SSP</v>
          </cell>
          <cell r="R355" t="str">
            <v>GUARUJA</v>
          </cell>
        </row>
        <row r="356">
          <cell r="A356" t="str">
            <v>CLAYTON MACEDO</v>
          </cell>
          <cell r="B356" t="str">
            <v>Solteiro</v>
          </cell>
          <cell r="C356" t="str">
            <v>AV Prefeito José Monteiro</v>
          </cell>
          <cell r="D356" t="str">
            <v>Jardim Independência</v>
          </cell>
          <cell r="E356" t="str">
            <v>SAO VICENTE</v>
          </cell>
          <cell r="F356" t="str">
            <v>SP</v>
          </cell>
          <cell r="G356" t="str">
            <v>720</v>
          </cell>
          <cell r="H356" t="str">
            <v>Apto 27</v>
          </cell>
          <cell r="I356" t="str">
            <v>11380-000</v>
          </cell>
          <cell r="J356" t="str">
            <v>997792096</v>
          </cell>
          <cell r="K356" t="str">
            <v/>
          </cell>
          <cell r="L356" t="str">
            <v>Masculino</v>
          </cell>
          <cell r="M356" t="str">
            <v>Parda</v>
          </cell>
          <cell r="N356">
            <v>27173</v>
          </cell>
          <cell r="O356" t="str">
            <v>246798610</v>
          </cell>
          <cell r="P356" t="str">
            <v>SP</v>
          </cell>
          <cell r="Q356" t="str">
            <v>SSP</v>
          </cell>
          <cell r="R356" t="str">
            <v>SAO VICENTE</v>
          </cell>
        </row>
        <row r="357">
          <cell r="A357" t="str">
            <v>CARLOS HENRIQUE LAPA GOIS</v>
          </cell>
          <cell r="B357" t="str">
            <v>Casado</v>
          </cell>
          <cell r="C357" t="str">
            <v>AV MARTINS FONTES</v>
          </cell>
          <cell r="D357" t="str">
            <v>Saboo</v>
          </cell>
          <cell r="E357" t="str">
            <v>SANTOS</v>
          </cell>
          <cell r="F357" t="str">
            <v>SP</v>
          </cell>
          <cell r="G357" t="str">
            <v>1115</v>
          </cell>
          <cell r="H357" t="str">
            <v>BL C AP 24</v>
          </cell>
          <cell r="I357" t="str">
            <v>11085-001</v>
          </cell>
          <cell r="J357" t="str">
            <v>32032839</v>
          </cell>
          <cell r="K357" t="str">
            <v>988088058</v>
          </cell>
          <cell r="L357" t="str">
            <v>Masculino</v>
          </cell>
          <cell r="M357" t="str">
            <v>Parda</v>
          </cell>
          <cell r="N357">
            <v>26201</v>
          </cell>
          <cell r="O357" t="str">
            <v>230346455</v>
          </cell>
          <cell r="P357" t="str">
            <v>SP</v>
          </cell>
          <cell r="Q357" t="str">
            <v>SSP</v>
          </cell>
          <cell r="R357" t="str">
            <v>SANTOS</v>
          </cell>
        </row>
        <row r="358">
          <cell r="A358" t="str">
            <v>THIAGO MARTINS ALVES</v>
          </cell>
          <cell r="B358" t="str">
            <v>Casado</v>
          </cell>
          <cell r="C358" t="str">
            <v>R PADRE ANCHIETA</v>
          </cell>
          <cell r="D358" t="str">
            <v>Macuco</v>
          </cell>
          <cell r="E358" t="str">
            <v>SANTOS</v>
          </cell>
          <cell r="F358" t="str">
            <v>SP</v>
          </cell>
          <cell r="G358" t="str">
            <v>322</v>
          </cell>
          <cell r="H358" t="str">
            <v>13</v>
          </cell>
          <cell r="I358" t="str">
            <v>11015-120</v>
          </cell>
          <cell r="J358" t="str">
            <v/>
          </cell>
          <cell r="K358" t="str">
            <v/>
          </cell>
          <cell r="L358" t="str">
            <v>Masculino</v>
          </cell>
          <cell r="M358" t="str">
            <v>Parda</v>
          </cell>
          <cell r="N358">
            <v>30800</v>
          </cell>
          <cell r="O358" t="str">
            <v>444544732</v>
          </cell>
          <cell r="P358" t="str">
            <v>SP</v>
          </cell>
          <cell r="Q358" t="str">
            <v>SSP</v>
          </cell>
          <cell r="R358" t="str">
            <v>SAO VICENTE</v>
          </cell>
        </row>
        <row r="359">
          <cell r="A359" t="str">
            <v>RICARDO DOS SANTOS DIAS</v>
          </cell>
          <cell r="B359" t="str">
            <v>Casado</v>
          </cell>
          <cell r="C359" t="str">
            <v>AV Doutor Moura Ribeiro</v>
          </cell>
          <cell r="D359" t="str">
            <v>Marapé</v>
          </cell>
          <cell r="E359" t="str">
            <v>SANTOS</v>
          </cell>
          <cell r="F359" t="str">
            <v>SP</v>
          </cell>
          <cell r="G359" t="str">
            <v>125</v>
          </cell>
          <cell r="H359" t="str">
            <v>35 Torre C</v>
          </cell>
          <cell r="I359" t="str">
            <v>11070-061</v>
          </cell>
          <cell r="J359" t="str">
            <v>32518187</v>
          </cell>
          <cell r="K359" t="str">
            <v/>
          </cell>
          <cell r="L359" t="str">
            <v>Masculino</v>
          </cell>
          <cell r="M359" t="str">
            <v>Parda</v>
          </cell>
          <cell r="N359">
            <v>32226</v>
          </cell>
          <cell r="O359" t="str">
            <v>424643509</v>
          </cell>
          <cell r="P359" t="str">
            <v>SP</v>
          </cell>
          <cell r="Q359" t="str">
            <v>SSP</v>
          </cell>
          <cell r="R359" t="str">
            <v>SANTOS</v>
          </cell>
        </row>
        <row r="360">
          <cell r="A360" t="str">
            <v>SERGIO ROBERTO DE SOUZA</v>
          </cell>
          <cell r="B360" t="str">
            <v>Solteiro</v>
          </cell>
          <cell r="C360" t="str">
            <v>R CDOR OTTO C GOLANDA</v>
          </cell>
          <cell r="D360" t="str">
            <v>Ocian</v>
          </cell>
          <cell r="E360" t="str">
            <v>PRAIA GRANDE</v>
          </cell>
          <cell r="F360" t="str">
            <v>SP</v>
          </cell>
          <cell r="G360" t="str">
            <v>400</v>
          </cell>
          <cell r="H360" t="str">
            <v>AP 103 TOR 1</v>
          </cell>
          <cell r="I360" t="str">
            <v>11704-450</v>
          </cell>
          <cell r="J360" t="str">
            <v>991544395</v>
          </cell>
          <cell r="K360" t="str">
            <v>91544395</v>
          </cell>
          <cell r="L360" t="str">
            <v>Masculino</v>
          </cell>
          <cell r="M360" t="str">
            <v>Parda</v>
          </cell>
          <cell r="N360">
            <v>24341</v>
          </cell>
          <cell r="O360" t="str">
            <v>201333132</v>
          </cell>
          <cell r="P360" t="str">
            <v>SP</v>
          </cell>
          <cell r="Q360" t="str">
            <v>SSP</v>
          </cell>
          <cell r="R360" t="str">
            <v>SANTOS</v>
          </cell>
        </row>
        <row r="361">
          <cell r="A361" t="str">
            <v>JOSE CARLOS SIMPLICIO RODRIGUES</v>
          </cell>
          <cell r="B361" t="str">
            <v>Casado</v>
          </cell>
          <cell r="C361" t="str">
            <v>R GUARANY</v>
          </cell>
          <cell r="D361" t="str">
            <v>Parque Sao Vicente</v>
          </cell>
          <cell r="E361" t="str">
            <v>SAO VICENTE</v>
          </cell>
          <cell r="F361" t="str">
            <v>SP</v>
          </cell>
          <cell r="G361" t="str">
            <v>636</v>
          </cell>
          <cell r="H361" t="str">
            <v>CA 2</v>
          </cell>
          <cell r="I361" t="str">
            <v>11360-000</v>
          </cell>
          <cell r="J361" t="str">
            <v>34645481</v>
          </cell>
          <cell r="K361" t="str">
            <v/>
          </cell>
          <cell r="L361" t="str">
            <v>Masculino</v>
          </cell>
          <cell r="M361" t="str">
            <v>Parda</v>
          </cell>
          <cell r="N361">
            <v>25084</v>
          </cell>
          <cell r="O361" t="str">
            <v>36775891</v>
          </cell>
          <cell r="P361" t="str">
            <v>SP</v>
          </cell>
          <cell r="Q361" t="str">
            <v>SSP</v>
          </cell>
          <cell r="R361" t="str">
            <v>CARIRA</v>
          </cell>
        </row>
        <row r="362">
          <cell r="A362" t="str">
            <v>CARLOS EDUARDO PAULO DE SOUZA</v>
          </cell>
          <cell r="B362" t="str">
            <v>Casado</v>
          </cell>
          <cell r="C362" t="str">
            <v>R Eduardo Alves</v>
          </cell>
          <cell r="D362" t="str">
            <v>São Jorge</v>
          </cell>
          <cell r="E362" t="str">
            <v>SANTOS</v>
          </cell>
          <cell r="F362" t="str">
            <v>SP</v>
          </cell>
          <cell r="G362" t="str">
            <v>596</v>
          </cell>
          <cell r="H362" t="str">
            <v/>
          </cell>
          <cell r="I362" t="str">
            <v>11085-680</v>
          </cell>
          <cell r="J362" t="str">
            <v/>
          </cell>
          <cell r="K362" t="str">
            <v/>
          </cell>
          <cell r="L362" t="str">
            <v>Masculino</v>
          </cell>
          <cell r="M362" t="str">
            <v>Parda</v>
          </cell>
          <cell r="N362">
            <v>29065</v>
          </cell>
          <cell r="O362" t="str">
            <v>249580068</v>
          </cell>
          <cell r="P362" t="str">
            <v>SP</v>
          </cell>
          <cell r="Q362" t="str">
            <v>SSP</v>
          </cell>
          <cell r="R362" t="str">
            <v>SAO VICENTE</v>
          </cell>
        </row>
        <row r="363">
          <cell r="A363" t="str">
            <v>HELIO ALVES MARTINS JUNIOR</v>
          </cell>
          <cell r="B363" t="str">
            <v>Casado</v>
          </cell>
          <cell r="C363" t="str">
            <v>AV A (RESIDENCIAL VICTORIA PARK)</v>
          </cell>
          <cell r="D363" t="str">
            <v>VILA ZILDA</v>
          </cell>
          <cell r="E363" t="str">
            <v>GUARUJA</v>
          </cell>
          <cell r="F363" t="str">
            <v>SP</v>
          </cell>
          <cell r="G363" t="str">
            <v>35</v>
          </cell>
          <cell r="H363" t="str">
            <v>QUADRA 06 LOTE 05</v>
          </cell>
          <cell r="I363" t="str">
            <v>11436-500</v>
          </cell>
          <cell r="J363" t="str">
            <v>974055047</v>
          </cell>
          <cell r="K363" t="str">
            <v/>
          </cell>
          <cell r="L363" t="str">
            <v>Masculino</v>
          </cell>
          <cell r="M363" t="str">
            <v>Parda</v>
          </cell>
          <cell r="N363">
            <v>30397</v>
          </cell>
          <cell r="O363" t="str">
            <v>344502491</v>
          </cell>
          <cell r="P363" t="str">
            <v>SP</v>
          </cell>
          <cell r="Q363" t="str">
            <v>SSP</v>
          </cell>
          <cell r="R363" t="str">
            <v>GUARUJA</v>
          </cell>
        </row>
        <row r="364">
          <cell r="A364" t="str">
            <v>FRANCE FERNANDES DE OLIVEIRA</v>
          </cell>
          <cell r="B364" t="str">
            <v>Casado</v>
          </cell>
          <cell r="C364" t="str">
            <v>R JOÃO VEIGA</v>
          </cell>
          <cell r="D364" t="str">
            <v>Parque São Luis</v>
          </cell>
          <cell r="E364" t="str">
            <v>CUBATAO</v>
          </cell>
          <cell r="F364" t="str">
            <v>SP</v>
          </cell>
          <cell r="G364" t="str">
            <v>466</v>
          </cell>
          <cell r="H364" t="str">
            <v>CASA BL 5</v>
          </cell>
          <cell r="I364" t="str">
            <v>11533-510</v>
          </cell>
          <cell r="J364" t="str">
            <v>997674532</v>
          </cell>
          <cell r="K364" t="str">
            <v/>
          </cell>
          <cell r="L364" t="str">
            <v>Masculino</v>
          </cell>
          <cell r="M364" t="str">
            <v>Parda</v>
          </cell>
          <cell r="N364">
            <v>27541</v>
          </cell>
          <cell r="O364" t="str">
            <v>276608094</v>
          </cell>
          <cell r="P364" t="str">
            <v>SP</v>
          </cell>
          <cell r="Q364" t="str">
            <v>SSP</v>
          </cell>
          <cell r="R364" t="str">
            <v>CUBATAO</v>
          </cell>
        </row>
        <row r="365">
          <cell r="A365" t="str">
            <v>AILTON MENDONCA DA SILVA</v>
          </cell>
          <cell r="B365" t="str">
            <v>Casado</v>
          </cell>
          <cell r="C365" t="str">
            <v>AV PRINCIPAL</v>
          </cell>
          <cell r="D365" t="str">
            <v>VILA ESPERANÇA</v>
          </cell>
          <cell r="E365" t="str">
            <v>CUBATAO</v>
          </cell>
          <cell r="F365" t="str">
            <v>SP</v>
          </cell>
          <cell r="G365" t="str">
            <v>2084</v>
          </cell>
          <cell r="H365" t="str">
            <v/>
          </cell>
          <cell r="I365" t="str">
            <v>11540-200</v>
          </cell>
          <cell r="J365" t="str">
            <v>988340741</v>
          </cell>
          <cell r="K365" t="str">
            <v/>
          </cell>
          <cell r="L365" t="str">
            <v>Masculino</v>
          </cell>
          <cell r="M365" t="str">
            <v>Parda</v>
          </cell>
          <cell r="N365">
            <v>28298</v>
          </cell>
          <cell r="O365" t="str">
            <v>291601962</v>
          </cell>
          <cell r="P365" t="str">
            <v>SP</v>
          </cell>
          <cell r="Q365" t="str">
            <v>SSP</v>
          </cell>
          <cell r="R365" t="str">
            <v>CUBATAO</v>
          </cell>
        </row>
        <row r="366">
          <cell r="A366" t="str">
            <v>GINO SERRACHIOLI</v>
          </cell>
          <cell r="B366" t="str">
            <v>Casado</v>
          </cell>
          <cell r="C366" t="str">
            <v>R Almirante Barroso</v>
          </cell>
          <cell r="D366" t="str">
            <v>Campo Grande</v>
          </cell>
          <cell r="E366" t="str">
            <v>SANTOS</v>
          </cell>
          <cell r="F366" t="str">
            <v>SP</v>
          </cell>
          <cell r="G366" t="str">
            <v>32</v>
          </cell>
          <cell r="H366" t="str">
            <v>AP 22</v>
          </cell>
          <cell r="I366" t="str">
            <v>11075-440</v>
          </cell>
          <cell r="J366" t="str">
            <v>997869922</v>
          </cell>
          <cell r="K366" t="str">
            <v/>
          </cell>
          <cell r="L366" t="str">
            <v>Masculino</v>
          </cell>
          <cell r="M366" t="str">
            <v>Parda</v>
          </cell>
          <cell r="N366">
            <v>24055</v>
          </cell>
          <cell r="O366" t="str">
            <v>138789782</v>
          </cell>
          <cell r="P366" t="str">
            <v>SP</v>
          </cell>
          <cell r="Q366" t="str">
            <v>SSP</v>
          </cell>
          <cell r="R366" t="str">
            <v>SANTOS</v>
          </cell>
        </row>
        <row r="367">
          <cell r="A367" t="str">
            <v>LUCCAS BARBOSA DE AZEVEDO</v>
          </cell>
          <cell r="B367" t="str">
            <v>Solteiro</v>
          </cell>
          <cell r="C367" t="str">
            <v>R ALEXANDRE MARTINS</v>
          </cell>
          <cell r="D367" t="str">
            <v>Aparecida</v>
          </cell>
          <cell r="E367" t="str">
            <v>SANTOS</v>
          </cell>
          <cell r="F367" t="str">
            <v>SP</v>
          </cell>
          <cell r="G367" t="str">
            <v>266</v>
          </cell>
          <cell r="H367" t="str">
            <v>APTO 11</v>
          </cell>
          <cell r="I367" t="str">
            <v>11025-202</v>
          </cell>
          <cell r="J367" t="str">
            <v>33546308</v>
          </cell>
          <cell r="K367" t="str">
            <v>974041809</v>
          </cell>
          <cell r="L367" t="str">
            <v>Masculino</v>
          </cell>
          <cell r="M367" t="str">
            <v>Parda</v>
          </cell>
          <cell r="N367">
            <v>32279</v>
          </cell>
          <cell r="O367" t="str">
            <v>347441609</v>
          </cell>
          <cell r="P367" t="str">
            <v>SP</v>
          </cell>
          <cell r="Q367" t="str">
            <v>SSP</v>
          </cell>
          <cell r="R367" t="str">
            <v>SANTOS</v>
          </cell>
        </row>
        <row r="368">
          <cell r="A368" t="str">
            <v>JOSE EDVALDO SOARES DOS SANTOS</v>
          </cell>
          <cell r="B368" t="str">
            <v>Divorciado</v>
          </cell>
          <cell r="C368" t="str">
            <v>R Monsenhor Paula Rodrigues</v>
          </cell>
          <cell r="D368" t="str">
            <v>Vila Belmiro</v>
          </cell>
          <cell r="E368" t="str">
            <v>SANTOS</v>
          </cell>
          <cell r="F368" t="str">
            <v>SP</v>
          </cell>
          <cell r="G368" t="str">
            <v>148</v>
          </cell>
          <cell r="H368" t="str">
            <v>BL A AP 26</v>
          </cell>
          <cell r="I368" t="str">
            <v>11075-350</v>
          </cell>
          <cell r="J368" t="str">
            <v>32215923</v>
          </cell>
          <cell r="K368" t="str">
            <v/>
          </cell>
          <cell r="L368" t="str">
            <v>Masculino</v>
          </cell>
          <cell r="M368" t="str">
            <v>Parda</v>
          </cell>
          <cell r="N368">
            <v>22140</v>
          </cell>
          <cell r="O368" t="str">
            <v>133550801</v>
          </cell>
          <cell r="P368" t="str">
            <v>SP</v>
          </cell>
          <cell r="Q368" t="str">
            <v>SSP</v>
          </cell>
          <cell r="R368" t="str">
            <v>SANTOS</v>
          </cell>
        </row>
        <row r="369">
          <cell r="A369" t="str">
            <v>DARIO PEREIRA MARQUES</v>
          </cell>
          <cell r="B369" t="str">
            <v>Casado</v>
          </cell>
          <cell r="C369" t="str">
            <v>R Jurandir Paulino</v>
          </cell>
          <cell r="D369" t="str">
            <v>Samarita</v>
          </cell>
          <cell r="E369" t="str">
            <v>SAO VICENTE</v>
          </cell>
          <cell r="F369" t="str">
            <v>SP</v>
          </cell>
          <cell r="G369" t="str">
            <v>31</v>
          </cell>
          <cell r="H369" t="str">
            <v/>
          </cell>
          <cell r="I369" t="str">
            <v>11345-065</v>
          </cell>
          <cell r="J369" t="str">
            <v>35668343</v>
          </cell>
          <cell r="K369" t="str">
            <v/>
          </cell>
          <cell r="L369" t="str">
            <v>Masculino</v>
          </cell>
          <cell r="M369" t="str">
            <v>Parda</v>
          </cell>
          <cell r="N369">
            <v>30374</v>
          </cell>
          <cell r="O369" t="str">
            <v>304597831</v>
          </cell>
          <cell r="P369" t="str">
            <v>SP</v>
          </cell>
          <cell r="Q369" t="str">
            <v>SSP</v>
          </cell>
          <cell r="R369" t="str">
            <v>SAO VICENTE</v>
          </cell>
        </row>
        <row r="370">
          <cell r="A370" t="str">
            <v>RUI DIEGO ALVES DOS SANTOS VELOSO</v>
          </cell>
          <cell r="B370" t="str">
            <v>Casado</v>
          </cell>
          <cell r="C370" t="str">
            <v>R Doutor Guedes Coelho</v>
          </cell>
          <cell r="D370" t="str">
            <v>Encruzilhada</v>
          </cell>
          <cell r="E370" t="str">
            <v>SANTOS</v>
          </cell>
          <cell r="F370" t="str">
            <v>SP</v>
          </cell>
          <cell r="G370" t="str">
            <v>229</v>
          </cell>
          <cell r="H370" t="str">
            <v>APTO 74</v>
          </cell>
          <cell r="I370" t="str">
            <v>11050-231</v>
          </cell>
          <cell r="J370" t="str">
            <v>32227906</v>
          </cell>
          <cell r="K370" t="str">
            <v/>
          </cell>
          <cell r="L370" t="str">
            <v>Masculino</v>
          </cell>
          <cell r="M370" t="str">
            <v>Parda</v>
          </cell>
          <cell r="N370">
            <v>29944</v>
          </cell>
          <cell r="O370" t="str">
            <v>322287261</v>
          </cell>
          <cell r="P370" t="str">
            <v>SP</v>
          </cell>
          <cell r="Q370" t="str">
            <v>SSP</v>
          </cell>
          <cell r="R370" t="str">
            <v>SANTOS</v>
          </cell>
        </row>
        <row r="371">
          <cell r="A371" t="str">
            <v>DIEGO DE LIMA RIBEIRO</v>
          </cell>
          <cell r="B371" t="str">
            <v>Casado</v>
          </cell>
          <cell r="C371" t="str">
            <v>R Eduardo</v>
          </cell>
          <cell r="D371" t="str">
            <v>Jardim Santana (Vice</v>
          </cell>
          <cell r="E371" t="str">
            <v>GUARUJA</v>
          </cell>
          <cell r="F371" t="str">
            <v>SP</v>
          </cell>
          <cell r="G371" t="str">
            <v>437</v>
          </cell>
          <cell r="H371" t="str">
            <v>Sobrado esquina muro amar</v>
          </cell>
          <cell r="I371" t="str">
            <v>11470-170</v>
          </cell>
          <cell r="J371" t="str">
            <v>33496892</v>
          </cell>
          <cell r="K371" t="str">
            <v>981565153</v>
          </cell>
          <cell r="L371" t="str">
            <v>Masculino</v>
          </cell>
          <cell r="M371" t="str">
            <v>Parda</v>
          </cell>
          <cell r="N371">
            <v>30526</v>
          </cell>
          <cell r="O371" t="str">
            <v>202336251</v>
          </cell>
          <cell r="P371" t="str">
            <v>SP</v>
          </cell>
          <cell r="Q371" t="str">
            <v>SSP</v>
          </cell>
          <cell r="R371" t="str">
            <v>RIO DE JANEIRO</v>
          </cell>
        </row>
        <row r="372">
          <cell r="A372" t="str">
            <v>TARCIZIO GALDINO DOS SANTOS</v>
          </cell>
          <cell r="B372" t="str">
            <v>Casado</v>
          </cell>
          <cell r="C372" t="str">
            <v>R João Couto Lemos</v>
          </cell>
          <cell r="D372" t="str">
            <v>Sítio Paecara (Vicen</v>
          </cell>
          <cell r="E372" t="str">
            <v>GUARUJA</v>
          </cell>
          <cell r="F372" t="str">
            <v>SP</v>
          </cell>
          <cell r="G372" t="str">
            <v>337</v>
          </cell>
          <cell r="H372" t="str">
            <v/>
          </cell>
          <cell r="I372" t="str">
            <v>11461-010</v>
          </cell>
          <cell r="J372" t="str">
            <v>988258590</v>
          </cell>
          <cell r="K372" t="str">
            <v/>
          </cell>
          <cell r="L372" t="str">
            <v>Masculino</v>
          </cell>
          <cell r="M372" t="str">
            <v>Parda</v>
          </cell>
          <cell r="N372">
            <v>25930</v>
          </cell>
          <cell r="O372" t="str">
            <v>204625920</v>
          </cell>
          <cell r="P372" t="str">
            <v>SP</v>
          </cell>
          <cell r="Q372" t="str">
            <v>SSP</v>
          </cell>
          <cell r="R372" t="str">
            <v>CORONEL JOAO SA</v>
          </cell>
        </row>
        <row r="373">
          <cell r="A373" t="str">
            <v>VITOR DOS SANTOS</v>
          </cell>
          <cell r="B373" t="str">
            <v>Casado</v>
          </cell>
          <cell r="C373" t="str">
            <v>R João Baptista Furlani</v>
          </cell>
          <cell r="D373" t="str">
            <v>Jardim Progresso (Vi</v>
          </cell>
          <cell r="E373" t="str">
            <v>GUARUJA</v>
          </cell>
          <cell r="F373" t="str">
            <v>SP</v>
          </cell>
          <cell r="G373" t="str">
            <v>352</v>
          </cell>
          <cell r="H373" t="str">
            <v>CASA 2</v>
          </cell>
          <cell r="I373" t="str">
            <v>11453-030</v>
          </cell>
          <cell r="J373" t="str">
            <v>974020599</v>
          </cell>
          <cell r="K373" t="str">
            <v/>
          </cell>
          <cell r="L373" t="str">
            <v>Masculino</v>
          </cell>
          <cell r="M373" t="str">
            <v>Parda</v>
          </cell>
          <cell r="N373">
            <v>29801</v>
          </cell>
          <cell r="O373" t="str">
            <v>348958286</v>
          </cell>
          <cell r="P373" t="str">
            <v>SP</v>
          </cell>
          <cell r="Q373" t="str">
            <v>SSP</v>
          </cell>
          <cell r="R373" t="str">
            <v>GUARUJA</v>
          </cell>
        </row>
        <row r="374">
          <cell r="A374" t="str">
            <v>MARCIO LUIZ SANTOS VIEIRA</v>
          </cell>
          <cell r="B374" t="str">
            <v>Casado</v>
          </cell>
          <cell r="C374" t="str">
            <v>AV PENEDO</v>
          </cell>
          <cell r="D374" t="str">
            <v>Catiapoa</v>
          </cell>
          <cell r="E374" t="str">
            <v>SAO VICENTE</v>
          </cell>
          <cell r="F374" t="str">
            <v>SP</v>
          </cell>
          <cell r="G374" t="str">
            <v>556</v>
          </cell>
          <cell r="H374" t="str">
            <v/>
          </cell>
          <cell r="I374" t="str">
            <v>11370-400</v>
          </cell>
          <cell r="J374" t="str">
            <v>974069078</v>
          </cell>
          <cell r="K374" t="str">
            <v/>
          </cell>
          <cell r="L374" t="str">
            <v>Masculino</v>
          </cell>
          <cell r="M374" t="str">
            <v>Parda</v>
          </cell>
          <cell r="N374">
            <v>29475</v>
          </cell>
          <cell r="O374" t="str">
            <v>328072242</v>
          </cell>
          <cell r="P374" t="str">
            <v>SP</v>
          </cell>
          <cell r="Q374" t="str">
            <v>SSP</v>
          </cell>
          <cell r="R374" t="str">
            <v>SAO VICENTE</v>
          </cell>
        </row>
        <row r="375">
          <cell r="A375" t="str">
            <v>JOAO GABRIEL DE LANA JUNIOR</v>
          </cell>
          <cell r="B375" t="str">
            <v>Casado</v>
          </cell>
          <cell r="C375" t="str">
            <v>R Nancyr Feliciano de Oliveira</v>
          </cell>
          <cell r="D375" t="str">
            <v>Tupiry</v>
          </cell>
          <cell r="E375" t="str">
            <v>PRAIA GRANDE</v>
          </cell>
          <cell r="F375" t="str">
            <v>SP</v>
          </cell>
          <cell r="G375" t="str">
            <v>1149</v>
          </cell>
          <cell r="H375" t="str">
            <v/>
          </cell>
          <cell r="I375" t="str">
            <v>11719-130</v>
          </cell>
          <cell r="J375" t="str">
            <v>988216219</v>
          </cell>
          <cell r="K375" t="str">
            <v/>
          </cell>
          <cell r="L375" t="str">
            <v>Masculino</v>
          </cell>
          <cell r="M375" t="str">
            <v>Preta/Negra</v>
          </cell>
          <cell r="N375">
            <v>31685</v>
          </cell>
          <cell r="O375" t="str">
            <v>405198711</v>
          </cell>
          <cell r="P375" t="str">
            <v>SP</v>
          </cell>
          <cell r="Q375" t="str">
            <v>SSP</v>
          </cell>
          <cell r="R375" t="str">
            <v>SAO VICENTE</v>
          </cell>
        </row>
        <row r="376">
          <cell r="A376" t="str">
            <v>MAKS ALAN SANTOS</v>
          </cell>
          <cell r="B376" t="str">
            <v>Casado</v>
          </cell>
          <cell r="C376" t="str">
            <v>R Engenheiro José Garcia da Silveira</v>
          </cell>
          <cell r="D376" t="str">
            <v>Jabaquara</v>
          </cell>
          <cell r="E376" t="str">
            <v>SANTOS</v>
          </cell>
          <cell r="F376" t="str">
            <v>SP</v>
          </cell>
          <cell r="G376" t="str">
            <v>43</v>
          </cell>
          <cell r="H376" t="str">
            <v>CASA 12</v>
          </cell>
          <cell r="I376" t="str">
            <v>11013-670</v>
          </cell>
          <cell r="J376" t="str">
            <v>991916148</v>
          </cell>
          <cell r="K376" t="str">
            <v/>
          </cell>
          <cell r="L376" t="str">
            <v>Masculino</v>
          </cell>
          <cell r="M376" t="str">
            <v>Parda</v>
          </cell>
          <cell r="N376">
            <v>30734</v>
          </cell>
          <cell r="O376" t="str">
            <v>3168054</v>
          </cell>
          <cell r="P376" t="str">
            <v>SP</v>
          </cell>
          <cell r="Q376" t="str">
            <v>SSP</v>
          </cell>
          <cell r="R376" t="str">
            <v>ARACAJU</v>
          </cell>
        </row>
        <row r="377">
          <cell r="A377" t="str">
            <v>BRUNO SILVA DE MENEZES</v>
          </cell>
          <cell r="B377" t="str">
            <v>Casado</v>
          </cell>
          <cell r="C377" t="str">
            <v>R TRINTA E DOIS</v>
          </cell>
          <cell r="D377" t="str">
            <v>Parque Continental</v>
          </cell>
          <cell r="E377" t="str">
            <v>SAO VICENTE</v>
          </cell>
          <cell r="F377" t="str">
            <v>SP</v>
          </cell>
          <cell r="G377" t="str">
            <v>40</v>
          </cell>
          <cell r="H377" t="str">
            <v/>
          </cell>
          <cell r="I377" t="str">
            <v>11348-120</v>
          </cell>
          <cell r="J377" t="str">
            <v>981176544</v>
          </cell>
          <cell r="K377" t="str">
            <v/>
          </cell>
          <cell r="L377" t="str">
            <v>Masculino</v>
          </cell>
          <cell r="M377" t="str">
            <v>Parda</v>
          </cell>
          <cell r="N377">
            <v>32504</v>
          </cell>
          <cell r="O377" t="str">
            <v>338246460</v>
          </cell>
          <cell r="P377" t="str">
            <v>SP</v>
          </cell>
          <cell r="Q377" t="str">
            <v>SSP</v>
          </cell>
          <cell r="R377" t="str">
            <v>SANTOS</v>
          </cell>
        </row>
        <row r="378">
          <cell r="A378" t="str">
            <v>CLAUDIO DA SILVA</v>
          </cell>
          <cell r="B378" t="str">
            <v>Casado</v>
          </cell>
          <cell r="C378" t="str">
            <v>R Ubirajara Barroso de Oliveira</v>
          </cell>
          <cell r="D378" t="str">
            <v>Vila Matias</v>
          </cell>
          <cell r="E378" t="str">
            <v>SAO VICENTE</v>
          </cell>
          <cell r="F378" t="str">
            <v>SP</v>
          </cell>
          <cell r="G378" t="str">
            <v>380</v>
          </cell>
          <cell r="H378" t="str">
            <v/>
          </cell>
          <cell r="I378" t="str">
            <v>11345-240</v>
          </cell>
          <cell r="J378" t="str">
            <v>996328671</v>
          </cell>
          <cell r="K378" t="str">
            <v/>
          </cell>
          <cell r="L378" t="str">
            <v>Masculino</v>
          </cell>
          <cell r="M378" t="str">
            <v>Parda</v>
          </cell>
          <cell r="N378">
            <v>29263</v>
          </cell>
          <cell r="O378" t="str">
            <v>334960745</v>
          </cell>
          <cell r="P378" t="str">
            <v>SP</v>
          </cell>
          <cell r="Q378" t="str">
            <v>SSP</v>
          </cell>
          <cell r="R378" t="str">
            <v>ALAGOA GRANDE</v>
          </cell>
        </row>
        <row r="379">
          <cell r="A379" t="str">
            <v>GILSON SILVA DE ANDRADE</v>
          </cell>
          <cell r="B379" t="str">
            <v>Casado</v>
          </cell>
          <cell r="C379" t="str">
            <v>R Barueri</v>
          </cell>
          <cell r="D379" t="str">
            <v>Vila Áurea (Vicente</v>
          </cell>
          <cell r="E379" t="str">
            <v>GUARUJA</v>
          </cell>
          <cell r="F379" t="str">
            <v>SP</v>
          </cell>
          <cell r="G379" t="str">
            <v>20</v>
          </cell>
          <cell r="H379" t="str">
            <v/>
          </cell>
          <cell r="I379" t="str">
            <v>11454-280</v>
          </cell>
          <cell r="J379" t="str">
            <v>33416421</v>
          </cell>
          <cell r="K379" t="str">
            <v/>
          </cell>
          <cell r="L379" t="str">
            <v>Masculino</v>
          </cell>
          <cell r="M379" t="str">
            <v>Parda</v>
          </cell>
          <cell r="N379">
            <v>28466</v>
          </cell>
          <cell r="O379" t="str">
            <v>25194756</v>
          </cell>
          <cell r="P379" t="str">
            <v>SP</v>
          </cell>
          <cell r="Q379" t="str">
            <v>SSP</v>
          </cell>
          <cell r="R379" t="str">
            <v>GUARUJA</v>
          </cell>
        </row>
        <row r="380">
          <cell r="A380" t="str">
            <v>LEANDRO DOS SANTOS COSTA</v>
          </cell>
          <cell r="B380" t="str">
            <v>Solteiro</v>
          </cell>
          <cell r="C380" t="str">
            <v>AV PENEDO</v>
          </cell>
          <cell r="D380" t="str">
            <v>Catiapoa</v>
          </cell>
          <cell r="E380" t="str">
            <v>SAO VICENTE</v>
          </cell>
          <cell r="F380" t="str">
            <v>SP</v>
          </cell>
          <cell r="G380" t="str">
            <v>25</v>
          </cell>
          <cell r="H380" t="str">
            <v/>
          </cell>
          <cell r="I380" t="str">
            <v>11370-400</v>
          </cell>
          <cell r="J380" t="str">
            <v>981757449</v>
          </cell>
          <cell r="K380" t="str">
            <v/>
          </cell>
          <cell r="L380" t="str">
            <v>Masculino</v>
          </cell>
          <cell r="M380" t="str">
            <v>Parda</v>
          </cell>
          <cell r="N380">
            <v>31182</v>
          </cell>
          <cell r="O380" t="str">
            <v>414471581</v>
          </cell>
          <cell r="P380" t="str">
            <v>SP</v>
          </cell>
          <cell r="Q380" t="str">
            <v>SSP</v>
          </cell>
          <cell r="R380" t="str">
            <v>SANTOS</v>
          </cell>
        </row>
        <row r="381">
          <cell r="A381" t="str">
            <v>ANDRE VINICIUS ARAUJO DOS SANTOS</v>
          </cell>
          <cell r="B381" t="str">
            <v>Casado</v>
          </cell>
          <cell r="C381" t="str">
            <v>R Carijós</v>
          </cell>
          <cell r="D381" t="str">
            <v>Parque Sao Vicente</v>
          </cell>
          <cell r="E381" t="str">
            <v>SAO VICENTE</v>
          </cell>
          <cell r="F381" t="str">
            <v>SP</v>
          </cell>
          <cell r="G381" t="str">
            <v>88</v>
          </cell>
          <cell r="H381" t="str">
            <v/>
          </cell>
          <cell r="I381" t="str">
            <v>11360-100</v>
          </cell>
          <cell r="J381" t="str">
            <v>974072886</v>
          </cell>
          <cell r="K381" t="str">
            <v>981079208</v>
          </cell>
          <cell r="L381" t="str">
            <v>Masculino</v>
          </cell>
          <cell r="M381" t="str">
            <v>Parda</v>
          </cell>
          <cell r="N381">
            <v>29589</v>
          </cell>
          <cell r="O381" t="str">
            <v>330852504</v>
          </cell>
          <cell r="P381" t="str">
            <v>SP</v>
          </cell>
          <cell r="Q381" t="str">
            <v>SSP</v>
          </cell>
          <cell r="R381" t="str">
            <v>SANTOS</v>
          </cell>
        </row>
        <row r="382">
          <cell r="A382" t="str">
            <v>LETICIA DOS SANTOS MENDONCA SILVA</v>
          </cell>
          <cell r="B382" t="str">
            <v>Casado</v>
          </cell>
          <cell r="C382" t="str">
            <v>R Rui Barbosa</v>
          </cell>
          <cell r="D382" t="str">
            <v>Parque Estuário (Vic</v>
          </cell>
          <cell r="E382" t="str">
            <v>GUARUJA</v>
          </cell>
          <cell r="F382" t="str">
            <v>SP</v>
          </cell>
          <cell r="G382" t="str">
            <v>82</v>
          </cell>
          <cell r="H382" t="str">
            <v>FDS</v>
          </cell>
          <cell r="I382" t="str">
            <v>11451-060</v>
          </cell>
          <cell r="J382" t="str">
            <v>988467828</v>
          </cell>
          <cell r="K382" t="str">
            <v/>
          </cell>
          <cell r="L382" t="str">
            <v>Feminino</v>
          </cell>
          <cell r="M382" t="str">
            <v>Parda</v>
          </cell>
          <cell r="N382">
            <v>31117</v>
          </cell>
          <cell r="O382" t="str">
            <v>353958815</v>
          </cell>
          <cell r="P382" t="str">
            <v>SP</v>
          </cell>
          <cell r="Q382" t="str">
            <v>SSP</v>
          </cell>
          <cell r="R382" t="str">
            <v>SANTOS</v>
          </cell>
        </row>
        <row r="383">
          <cell r="A383" t="str">
            <v>GUILHERME PAUTA PERCINCULA DOS SANTOS</v>
          </cell>
          <cell r="B383" t="str">
            <v>Casado</v>
          </cell>
          <cell r="C383" t="str">
            <v>R Ostreira</v>
          </cell>
          <cell r="D383" t="str">
            <v>Jardim Santa Maria</v>
          </cell>
          <cell r="E383" t="str">
            <v>GUARUJA</v>
          </cell>
          <cell r="F383" t="str">
            <v>SP</v>
          </cell>
          <cell r="G383" t="str">
            <v>579</v>
          </cell>
          <cell r="H383" t="str">
            <v/>
          </cell>
          <cell r="I383" t="str">
            <v>11432-080</v>
          </cell>
          <cell r="J383" t="str">
            <v>991825965</v>
          </cell>
          <cell r="K383" t="str">
            <v/>
          </cell>
          <cell r="L383" t="str">
            <v>Masculino</v>
          </cell>
          <cell r="M383" t="str">
            <v>Parda</v>
          </cell>
          <cell r="N383">
            <v>33490</v>
          </cell>
          <cell r="O383" t="str">
            <v>485718157</v>
          </cell>
          <cell r="P383" t="str">
            <v>SP</v>
          </cell>
          <cell r="Q383" t="str">
            <v>SSP</v>
          </cell>
          <cell r="R383" t="str">
            <v>SANTOS</v>
          </cell>
        </row>
        <row r="384">
          <cell r="A384" t="str">
            <v>EDINALDO GONCALVES DE OLIVEIRA</v>
          </cell>
          <cell r="B384" t="str">
            <v>Casado</v>
          </cell>
          <cell r="C384" t="str">
            <v>R Capitão Vicente de Aguiar</v>
          </cell>
          <cell r="D384" t="str">
            <v>Jardim Esplanada do</v>
          </cell>
          <cell r="E384" t="str">
            <v>GUARUJA</v>
          </cell>
          <cell r="F384" t="str">
            <v>SP</v>
          </cell>
          <cell r="G384" t="str">
            <v>2029</v>
          </cell>
          <cell r="H384" t="str">
            <v>AP 41</v>
          </cell>
          <cell r="I384" t="str">
            <v>11450-070</v>
          </cell>
          <cell r="J384" t="str">
            <v>33422139</v>
          </cell>
          <cell r="K384" t="str">
            <v/>
          </cell>
          <cell r="L384" t="str">
            <v>Masculino</v>
          </cell>
          <cell r="M384" t="str">
            <v>Parda</v>
          </cell>
          <cell r="N384">
            <v>29221</v>
          </cell>
          <cell r="O384" t="str">
            <v>118735927</v>
          </cell>
          <cell r="P384" t="str">
            <v>SP</v>
          </cell>
          <cell r="Q384" t="str">
            <v>SSP</v>
          </cell>
          <cell r="R384" t="str">
            <v>RIO DE JANEIRO</v>
          </cell>
        </row>
        <row r="385">
          <cell r="A385" t="str">
            <v>RAFAEL AMARAL DA SILVA</v>
          </cell>
          <cell r="B385" t="str">
            <v>Solteiro</v>
          </cell>
          <cell r="C385" t="str">
            <v>R ANTONIA SAUDINO</v>
          </cell>
          <cell r="D385" t="str">
            <v>Sitio do Campo</v>
          </cell>
          <cell r="E385" t="str">
            <v>PRAIA GRANDE</v>
          </cell>
          <cell r="F385" t="str">
            <v>SP</v>
          </cell>
          <cell r="G385" t="str">
            <v>64</v>
          </cell>
          <cell r="H385" t="str">
            <v/>
          </cell>
          <cell r="I385" t="str">
            <v>11724-320</v>
          </cell>
          <cell r="J385" t="str">
            <v>34672447</v>
          </cell>
          <cell r="K385" t="str">
            <v/>
          </cell>
          <cell r="L385" t="str">
            <v>Masculino</v>
          </cell>
          <cell r="M385" t="str">
            <v>Parda</v>
          </cell>
          <cell r="N385">
            <v>30673</v>
          </cell>
          <cell r="O385" t="str">
            <v>290945550</v>
          </cell>
          <cell r="P385" t="str">
            <v>SP</v>
          </cell>
          <cell r="Q385" t="str">
            <v>SSP</v>
          </cell>
          <cell r="R385" t="str">
            <v>SANTOS</v>
          </cell>
        </row>
        <row r="386">
          <cell r="A386" t="str">
            <v>REGINALDO RODRIGUES DOS SANTOS</v>
          </cell>
          <cell r="B386" t="str">
            <v>Casado</v>
          </cell>
          <cell r="C386" t="str">
            <v>R Rafael Gonzalez</v>
          </cell>
          <cell r="D386" t="str">
            <v>Jardim Helena Maria</v>
          </cell>
          <cell r="E386" t="str">
            <v>GUARUJA</v>
          </cell>
          <cell r="F386" t="str">
            <v>SP</v>
          </cell>
          <cell r="G386" t="str">
            <v>129</v>
          </cell>
          <cell r="H386" t="str">
            <v/>
          </cell>
          <cell r="I386" t="str">
            <v>11431-070</v>
          </cell>
          <cell r="J386" t="str">
            <v>30213156</v>
          </cell>
          <cell r="K386" t="str">
            <v>981526865</v>
          </cell>
          <cell r="L386" t="str">
            <v>Masculino</v>
          </cell>
          <cell r="M386" t="str">
            <v>Parda</v>
          </cell>
          <cell r="N386">
            <v>24086</v>
          </cell>
          <cell r="O386" t="str">
            <v>18061049</v>
          </cell>
          <cell r="P386" t="str">
            <v>SP</v>
          </cell>
          <cell r="Q386" t="str">
            <v>SSP</v>
          </cell>
          <cell r="R386" t="str">
            <v>MARINGA</v>
          </cell>
        </row>
        <row r="387">
          <cell r="A387" t="str">
            <v>FLAVIA SILVA MARIANO XAVIER</v>
          </cell>
          <cell r="B387" t="str">
            <v>Casado</v>
          </cell>
          <cell r="C387" t="str">
            <v>R Doutor Polydoro de Oliveira Bittencourt</v>
          </cell>
          <cell r="D387" t="str">
            <v>Vila Margarida</v>
          </cell>
          <cell r="E387" t="str">
            <v>SAO VICENTE</v>
          </cell>
          <cell r="F387" t="str">
            <v>SP</v>
          </cell>
          <cell r="G387" t="str">
            <v>500</v>
          </cell>
          <cell r="H387" t="str">
            <v/>
          </cell>
          <cell r="I387" t="str">
            <v>11330-570</v>
          </cell>
          <cell r="J387" t="str">
            <v>33560563</v>
          </cell>
          <cell r="K387" t="str">
            <v/>
          </cell>
          <cell r="L387" t="str">
            <v>Feminino</v>
          </cell>
          <cell r="M387" t="str">
            <v>Parda</v>
          </cell>
          <cell r="N387">
            <v>31691</v>
          </cell>
          <cell r="O387" t="str">
            <v>341580818</v>
          </cell>
          <cell r="P387" t="str">
            <v>SP</v>
          </cell>
          <cell r="Q387" t="str">
            <v>SSP</v>
          </cell>
          <cell r="R387" t="str">
            <v>SAO VICENTE</v>
          </cell>
        </row>
        <row r="388">
          <cell r="A388" t="str">
            <v>DANIEL CAVALCANTI AVELINO GARCIA</v>
          </cell>
          <cell r="B388" t="str">
            <v>Solteiro</v>
          </cell>
          <cell r="C388" t="str">
            <v>R Professor Doutor Olavo de Paula Borges</v>
          </cell>
          <cell r="D388" t="str">
            <v>Ponta da Praia</v>
          </cell>
          <cell r="E388" t="str">
            <v>SANTOS</v>
          </cell>
          <cell r="F388" t="str">
            <v>SP</v>
          </cell>
          <cell r="G388" t="str">
            <v>69</v>
          </cell>
          <cell r="H388" t="str">
            <v>APTO 14</v>
          </cell>
          <cell r="I388" t="str">
            <v>11035-130</v>
          </cell>
          <cell r="J388" t="str">
            <v>30260119</v>
          </cell>
          <cell r="K388" t="str">
            <v/>
          </cell>
          <cell r="L388" t="str">
            <v>Masculino</v>
          </cell>
          <cell r="M388" t="str">
            <v>Parda</v>
          </cell>
          <cell r="N388">
            <v>29770</v>
          </cell>
          <cell r="O388" t="str">
            <v>294067</v>
          </cell>
          <cell r="P388" t="str">
            <v>SP</v>
          </cell>
          <cell r="Q388" t="str">
            <v>SSP</v>
          </cell>
          <cell r="R388" t="str">
            <v>SANTOS</v>
          </cell>
        </row>
        <row r="389">
          <cell r="A389" t="str">
            <v>FELIPE SANTOS GOMES DE MORAES</v>
          </cell>
          <cell r="B389" t="str">
            <v>Casado</v>
          </cell>
          <cell r="C389" t="str">
            <v>R ERICO VERISSIMO</v>
          </cell>
          <cell r="D389" t="str">
            <v>Vila Jockei Clube</v>
          </cell>
          <cell r="E389" t="str">
            <v>SAO VICENTE</v>
          </cell>
          <cell r="F389" t="str">
            <v>SP</v>
          </cell>
          <cell r="G389" t="str">
            <v>708</v>
          </cell>
          <cell r="H389" t="str">
            <v>BL D AP 33</v>
          </cell>
          <cell r="I389" t="str">
            <v>11360-380</v>
          </cell>
          <cell r="J389" t="str">
            <v/>
          </cell>
          <cell r="K389" t="str">
            <v/>
          </cell>
          <cell r="L389" t="str">
            <v>Masculino</v>
          </cell>
          <cell r="M389" t="str">
            <v>Parda</v>
          </cell>
          <cell r="N389">
            <v>32652</v>
          </cell>
          <cell r="O389" t="str">
            <v>449825243</v>
          </cell>
          <cell r="P389" t="str">
            <v>SP</v>
          </cell>
          <cell r="Q389" t="str">
            <v>SSP</v>
          </cell>
          <cell r="R389" t="str">
            <v>SANTOS</v>
          </cell>
        </row>
        <row r="390">
          <cell r="A390" t="str">
            <v>SIDMAR SANTOS DE TRINDADE</v>
          </cell>
          <cell r="B390" t="str">
            <v>Solteiro</v>
          </cell>
          <cell r="C390" t="str">
            <v>R Adoniran Barbosa</v>
          </cell>
          <cell r="D390" t="str">
            <v>Sítio Paecara (Vicen</v>
          </cell>
          <cell r="E390" t="str">
            <v>GUARUJA</v>
          </cell>
          <cell r="F390" t="str">
            <v>SP</v>
          </cell>
          <cell r="G390" t="str">
            <v>275</v>
          </cell>
          <cell r="H390" t="str">
            <v/>
          </cell>
          <cell r="I390" t="str">
            <v>11451-360</v>
          </cell>
          <cell r="J390" t="str">
            <v>974150292</v>
          </cell>
          <cell r="K390" t="str">
            <v/>
          </cell>
          <cell r="L390" t="str">
            <v>Masculino</v>
          </cell>
          <cell r="M390" t="str">
            <v>Parda</v>
          </cell>
          <cell r="N390">
            <v>30133</v>
          </cell>
          <cell r="O390" t="str">
            <v>34352059X</v>
          </cell>
          <cell r="P390" t="str">
            <v>SP</v>
          </cell>
          <cell r="Q390" t="str">
            <v>SSP</v>
          </cell>
          <cell r="R390" t="str">
            <v>GUARUJA</v>
          </cell>
        </row>
        <row r="391">
          <cell r="A391" t="str">
            <v>OSMAR SOARES DE OLIVEIRA JUNIOR</v>
          </cell>
          <cell r="B391" t="str">
            <v>União Estável</v>
          </cell>
          <cell r="C391" t="str">
            <v>R Antônio dos Santos Barbosa</v>
          </cell>
          <cell r="D391" t="str">
            <v>Cidade Nautica</v>
          </cell>
          <cell r="E391" t="str">
            <v>SAO VICENTE</v>
          </cell>
          <cell r="F391" t="str">
            <v>SP</v>
          </cell>
          <cell r="G391" t="str">
            <v>73</v>
          </cell>
          <cell r="H391" t="str">
            <v/>
          </cell>
          <cell r="I391" t="str">
            <v>11340-320</v>
          </cell>
          <cell r="J391" t="str">
            <v>974068540</v>
          </cell>
          <cell r="K391" t="str">
            <v>35613414</v>
          </cell>
          <cell r="L391" t="str">
            <v>Masculino</v>
          </cell>
          <cell r="M391" t="str">
            <v>Parda</v>
          </cell>
          <cell r="N391">
            <v>28625</v>
          </cell>
          <cell r="O391" t="str">
            <v>290090945</v>
          </cell>
          <cell r="P391" t="str">
            <v>SP</v>
          </cell>
          <cell r="Q391" t="str">
            <v>SSP</v>
          </cell>
          <cell r="R391" t="str">
            <v>SAO VICENTE</v>
          </cell>
        </row>
        <row r="392">
          <cell r="A392" t="str">
            <v>FLAVIO AUGUSTO HONORIO</v>
          </cell>
          <cell r="B392" t="str">
            <v>Casado</v>
          </cell>
          <cell r="C392" t="str">
            <v>R CAPITAO ALBERTO MENDES JUNIOR</v>
          </cell>
          <cell r="D392" t="str">
            <v>Jardim Boa Esperança</v>
          </cell>
          <cell r="E392" t="str">
            <v>GUARUJA</v>
          </cell>
          <cell r="F392" t="str">
            <v>SP</v>
          </cell>
          <cell r="G392" t="str">
            <v>1059</v>
          </cell>
          <cell r="H392" t="str">
            <v>CASA 1</v>
          </cell>
          <cell r="I392" t="str">
            <v>11470-150</v>
          </cell>
          <cell r="J392" t="str">
            <v/>
          </cell>
          <cell r="K392" t="str">
            <v>991509016</v>
          </cell>
          <cell r="L392" t="str">
            <v>Masculino</v>
          </cell>
          <cell r="M392" t="str">
            <v>Parda</v>
          </cell>
          <cell r="N392">
            <v>28244</v>
          </cell>
          <cell r="O392" t="str">
            <v>27214110</v>
          </cell>
          <cell r="P392" t="str">
            <v>SP</v>
          </cell>
          <cell r="Q392" t="str">
            <v>SSP</v>
          </cell>
          <cell r="R392" t="str">
            <v>MATAO</v>
          </cell>
        </row>
        <row r="393">
          <cell r="A393" t="str">
            <v>EDIMILSON DOS SANTOS CERCA</v>
          </cell>
          <cell r="B393" t="str">
            <v>Solteiro</v>
          </cell>
          <cell r="C393" t="str">
            <v>AV DOUTOR NILO PECANHA</v>
          </cell>
          <cell r="D393" t="str">
            <v>Marapé</v>
          </cell>
          <cell r="E393" t="str">
            <v>SANTOS</v>
          </cell>
          <cell r="F393" t="str">
            <v>SP</v>
          </cell>
          <cell r="G393" t="str">
            <v>289</v>
          </cell>
          <cell r="H393" t="str">
            <v/>
          </cell>
          <cell r="I393" t="str">
            <v>11070-051</v>
          </cell>
          <cell r="J393" t="str">
            <v>30289238</v>
          </cell>
          <cell r="K393" t="str">
            <v/>
          </cell>
          <cell r="L393" t="str">
            <v>Masculino</v>
          </cell>
          <cell r="M393" t="str">
            <v>Parda</v>
          </cell>
          <cell r="N393">
            <v>24459</v>
          </cell>
          <cell r="O393" t="str">
            <v>19379791</v>
          </cell>
          <cell r="P393" t="str">
            <v>SP</v>
          </cell>
          <cell r="Q393" t="str">
            <v>SSP</v>
          </cell>
          <cell r="R393" t="str">
            <v>SANTOS</v>
          </cell>
        </row>
        <row r="394">
          <cell r="A394" t="str">
            <v>SERGIO DE MEDEIROS CINTRA</v>
          </cell>
          <cell r="B394" t="str">
            <v>Solteiro</v>
          </cell>
          <cell r="C394" t="str">
            <v>AV CAPITAO ANTAO DE MOURA</v>
          </cell>
          <cell r="D394" t="str">
            <v>Parque Bitaru</v>
          </cell>
          <cell r="E394" t="str">
            <v>SAO VICENTE</v>
          </cell>
          <cell r="F394" t="str">
            <v>SP</v>
          </cell>
          <cell r="G394" t="str">
            <v>826</v>
          </cell>
          <cell r="H394" t="str">
            <v/>
          </cell>
          <cell r="I394" t="str">
            <v>11330-100</v>
          </cell>
          <cell r="J394" t="str">
            <v>34684211</v>
          </cell>
          <cell r="K394" t="str">
            <v/>
          </cell>
          <cell r="L394" t="str">
            <v>Masculino</v>
          </cell>
          <cell r="M394" t="str">
            <v>Parda</v>
          </cell>
          <cell r="N394">
            <v>27462</v>
          </cell>
          <cell r="O394" t="str">
            <v>271615473</v>
          </cell>
          <cell r="P394" t="str">
            <v>SP</v>
          </cell>
          <cell r="Q394" t="str">
            <v>SSP</v>
          </cell>
          <cell r="R394" t="str">
            <v>SAO VICENTE</v>
          </cell>
        </row>
        <row r="395">
          <cell r="A395" t="str">
            <v>PAULO SERGIO DOS SANTOS</v>
          </cell>
          <cell r="B395" t="str">
            <v>Casado</v>
          </cell>
          <cell r="C395" t="str">
            <v>R Itariri</v>
          </cell>
          <cell r="D395" t="str">
            <v>Sítio Paecara (Vicen</v>
          </cell>
          <cell r="E395" t="str">
            <v>GUARUJA</v>
          </cell>
          <cell r="F395" t="str">
            <v>SP</v>
          </cell>
          <cell r="G395" t="str">
            <v>67</v>
          </cell>
          <cell r="H395" t="str">
            <v/>
          </cell>
          <cell r="I395" t="str">
            <v>11451-230</v>
          </cell>
          <cell r="J395" t="str">
            <v>33841831</v>
          </cell>
          <cell r="K395" t="str">
            <v/>
          </cell>
          <cell r="L395" t="str">
            <v>Masculino</v>
          </cell>
          <cell r="M395" t="str">
            <v>Parda</v>
          </cell>
          <cell r="N395">
            <v>25898</v>
          </cell>
          <cell r="O395" t="str">
            <v>18904063</v>
          </cell>
          <cell r="P395" t="str">
            <v>SP</v>
          </cell>
          <cell r="Q395" t="str">
            <v>SSP</v>
          </cell>
          <cell r="R395" t="str">
            <v>GUARUJA</v>
          </cell>
        </row>
        <row r="396">
          <cell r="A396" t="str">
            <v>ANDERSON COLACO ROCHA</v>
          </cell>
          <cell r="B396" t="str">
            <v>Casado</v>
          </cell>
          <cell r="C396" t="str">
            <v>AV Embaixador Pedro de Toledo</v>
          </cell>
          <cell r="D396" t="str">
            <v>Centro</v>
          </cell>
          <cell r="E396" t="str">
            <v>SAO VICENTE</v>
          </cell>
          <cell r="F396" t="str">
            <v>SP</v>
          </cell>
          <cell r="G396" t="str">
            <v>385</v>
          </cell>
          <cell r="H396" t="str">
            <v>Ap 812</v>
          </cell>
          <cell r="I396" t="str">
            <v>11320-440</v>
          </cell>
          <cell r="J396" t="str">
            <v>974025509</v>
          </cell>
          <cell r="K396" t="str">
            <v/>
          </cell>
          <cell r="L396" t="str">
            <v>Masculino</v>
          </cell>
          <cell r="M396" t="str">
            <v>Parda</v>
          </cell>
          <cell r="N396">
            <v>30217</v>
          </cell>
          <cell r="O396" t="str">
            <v>330850635</v>
          </cell>
          <cell r="P396" t="str">
            <v>SP</v>
          </cell>
          <cell r="Q396" t="str">
            <v>SSP</v>
          </cell>
          <cell r="R396" t="str">
            <v>SANTOS</v>
          </cell>
        </row>
        <row r="397">
          <cell r="A397" t="str">
            <v>FABIO CORREIA DA SILVA</v>
          </cell>
          <cell r="B397" t="str">
            <v>Solteiro</v>
          </cell>
          <cell r="C397" t="str">
            <v>R Paraíba</v>
          </cell>
          <cell r="D397" t="str">
            <v>Pompéia</v>
          </cell>
          <cell r="E397" t="str">
            <v>SANTOS</v>
          </cell>
          <cell r="F397" t="str">
            <v>SP</v>
          </cell>
          <cell r="G397" t="str">
            <v>111</v>
          </cell>
          <cell r="H397" t="str">
            <v>ap35</v>
          </cell>
          <cell r="I397" t="str">
            <v>11065-470</v>
          </cell>
          <cell r="J397" t="str">
            <v/>
          </cell>
          <cell r="K397" t="str">
            <v/>
          </cell>
          <cell r="L397" t="str">
            <v>Masculino</v>
          </cell>
          <cell r="M397" t="str">
            <v>Parda</v>
          </cell>
          <cell r="N397">
            <v>29593</v>
          </cell>
          <cell r="O397" t="str">
            <v>303758818</v>
          </cell>
          <cell r="P397" t="str">
            <v>SP</v>
          </cell>
          <cell r="Q397" t="str">
            <v>SSP</v>
          </cell>
          <cell r="R397" t="str">
            <v>SANTOS</v>
          </cell>
        </row>
        <row r="398">
          <cell r="A398" t="str">
            <v>RODRIGO SILVA AMORIM</v>
          </cell>
          <cell r="B398" t="str">
            <v>Casado</v>
          </cell>
          <cell r="C398" t="str">
            <v>AV ANTENOR PIMENTEL</v>
          </cell>
          <cell r="D398" t="str">
            <v>Morrinhos</v>
          </cell>
          <cell r="E398" t="str">
            <v>GUARUJA</v>
          </cell>
          <cell r="F398" t="str">
            <v>SP</v>
          </cell>
          <cell r="G398" t="str">
            <v>1048</v>
          </cell>
          <cell r="H398" t="str">
            <v/>
          </cell>
          <cell r="I398" t="str">
            <v>11495-000</v>
          </cell>
          <cell r="J398" t="str">
            <v>974073680</v>
          </cell>
          <cell r="K398" t="str">
            <v/>
          </cell>
          <cell r="L398" t="str">
            <v>Masculino</v>
          </cell>
          <cell r="M398" t="str">
            <v>Parda</v>
          </cell>
          <cell r="N398">
            <v>31317</v>
          </cell>
          <cell r="O398" t="str">
            <v>438887645</v>
          </cell>
          <cell r="P398" t="str">
            <v>SP</v>
          </cell>
          <cell r="Q398" t="str">
            <v>SSP</v>
          </cell>
          <cell r="R398" t="str">
            <v>GUARUJA</v>
          </cell>
        </row>
        <row r="399">
          <cell r="A399" t="str">
            <v>UBALDO ZACARIAS VAZ</v>
          </cell>
          <cell r="B399" t="str">
            <v>Casado</v>
          </cell>
          <cell r="C399" t="str">
            <v>R Jardel Franca</v>
          </cell>
          <cell r="D399" t="str">
            <v>Esplanada dos Barrei</v>
          </cell>
          <cell r="E399" t="str">
            <v>SAO VICENTE</v>
          </cell>
          <cell r="F399" t="str">
            <v>SP</v>
          </cell>
          <cell r="G399" t="str">
            <v>337</v>
          </cell>
          <cell r="H399" t="str">
            <v/>
          </cell>
          <cell r="I399" t="str">
            <v>11340-340</v>
          </cell>
          <cell r="J399" t="str">
            <v/>
          </cell>
          <cell r="K399" t="str">
            <v/>
          </cell>
          <cell r="L399" t="str">
            <v>Masculino</v>
          </cell>
          <cell r="M399" t="str">
            <v>Parda</v>
          </cell>
          <cell r="N399">
            <v>26604</v>
          </cell>
          <cell r="O399" t="str">
            <v>22391716</v>
          </cell>
          <cell r="P399" t="str">
            <v>SP</v>
          </cell>
          <cell r="Q399" t="str">
            <v>SSP</v>
          </cell>
          <cell r="R399" t="str">
            <v>SANTOS</v>
          </cell>
        </row>
        <row r="400">
          <cell r="A400" t="str">
            <v>FABIO MAURICIO SAVARIZ FERREIRA</v>
          </cell>
          <cell r="B400" t="str">
            <v>Casado</v>
          </cell>
          <cell r="C400" t="str">
            <v>R FREI GASPAR</v>
          </cell>
          <cell r="D400" t="str">
            <v>Cidade Nautica</v>
          </cell>
          <cell r="E400" t="str">
            <v>SAO VICENTE</v>
          </cell>
          <cell r="F400" t="str">
            <v>SP</v>
          </cell>
          <cell r="G400" t="str">
            <v>4022</v>
          </cell>
          <cell r="H400" t="str">
            <v/>
          </cell>
          <cell r="I400" t="str">
            <v>11350-000</v>
          </cell>
          <cell r="J400" t="str">
            <v>78029994</v>
          </cell>
          <cell r="K400" t="str">
            <v/>
          </cell>
          <cell r="L400" t="str">
            <v>Masculino</v>
          </cell>
          <cell r="M400" t="str">
            <v>Parda</v>
          </cell>
          <cell r="N400">
            <v>25140</v>
          </cell>
          <cell r="O400" t="str">
            <v>201333363</v>
          </cell>
          <cell r="P400" t="str">
            <v>SP</v>
          </cell>
          <cell r="Q400" t="str">
            <v>SSP</v>
          </cell>
          <cell r="R400" t="str">
            <v>SANTOS</v>
          </cell>
        </row>
        <row r="401">
          <cell r="A401" t="str">
            <v>WALDIR THIAGO DA SILVA BUENO</v>
          </cell>
          <cell r="B401" t="str">
            <v>Solteiro</v>
          </cell>
          <cell r="C401" t="str">
            <v>R Diogo Jacome</v>
          </cell>
          <cell r="D401" t="str">
            <v>Cidade Nautica</v>
          </cell>
          <cell r="E401" t="str">
            <v>SAO VICENTE</v>
          </cell>
          <cell r="F401" t="str">
            <v>SP</v>
          </cell>
          <cell r="G401" t="str">
            <v>8</v>
          </cell>
          <cell r="H401" t="str">
            <v/>
          </cell>
          <cell r="I401" t="str">
            <v>11350-360</v>
          </cell>
          <cell r="J401" t="str">
            <v>34628658</v>
          </cell>
          <cell r="K401" t="str">
            <v/>
          </cell>
          <cell r="L401" t="str">
            <v>Masculino</v>
          </cell>
          <cell r="M401" t="str">
            <v>Parda</v>
          </cell>
          <cell r="N401">
            <v>30750</v>
          </cell>
          <cell r="O401" t="str">
            <v>25488562</v>
          </cell>
          <cell r="P401" t="str">
            <v>SP</v>
          </cell>
          <cell r="Q401" t="str">
            <v>SSP</v>
          </cell>
          <cell r="R401" t="str">
            <v>SANTOS</v>
          </cell>
        </row>
        <row r="402">
          <cell r="A402" t="str">
            <v>RODRIGO CORREIA DO NASCIMENTO</v>
          </cell>
          <cell r="B402" t="str">
            <v>Solteiro</v>
          </cell>
          <cell r="C402" t="str">
            <v>R SYLVIO PEREIRA MENDES</v>
          </cell>
          <cell r="D402" t="str">
            <v>Vila Sao Jorge</v>
          </cell>
          <cell r="E402" t="str">
            <v>SAO VICENTE</v>
          </cell>
          <cell r="F402" t="str">
            <v>SP</v>
          </cell>
          <cell r="G402" t="str">
            <v>835</v>
          </cell>
          <cell r="H402" t="str">
            <v/>
          </cell>
          <cell r="I402" t="str">
            <v>11380-020</v>
          </cell>
          <cell r="J402" t="str">
            <v>35614002</v>
          </cell>
          <cell r="K402" t="str">
            <v/>
          </cell>
          <cell r="L402" t="str">
            <v>Masculino</v>
          </cell>
          <cell r="M402" t="str">
            <v>Parda</v>
          </cell>
          <cell r="N402">
            <v>31052</v>
          </cell>
          <cell r="O402" t="str">
            <v>438528724</v>
          </cell>
          <cell r="P402" t="str">
            <v>SP</v>
          </cell>
          <cell r="Q402" t="str">
            <v>SSP</v>
          </cell>
          <cell r="R402" t="str">
            <v>SANTOS</v>
          </cell>
        </row>
        <row r="403">
          <cell r="A403" t="str">
            <v>MARCELO BONAZZI RIBEIRO</v>
          </cell>
          <cell r="B403" t="str">
            <v>Casado</v>
          </cell>
          <cell r="C403" t="str">
            <v>R CIDADE DE GUARUJA</v>
          </cell>
          <cell r="D403" t="str">
            <v>Vila Cascatinha</v>
          </cell>
          <cell r="E403" t="str">
            <v>SAO VICENTE</v>
          </cell>
          <cell r="F403" t="str">
            <v>SP</v>
          </cell>
          <cell r="G403" t="str">
            <v>183</v>
          </cell>
          <cell r="H403" t="str">
            <v>CASA 06</v>
          </cell>
          <cell r="I403" t="str">
            <v>11370-130</v>
          </cell>
          <cell r="J403" t="str">
            <v>35684700</v>
          </cell>
          <cell r="K403" t="str">
            <v/>
          </cell>
          <cell r="L403" t="str">
            <v>Masculino</v>
          </cell>
          <cell r="M403" t="str">
            <v>Parda</v>
          </cell>
          <cell r="N403">
            <v>29514</v>
          </cell>
          <cell r="O403" t="str">
            <v>30347161</v>
          </cell>
          <cell r="P403" t="str">
            <v>SP</v>
          </cell>
          <cell r="Q403" t="str">
            <v>SSP</v>
          </cell>
          <cell r="R403" t="str">
            <v>SAO VICENTE</v>
          </cell>
        </row>
        <row r="404">
          <cell r="A404" t="str">
            <v>ANDRE LUIZ DOS SANTOS</v>
          </cell>
          <cell r="B404" t="str">
            <v>Solteiro</v>
          </cell>
          <cell r="C404" t="str">
            <v>R São Paulo Valão</v>
          </cell>
          <cell r="D404" t="str">
            <v>Sítio Paecara (Vicente de Carvalho)</v>
          </cell>
          <cell r="E404" t="str">
            <v>GUARUJA</v>
          </cell>
          <cell r="F404" t="str">
            <v>SP</v>
          </cell>
          <cell r="G404" t="str">
            <v>49</v>
          </cell>
          <cell r="H404" t="str">
            <v>Casa 2</v>
          </cell>
          <cell r="I404" t="str">
            <v>11451-240</v>
          </cell>
          <cell r="J404" t="str">
            <v>982054739</v>
          </cell>
          <cell r="K404" t="str">
            <v/>
          </cell>
          <cell r="L404" t="str">
            <v>Masculino</v>
          </cell>
          <cell r="M404" t="str">
            <v>Parda</v>
          </cell>
          <cell r="N404">
            <v>28433</v>
          </cell>
          <cell r="O404" t="str">
            <v>28134467</v>
          </cell>
          <cell r="P404" t="str">
            <v>SP</v>
          </cell>
          <cell r="Q404" t="str">
            <v>SSP</v>
          </cell>
          <cell r="R404" t="str">
            <v>SANTOS</v>
          </cell>
        </row>
        <row r="405">
          <cell r="A405" t="str">
            <v>FRANKLIN GLEVER MENDONCA TINOCO</v>
          </cell>
          <cell r="B405" t="str">
            <v>Solteiro</v>
          </cell>
          <cell r="C405" t="str">
            <v>R DOUTOR CONSTANCIO MARTINS SAMPAIO</v>
          </cell>
          <cell r="D405" t="str">
            <v>Estuario</v>
          </cell>
          <cell r="E405" t="str">
            <v>SANTOS</v>
          </cell>
          <cell r="F405" t="str">
            <v>SP</v>
          </cell>
          <cell r="G405" t="str">
            <v>112</v>
          </cell>
          <cell r="H405" t="str">
            <v>FUNDOS</v>
          </cell>
          <cell r="I405" t="str">
            <v>11020-390</v>
          </cell>
          <cell r="J405" t="str">
            <v>981360571</v>
          </cell>
          <cell r="K405" t="str">
            <v/>
          </cell>
          <cell r="L405" t="str">
            <v>Masculino</v>
          </cell>
          <cell r="M405" t="str">
            <v>Parda</v>
          </cell>
          <cell r="N405">
            <v>31898</v>
          </cell>
          <cell r="O405" t="str">
            <v>444542486</v>
          </cell>
          <cell r="P405" t="str">
            <v>SP</v>
          </cell>
          <cell r="Q405" t="str">
            <v>SSP</v>
          </cell>
          <cell r="R405" t="str">
            <v>NATAL</v>
          </cell>
        </row>
        <row r="406">
          <cell r="A406" t="str">
            <v>ARLINDO FRANCISCO DE SOUZA NETO</v>
          </cell>
          <cell r="B406" t="str">
            <v>Solteiro</v>
          </cell>
          <cell r="C406" t="str">
            <v>AV LEOMIL</v>
          </cell>
          <cell r="D406" t="str">
            <v>Pitangueiras</v>
          </cell>
          <cell r="E406" t="str">
            <v>GUARUJA</v>
          </cell>
          <cell r="F406" t="str">
            <v>SP</v>
          </cell>
          <cell r="G406" t="str">
            <v>1222</v>
          </cell>
          <cell r="H406" t="str">
            <v>APTO 12</v>
          </cell>
          <cell r="I406" t="str">
            <v>11410-162</v>
          </cell>
          <cell r="J406" t="str">
            <v>33046415</v>
          </cell>
          <cell r="K406" t="str">
            <v>997449719</v>
          </cell>
          <cell r="L406" t="str">
            <v>Masculino</v>
          </cell>
          <cell r="M406" t="str">
            <v>Parda</v>
          </cell>
          <cell r="N406">
            <v>25522</v>
          </cell>
          <cell r="O406" t="str">
            <v>231138994</v>
          </cell>
          <cell r="P406" t="str">
            <v>SP</v>
          </cell>
          <cell r="Q406" t="str">
            <v>SSP</v>
          </cell>
          <cell r="R406" t="str">
            <v>GUARUJA</v>
          </cell>
        </row>
        <row r="407">
          <cell r="A407" t="str">
            <v>WAGNER PESSOA PEDROZA</v>
          </cell>
          <cell r="B407" t="str">
            <v>Solteiro</v>
          </cell>
          <cell r="C407" t="str">
            <v>R Quarenta e Quatro</v>
          </cell>
          <cell r="D407" t="str">
            <v>Parque Continental</v>
          </cell>
          <cell r="E407" t="str">
            <v>SAO VICENTE</v>
          </cell>
          <cell r="F407" t="str">
            <v>SP</v>
          </cell>
          <cell r="G407" t="str">
            <v>70</v>
          </cell>
          <cell r="H407" t="str">
            <v/>
          </cell>
          <cell r="I407" t="str">
            <v>11348-270</v>
          </cell>
          <cell r="J407" t="str">
            <v>996077256</v>
          </cell>
          <cell r="K407" t="str">
            <v>34061091</v>
          </cell>
          <cell r="L407" t="str">
            <v>Masculino</v>
          </cell>
          <cell r="M407" t="str">
            <v>Parda</v>
          </cell>
          <cell r="N407">
            <v>28695</v>
          </cell>
          <cell r="O407" t="str">
            <v>300695469</v>
          </cell>
          <cell r="P407" t="str">
            <v>SP</v>
          </cell>
          <cell r="Q407" t="str">
            <v>SSP</v>
          </cell>
          <cell r="R407" t="str">
            <v>SANTOS</v>
          </cell>
        </row>
        <row r="408">
          <cell r="A408" t="str">
            <v>JOSE RICARDO SANTOS</v>
          </cell>
          <cell r="B408" t="str">
            <v>Casado</v>
          </cell>
          <cell r="C408" t="str">
            <v>R Poeta Guilherme de Almeida</v>
          </cell>
          <cell r="D408" t="str">
            <v>Jardim Brasil II</v>
          </cell>
          <cell r="E408" t="str">
            <v>GUARUJA</v>
          </cell>
          <cell r="F408" t="str">
            <v>SP</v>
          </cell>
          <cell r="G408" t="str">
            <v>105</v>
          </cell>
          <cell r="H408" t="str">
            <v>Q6 LOR 31</v>
          </cell>
          <cell r="I408" t="str">
            <v>11497-530</v>
          </cell>
          <cell r="J408" t="str">
            <v>33841918</v>
          </cell>
          <cell r="K408" t="str">
            <v/>
          </cell>
          <cell r="L408" t="str">
            <v>Masculino</v>
          </cell>
          <cell r="M408" t="str">
            <v>Parda</v>
          </cell>
          <cell r="N408">
            <v>28501</v>
          </cell>
          <cell r="O408" t="str">
            <v>231141373</v>
          </cell>
          <cell r="P408" t="str">
            <v>SP</v>
          </cell>
          <cell r="Q408" t="str">
            <v>SSP</v>
          </cell>
          <cell r="R408" t="str">
            <v>SANTOS</v>
          </cell>
        </row>
        <row r="409">
          <cell r="A409" t="str">
            <v>EDEVAL ANDRADE MATIAS</v>
          </cell>
          <cell r="B409" t="str">
            <v>Solteiro</v>
          </cell>
          <cell r="C409" t="str">
            <v>R Gago Coutinho</v>
          </cell>
          <cell r="D409" t="str">
            <v>Vila Jockei Clube</v>
          </cell>
          <cell r="E409" t="str">
            <v>SAO VICENTE</v>
          </cell>
          <cell r="F409" t="str">
            <v>SP</v>
          </cell>
          <cell r="G409" t="str">
            <v>234</v>
          </cell>
          <cell r="H409" t="str">
            <v>Casa 1</v>
          </cell>
          <cell r="I409" t="str">
            <v>11365-070</v>
          </cell>
          <cell r="J409" t="str">
            <v>974144970</v>
          </cell>
          <cell r="K409" t="str">
            <v>34646376</v>
          </cell>
          <cell r="L409" t="str">
            <v>Masculino</v>
          </cell>
          <cell r="M409" t="str">
            <v>Parda</v>
          </cell>
          <cell r="N409">
            <v>30301</v>
          </cell>
          <cell r="O409" t="str">
            <v>427245850</v>
          </cell>
          <cell r="P409" t="str">
            <v>SP</v>
          </cell>
          <cell r="Q409" t="str">
            <v>SSP</v>
          </cell>
          <cell r="R409" t="str">
            <v>PARIPIRANGA</v>
          </cell>
        </row>
        <row r="410">
          <cell r="A410" t="str">
            <v>GILVAN CARLOS DOS SANTOS FILHO</v>
          </cell>
          <cell r="B410" t="str">
            <v>Casado</v>
          </cell>
          <cell r="C410" t="str">
            <v>R Antônio Luís Barreiros</v>
          </cell>
          <cell r="D410" t="str">
            <v>Jardim Recanto São V</v>
          </cell>
          <cell r="E410" t="str">
            <v>SAO VICENTE</v>
          </cell>
          <cell r="F410" t="str">
            <v>SP</v>
          </cell>
          <cell r="G410" t="str">
            <v>350</v>
          </cell>
          <cell r="H410" t="str">
            <v/>
          </cell>
          <cell r="I410" t="str">
            <v>11325-140</v>
          </cell>
          <cell r="J410" t="str">
            <v>988214847</v>
          </cell>
          <cell r="K410" t="str">
            <v/>
          </cell>
          <cell r="L410" t="str">
            <v>Masculino</v>
          </cell>
          <cell r="M410" t="str">
            <v>Parda</v>
          </cell>
          <cell r="N410">
            <v>29134</v>
          </cell>
          <cell r="O410" t="str">
            <v>258403597</v>
          </cell>
          <cell r="P410" t="str">
            <v>SP</v>
          </cell>
          <cell r="Q410" t="str">
            <v>SSP</v>
          </cell>
          <cell r="R410" t="str">
            <v>SANTOS</v>
          </cell>
        </row>
        <row r="411">
          <cell r="A411" t="str">
            <v>WALDIR JOSE DO NASCIMENTO</v>
          </cell>
          <cell r="B411" t="str">
            <v>Divorciado</v>
          </cell>
          <cell r="C411" t="str">
            <v>PC JOAO BARBALHO</v>
          </cell>
          <cell r="D411" t="str">
            <v>José Menino</v>
          </cell>
          <cell r="E411" t="str">
            <v>SANTOS</v>
          </cell>
          <cell r="F411" t="str">
            <v>SP</v>
          </cell>
          <cell r="G411" t="str">
            <v>16</v>
          </cell>
          <cell r="H411" t="str">
            <v>AP 63</v>
          </cell>
          <cell r="I411" t="str">
            <v>11065-450</v>
          </cell>
          <cell r="J411" t="str">
            <v>991750823</v>
          </cell>
          <cell r="K411" t="str">
            <v/>
          </cell>
          <cell r="L411" t="str">
            <v>Masculino</v>
          </cell>
          <cell r="M411" t="str">
            <v>Parda</v>
          </cell>
          <cell r="N411">
            <v>23229</v>
          </cell>
          <cell r="O411" t="str">
            <v>162472778</v>
          </cell>
          <cell r="P411" t="str">
            <v>SP</v>
          </cell>
          <cell r="Q411" t="str">
            <v>SSP</v>
          </cell>
          <cell r="R411" t="str">
            <v>SAO VICENTE</v>
          </cell>
        </row>
        <row r="412">
          <cell r="A412" t="str">
            <v>JOSE CARLOS PEREIRA</v>
          </cell>
          <cell r="B412" t="str">
            <v>Casado</v>
          </cell>
          <cell r="C412" t="str">
            <v>R Albino Marques Nabeto</v>
          </cell>
          <cell r="D412" t="str">
            <v>Parque Estuário (Vic</v>
          </cell>
          <cell r="E412" t="str">
            <v>GUARUJA</v>
          </cell>
          <cell r="F412" t="str">
            <v>SP</v>
          </cell>
          <cell r="G412" t="str">
            <v>256</v>
          </cell>
          <cell r="H412" t="str">
            <v/>
          </cell>
          <cell r="I412" t="str">
            <v>11451-140</v>
          </cell>
          <cell r="J412" t="str">
            <v>991938030</v>
          </cell>
          <cell r="K412" t="str">
            <v/>
          </cell>
          <cell r="L412" t="str">
            <v>Masculino</v>
          </cell>
          <cell r="M412" t="str">
            <v>Parda</v>
          </cell>
          <cell r="N412">
            <v>26593</v>
          </cell>
          <cell r="O412" t="str">
            <v>244022252</v>
          </cell>
          <cell r="P412" t="str">
            <v>SP</v>
          </cell>
          <cell r="Q412" t="str">
            <v>SSP</v>
          </cell>
          <cell r="R412" t="str">
            <v>SANTOS</v>
          </cell>
        </row>
        <row r="413">
          <cell r="A413" t="str">
            <v>WASHINGTON LUIZ BRASILEIRO</v>
          </cell>
          <cell r="B413" t="str">
            <v>Casado</v>
          </cell>
          <cell r="C413" t="str">
            <v>R AUGUSTO DE OLIVEIRA SANTOS</v>
          </cell>
          <cell r="D413" t="str">
            <v>Jardim Rio Branco</v>
          </cell>
          <cell r="E413" t="str">
            <v>SAO VICENTE</v>
          </cell>
          <cell r="F413" t="str">
            <v>SP</v>
          </cell>
          <cell r="G413" t="str">
            <v>1107</v>
          </cell>
          <cell r="H413" t="str">
            <v>Casa</v>
          </cell>
          <cell r="I413" t="str">
            <v>11347-030</v>
          </cell>
          <cell r="J413" t="str">
            <v>988276549</v>
          </cell>
          <cell r="K413" t="str">
            <v/>
          </cell>
          <cell r="L413" t="str">
            <v>Masculino</v>
          </cell>
          <cell r="M413" t="str">
            <v>Parda</v>
          </cell>
          <cell r="N413">
            <v>30194</v>
          </cell>
          <cell r="O413" t="str">
            <v>34248865</v>
          </cell>
          <cell r="P413" t="str">
            <v>PI</v>
          </cell>
          <cell r="Q413" t="str">
            <v>PI</v>
          </cell>
          <cell r="R413" t="str">
            <v>GUADALUPE</v>
          </cell>
        </row>
        <row r="414">
          <cell r="A414" t="str">
            <v>ANDERSON DA SILVA MATOS</v>
          </cell>
          <cell r="B414" t="str">
            <v>Solteiro</v>
          </cell>
          <cell r="C414" t="str">
            <v>R Marechal Floriano Peixoto</v>
          </cell>
          <cell r="D414" t="str">
            <v>Sítio Paecara (Vicen</v>
          </cell>
          <cell r="E414" t="str">
            <v>GUARUJA</v>
          </cell>
          <cell r="F414" t="str">
            <v>SP</v>
          </cell>
          <cell r="G414" t="str">
            <v>130</v>
          </cell>
          <cell r="H414" t="str">
            <v/>
          </cell>
          <cell r="I414" t="str">
            <v>11450-340</v>
          </cell>
          <cell r="J414" t="str">
            <v>33529639</v>
          </cell>
          <cell r="K414" t="str">
            <v>991471615</v>
          </cell>
          <cell r="L414" t="str">
            <v>Masculino</v>
          </cell>
          <cell r="M414" t="str">
            <v>Parda</v>
          </cell>
          <cell r="N414">
            <v>30361</v>
          </cell>
          <cell r="O414" t="str">
            <v>427235716</v>
          </cell>
          <cell r="P414" t="str">
            <v>SP</v>
          </cell>
          <cell r="Q414" t="str">
            <v>SSP</v>
          </cell>
          <cell r="R414" t="str">
            <v>GUARUJA</v>
          </cell>
        </row>
        <row r="415">
          <cell r="A415" t="str">
            <v>MARCOS LIRA DE ASSUNCAO DE CAIRES</v>
          </cell>
          <cell r="B415" t="str">
            <v>Casado</v>
          </cell>
          <cell r="C415" t="str">
            <v>R AMAZONAS</v>
          </cell>
          <cell r="D415" t="str">
            <v>Campo Grande</v>
          </cell>
          <cell r="E415" t="str">
            <v>SANTOS</v>
          </cell>
          <cell r="F415" t="str">
            <v>SP</v>
          </cell>
          <cell r="G415" t="str">
            <v>16</v>
          </cell>
          <cell r="H415" t="str">
            <v>APT 22C</v>
          </cell>
          <cell r="I415" t="str">
            <v>11075-420</v>
          </cell>
          <cell r="J415" t="str">
            <v>974034838</v>
          </cell>
          <cell r="K415" t="str">
            <v/>
          </cell>
          <cell r="L415" t="str">
            <v>Masculino</v>
          </cell>
          <cell r="M415" t="str">
            <v>Parda</v>
          </cell>
          <cell r="N415">
            <v>28638</v>
          </cell>
          <cell r="O415" t="str">
            <v>27842834</v>
          </cell>
          <cell r="P415" t="str">
            <v>SP</v>
          </cell>
          <cell r="Q415" t="str">
            <v>SSP</v>
          </cell>
          <cell r="R415" t="str">
            <v>SANTOS</v>
          </cell>
        </row>
        <row r="416">
          <cell r="A416" t="str">
            <v>CARLOS DA SILVA DE JESUS</v>
          </cell>
          <cell r="B416" t="str">
            <v>Casado</v>
          </cell>
          <cell r="C416" t="str">
            <v>R Santa Isabel</v>
          </cell>
          <cell r="D416" t="str">
            <v>Sítio Paecara (Vicen</v>
          </cell>
          <cell r="E416" t="str">
            <v>GUARUJA</v>
          </cell>
          <cell r="F416" t="str">
            <v>SP</v>
          </cell>
          <cell r="G416" t="str">
            <v>567</v>
          </cell>
          <cell r="H416" t="str">
            <v/>
          </cell>
          <cell r="I416" t="str">
            <v>11460-300</v>
          </cell>
          <cell r="J416" t="str">
            <v>30284448</v>
          </cell>
          <cell r="K416" t="str">
            <v/>
          </cell>
          <cell r="L416" t="str">
            <v>Masculino</v>
          </cell>
          <cell r="M416" t="str">
            <v>Parda</v>
          </cell>
          <cell r="N416">
            <v>29114</v>
          </cell>
          <cell r="O416" t="str">
            <v>284144976</v>
          </cell>
          <cell r="P416" t="str">
            <v>SP</v>
          </cell>
          <cell r="Q416" t="str">
            <v>SSP</v>
          </cell>
          <cell r="R416" t="str">
            <v>GUARUJA</v>
          </cell>
        </row>
        <row r="417">
          <cell r="A417" t="str">
            <v>ROBSON LEANDRO GONCALVES</v>
          </cell>
          <cell r="B417" t="str">
            <v>Casado</v>
          </cell>
          <cell r="C417" t="str">
            <v>AV Mário Daige</v>
          </cell>
          <cell r="D417" t="str">
            <v>Jardim Boa Esperança</v>
          </cell>
          <cell r="E417" t="str">
            <v>GUARUJA</v>
          </cell>
          <cell r="F417" t="str">
            <v>SP</v>
          </cell>
          <cell r="G417" t="str">
            <v>667</v>
          </cell>
          <cell r="H417" t="str">
            <v/>
          </cell>
          <cell r="I417" t="str">
            <v>11470-061</v>
          </cell>
          <cell r="J417" t="str">
            <v>33412446</v>
          </cell>
          <cell r="K417" t="str">
            <v>974100405</v>
          </cell>
          <cell r="L417" t="str">
            <v>Masculino</v>
          </cell>
          <cell r="M417" t="str">
            <v>Parda</v>
          </cell>
          <cell r="N417">
            <v>26258</v>
          </cell>
          <cell r="O417" t="str">
            <v>248222521</v>
          </cell>
          <cell r="P417" t="str">
            <v>SP</v>
          </cell>
          <cell r="Q417" t="str">
            <v>SSP</v>
          </cell>
          <cell r="R417" t="str">
            <v>SANTOS</v>
          </cell>
        </row>
        <row r="418">
          <cell r="A418" t="str">
            <v>ANDRE LUIZ DA SILVA RIBEIRO</v>
          </cell>
          <cell r="B418" t="str">
            <v>Casado</v>
          </cell>
          <cell r="C418" t="str">
            <v>R Luiz Ramos</v>
          </cell>
          <cell r="D418" t="str">
            <v>Vila Santo Antonio</v>
          </cell>
          <cell r="E418" t="str">
            <v>GUARUJA</v>
          </cell>
          <cell r="F418" t="str">
            <v>SP</v>
          </cell>
          <cell r="G418" t="str">
            <v>57</v>
          </cell>
          <cell r="H418" t="str">
            <v>V</v>
          </cell>
          <cell r="I418" t="str">
            <v>11432-360</v>
          </cell>
          <cell r="J418" t="str">
            <v>987510123</v>
          </cell>
          <cell r="K418" t="str">
            <v/>
          </cell>
          <cell r="L418" t="str">
            <v>Masculino</v>
          </cell>
          <cell r="M418" t="str">
            <v>Parda</v>
          </cell>
          <cell r="N418">
            <v>26157</v>
          </cell>
          <cell r="O418" t="str">
            <v>22114584</v>
          </cell>
          <cell r="P418" t="str">
            <v>SP</v>
          </cell>
          <cell r="Q418" t="str">
            <v>SSP</v>
          </cell>
          <cell r="R418" t="str">
            <v>SANTOS</v>
          </cell>
        </row>
        <row r="419">
          <cell r="A419" t="str">
            <v>JOAO PEGAS DA SILVA JUNIOR</v>
          </cell>
          <cell r="B419" t="str">
            <v>Casado</v>
          </cell>
          <cell r="C419" t="str">
            <v>AV ANA COSTA</v>
          </cell>
          <cell r="D419" t="str">
            <v>Gonzaga</v>
          </cell>
          <cell r="E419" t="str">
            <v>SANTOS</v>
          </cell>
          <cell r="F419" t="str">
            <v>SP</v>
          </cell>
          <cell r="G419" t="str">
            <v>466</v>
          </cell>
          <cell r="H419" t="str">
            <v>AP 702</v>
          </cell>
          <cell r="I419" t="str">
            <v>11060-002</v>
          </cell>
          <cell r="J419" t="str">
            <v/>
          </cell>
          <cell r="K419" t="str">
            <v/>
          </cell>
          <cell r="L419" t="str">
            <v>Masculino</v>
          </cell>
          <cell r="M419" t="str">
            <v>Parda</v>
          </cell>
          <cell r="N419">
            <v>24406</v>
          </cell>
          <cell r="O419" t="str">
            <v>18993363X</v>
          </cell>
          <cell r="P419" t="str">
            <v>SP</v>
          </cell>
          <cell r="Q419" t="str">
            <v>SSP</v>
          </cell>
          <cell r="R419" t="str">
            <v>SANTOS</v>
          </cell>
        </row>
        <row r="420">
          <cell r="A420" t="str">
            <v>DENYS VINICIUS DE LEMOS E PASSOS</v>
          </cell>
          <cell r="B420" t="str">
            <v>Solteiro</v>
          </cell>
          <cell r="C420" t="str">
            <v>R Francisco Silva Santos</v>
          </cell>
          <cell r="D420" t="str">
            <v>Jardim Guassu</v>
          </cell>
          <cell r="E420" t="str">
            <v>SAO VICENTE</v>
          </cell>
          <cell r="F420" t="str">
            <v>SP</v>
          </cell>
          <cell r="G420" t="str">
            <v>84</v>
          </cell>
          <cell r="H420" t="str">
            <v>Casa 6</v>
          </cell>
          <cell r="I420" t="str">
            <v>11370-530</v>
          </cell>
          <cell r="J420" t="str">
            <v>38770627</v>
          </cell>
          <cell r="K420" t="str">
            <v/>
          </cell>
          <cell r="L420" t="str">
            <v>Masculino</v>
          </cell>
          <cell r="M420" t="str">
            <v>Parda</v>
          </cell>
          <cell r="N420">
            <v>29787</v>
          </cell>
          <cell r="O420" t="str">
            <v>26182811</v>
          </cell>
          <cell r="P420" t="str">
            <v>SP</v>
          </cell>
          <cell r="Q420" t="str">
            <v>SSP</v>
          </cell>
          <cell r="R420" t="str">
            <v>SAO PAULO</v>
          </cell>
        </row>
        <row r="421">
          <cell r="A421" t="str">
            <v>HELTON DA SILVA GONCALVES</v>
          </cell>
          <cell r="B421" t="str">
            <v>Casado</v>
          </cell>
          <cell r="C421" t="str">
            <v>R Francisco Alves</v>
          </cell>
          <cell r="D421" t="str">
            <v>Sítio Paecara (Vicen</v>
          </cell>
          <cell r="E421" t="str">
            <v>GUARUJA</v>
          </cell>
          <cell r="F421" t="str">
            <v>SP</v>
          </cell>
          <cell r="G421" t="str">
            <v>501</v>
          </cell>
          <cell r="H421" t="str">
            <v>Casa</v>
          </cell>
          <cell r="I421" t="str">
            <v>11450-320</v>
          </cell>
          <cell r="J421" t="str">
            <v>996068182</v>
          </cell>
          <cell r="K421" t="str">
            <v/>
          </cell>
          <cell r="L421" t="str">
            <v>Masculino</v>
          </cell>
          <cell r="M421" t="str">
            <v>Parda</v>
          </cell>
          <cell r="N421">
            <v>31290</v>
          </cell>
          <cell r="O421" t="str">
            <v>430803485</v>
          </cell>
          <cell r="P421" t="str">
            <v>SP</v>
          </cell>
          <cell r="Q421" t="str">
            <v>SSP</v>
          </cell>
          <cell r="R421" t="str">
            <v>GUARUJA</v>
          </cell>
        </row>
        <row r="422">
          <cell r="A422" t="str">
            <v>ANTONIO LUIZ DOS SANTOS JUNIOR</v>
          </cell>
          <cell r="B422" t="str">
            <v>Solteiro</v>
          </cell>
          <cell r="C422" t="str">
            <v>R 9 de Julho</v>
          </cell>
          <cell r="D422" t="str">
            <v>Marapé</v>
          </cell>
          <cell r="E422" t="str">
            <v>SANTOS</v>
          </cell>
          <cell r="F422" t="str">
            <v>SP</v>
          </cell>
          <cell r="G422" t="str">
            <v>31</v>
          </cell>
          <cell r="H422" t="str">
            <v>AP 32</v>
          </cell>
          <cell r="I422" t="str">
            <v>11070-150</v>
          </cell>
          <cell r="J422" t="str">
            <v>32252552</v>
          </cell>
          <cell r="K422" t="str">
            <v>974232237</v>
          </cell>
          <cell r="L422" t="str">
            <v>Masculino</v>
          </cell>
          <cell r="M422" t="str">
            <v>Parda</v>
          </cell>
          <cell r="N422">
            <v>27840</v>
          </cell>
          <cell r="O422" t="str">
            <v>277720485</v>
          </cell>
          <cell r="P422" t="str">
            <v>SP</v>
          </cell>
          <cell r="Q422" t="str">
            <v>SSP</v>
          </cell>
          <cell r="R422" t="str">
            <v>SANTOS</v>
          </cell>
        </row>
        <row r="423">
          <cell r="A423" t="str">
            <v>WALTER DE CARVALHO FERNANDES NETO</v>
          </cell>
          <cell r="B423" t="str">
            <v>Solteiro</v>
          </cell>
          <cell r="C423" t="str">
            <v>R Nabuco de Araújo</v>
          </cell>
          <cell r="D423" t="str">
            <v>Embaré</v>
          </cell>
          <cell r="E423" t="str">
            <v>SANTOS</v>
          </cell>
          <cell r="F423" t="str">
            <v>SP</v>
          </cell>
          <cell r="G423" t="str">
            <v>491</v>
          </cell>
          <cell r="H423" t="str">
            <v>63</v>
          </cell>
          <cell r="I423" t="str">
            <v>11025-011</v>
          </cell>
          <cell r="J423" t="str">
            <v>982334957</v>
          </cell>
          <cell r="K423" t="str">
            <v/>
          </cell>
          <cell r="L423" t="str">
            <v>Masculino</v>
          </cell>
          <cell r="M423" t="str">
            <v>Parda</v>
          </cell>
          <cell r="N423">
            <v>29609</v>
          </cell>
          <cell r="O423" t="str">
            <v>292862635</v>
          </cell>
          <cell r="P423" t="str">
            <v>SP</v>
          </cell>
          <cell r="Q423" t="str">
            <v>SSP</v>
          </cell>
          <cell r="R423" t="str">
            <v>SANTOS</v>
          </cell>
        </row>
        <row r="424">
          <cell r="A424" t="str">
            <v>ANDERSON GALDINO DOS SANTOS</v>
          </cell>
          <cell r="B424" t="str">
            <v>Solteiro</v>
          </cell>
          <cell r="C424" t="str">
            <v>AV CENTRAL</v>
          </cell>
          <cell r="D424" t="str">
            <v>VILA ZILDA</v>
          </cell>
          <cell r="E424" t="str">
            <v>GUARUJA</v>
          </cell>
          <cell r="F424" t="str">
            <v>SP</v>
          </cell>
          <cell r="G424" t="str">
            <v>60</v>
          </cell>
          <cell r="H424" t="str">
            <v>5 - BLOCO H</v>
          </cell>
          <cell r="I424" t="str">
            <v>11400-000</v>
          </cell>
          <cell r="J424" t="str">
            <v>33424112</v>
          </cell>
          <cell r="K424" t="str">
            <v/>
          </cell>
          <cell r="L424" t="str">
            <v>Masculino</v>
          </cell>
          <cell r="M424" t="str">
            <v>Parda</v>
          </cell>
          <cell r="N424">
            <v>29481</v>
          </cell>
          <cell r="O424" t="str">
            <v>338253488</v>
          </cell>
          <cell r="P424" t="str">
            <v>SP</v>
          </cell>
          <cell r="Q424" t="str">
            <v>SSP</v>
          </cell>
          <cell r="R424" t="str">
            <v>GUARUJA</v>
          </cell>
        </row>
        <row r="425">
          <cell r="A425" t="str">
            <v>TIMOTEO DE MOURA LEAL</v>
          </cell>
          <cell r="B425" t="str">
            <v>Casado</v>
          </cell>
          <cell r="C425" t="str">
            <v>TV TRES</v>
          </cell>
          <cell r="D425" t="str">
            <v>Jardim Primavera</v>
          </cell>
          <cell r="E425" t="str">
            <v>GUARUJA</v>
          </cell>
          <cell r="F425" t="str">
            <v>SP</v>
          </cell>
          <cell r="G425" t="str">
            <v>21</v>
          </cell>
          <cell r="H425" t="str">
            <v/>
          </cell>
          <cell r="I425" t="str">
            <v>11440-000</v>
          </cell>
          <cell r="J425" t="str">
            <v>988659779</v>
          </cell>
          <cell r="K425" t="str">
            <v/>
          </cell>
          <cell r="L425" t="str">
            <v>Masculino</v>
          </cell>
          <cell r="M425" t="str">
            <v>Parda</v>
          </cell>
          <cell r="N425">
            <v>32007</v>
          </cell>
          <cell r="O425" t="str">
            <v>426787201</v>
          </cell>
          <cell r="P425" t="str">
            <v>SP</v>
          </cell>
          <cell r="Q425" t="str">
            <v>SSP</v>
          </cell>
          <cell r="R425" t="str">
            <v>SANTOS</v>
          </cell>
        </row>
        <row r="426">
          <cell r="A426" t="str">
            <v>EMERSON SILES SILVA</v>
          </cell>
          <cell r="B426" t="str">
            <v>Casado</v>
          </cell>
          <cell r="C426" t="str">
            <v>R Alan Ciber Pinto</v>
          </cell>
          <cell r="D426" t="str">
            <v>São Jorge</v>
          </cell>
          <cell r="E426" t="str">
            <v>SANTOS</v>
          </cell>
          <cell r="F426" t="str">
            <v>SP</v>
          </cell>
          <cell r="G426" t="str">
            <v>100</v>
          </cell>
          <cell r="H426" t="str">
            <v>AP 33 PORTA 7</v>
          </cell>
          <cell r="I426" t="str">
            <v>11085-625</v>
          </cell>
          <cell r="J426" t="str">
            <v>988217527</v>
          </cell>
          <cell r="K426" t="str">
            <v/>
          </cell>
          <cell r="L426" t="str">
            <v>Masculino</v>
          </cell>
          <cell r="M426" t="str">
            <v>Parda</v>
          </cell>
          <cell r="N426">
            <v>28158</v>
          </cell>
          <cell r="O426" t="str">
            <v>277408817</v>
          </cell>
          <cell r="P426" t="str">
            <v>SP</v>
          </cell>
          <cell r="Q426" t="str">
            <v>SSP</v>
          </cell>
          <cell r="R426" t="str">
            <v>SANTOS</v>
          </cell>
        </row>
        <row r="427">
          <cell r="A427" t="str">
            <v>FLAVIO DA SILVA</v>
          </cell>
          <cell r="B427" t="str">
            <v>Casado</v>
          </cell>
          <cell r="C427" t="str">
            <v>R Vereador Waldemar Gonçalves</v>
          </cell>
          <cell r="D427" t="str">
            <v>Parque Estuário (Vic</v>
          </cell>
          <cell r="E427" t="str">
            <v>GUARUJA</v>
          </cell>
          <cell r="F427" t="str">
            <v>SP</v>
          </cell>
          <cell r="G427" t="str">
            <v>24</v>
          </cell>
          <cell r="H427" t="str">
            <v>CASA E</v>
          </cell>
          <cell r="I427" t="str">
            <v>11451-120</v>
          </cell>
          <cell r="J427" t="str">
            <v>33417573</v>
          </cell>
          <cell r="K427" t="str">
            <v/>
          </cell>
          <cell r="L427" t="str">
            <v>Masculino</v>
          </cell>
          <cell r="M427" t="str">
            <v>Parda</v>
          </cell>
          <cell r="N427">
            <v>26303</v>
          </cell>
          <cell r="O427" t="str">
            <v>256176231</v>
          </cell>
          <cell r="P427" t="str">
            <v>SP</v>
          </cell>
          <cell r="Q427" t="str">
            <v>SSP</v>
          </cell>
          <cell r="R427" t="str">
            <v>SANTOS</v>
          </cell>
        </row>
        <row r="428">
          <cell r="A428" t="str">
            <v>HEVERTON DOS SANTOS DINIZ</v>
          </cell>
          <cell r="B428" t="str">
            <v>Casado</v>
          </cell>
          <cell r="C428" t="str">
            <v>R Celeste Diegues Oliveira</v>
          </cell>
          <cell r="D428" t="str">
            <v>Vila Nova São Vicent</v>
          </cell>
          <cell r="E428" t="str">
            <v>SAO VICENTE</v>
          </cell>
          <cell r="F428" t="str">
            <v>SP</v>
          </cell>
          <cell r="G428" t="str">
            <v>4</v>
          </cell>
          <cell r="H428" t="str">
            <v/>
          </cell>
          <cell r="I428" t="str">
            <v>11346-350</v>
          </cell>
          <cell r="J428" t="str">
            <v>35762876</v>
          </cell>
          <cell r="K428" t="str">
            <v/>
          </cell>
          <cell r="L428" t="str">
            <v>Masculino</v>
          </cell>
          <cell r="M428" t="str">
            <v>Parda</v>
          </cell>
          <cell r="N428">
            <v>29875</v>
          </cell>
          <cell r="O428" t="str">
            <v>32765994</v>
          </cell>
          <cell r="P428" t="str">
            <v>SP</v>
          </cell>
          <cell r="Q428" t="str">
            <v>SSP</v>
          </cell>
          <cell r="R428" t="str">
            <v>SANTOS</v>
          </cell>
        </row>
        <row r="429">
          <cell r="A429" t="str">
            <v>MAYKON CHRISTOPHER PONTES DE SOUZA</v>
          </cell>
          <cell r="B429" t="str">
            <v>União Estável</v>
          </cell>
          <cell r="C429" t="str">
            <v>AV Afonso Schmidt</v>
          </cell>
          <cell r="D429" t="str">
            <v>Jardim Castelo</v>
          </cell>
          <cell r="E429" t="str">
            <v>SANTOS</v>
          </cell>
          <cell r="F429" t="str">
            <v>SP</v>
          </cell>
          <cell r="G429" t="str">
            <v>456</v>
          </cell>
          <cell r="H429" t="str">
            <v>AP 43 bloco G</v>
          </cell>
          <cell r="I429" t="str">
            <v>11087-000</v>
          </cell>
          <cell r="J429" t="str">
            <v>991840242</v>
          </cell>
          <cell r="K429" t="str">
            <v/>
          </cell>
          <cell r="L429" t="str">
            <v>Masculino</v>
          </cell>
          <cell r="M429" t="str">
            <v>Parda</v>
          </cell>
          <cell r="N429">
            <v>31450</v>
          </cell>
          <cell r="O429" t="str">
            <v>431607084</v>
          </cell>
          <cell r="P429" t="str">
            <v>SP</v>
          </cell>
          <cell r="Q429" t="str">
            <v>SSP</v>
          </cell>
          <cell r="R429" t="str">
            <v>SANTOS</v>
          </cell>
        </row>
        <row r="430">
          <cell r="A430" t="str">
            <v>WILLIANS LUIZ DOS SANTOS</v>
          </cell>
          <cell r="B430" t="str">
            <v>Casado</v>
          </cell>
          <cell r="C430" t="str">
            <v>R Frei Gaspar</v>
          </cell>
          <cell r="D430" t="str">
            <v>Parque São Vicente</v>
          </cell>
          <cell r="E430" t="str">
            <v>SAO VICENTE</v>
          </cell>
          <cell r="F430" t="str">
            <v>SP</v>
          </cell>
          <cell r="G430" t="str">
            <v>1826</v>
          </cell>
          <cell r="H430" t="str">
            <v>Apartamento 15</v>
          </cell>
          <cell r="I430" t="str">
            <v>11340-000</v>
          </cell>
          <cell r="J430" t="str">
            <v>991948066</v>
          </cell>
          <cell r="K430" t="str">
            <v>34648024</v>
          </cell>
          <cell r="L430" t="str">
            <v>Masculino</v>
          </cell>
          <cell r="M430" t="str">
            <v>Parda</v>
          </cell>
          <cell r="N430">
            <v>31310</v>
          </cell>
          <cell r="O430" t="str">
            <v>440576039</v>
          </cell>
          <cell r="P430" t="str">
            <v>SP</v>
          </cell>
          <cell r="Q430" t="str">
            <v>SSP</v>
          </cell>
          <cell r="R430" t="str">
            <v>SANTOS</v>
          </cell>
        </row>
        <row r="431">
          <cell r="A431" t="str">
            <v>ELVIS ALVES DOS SANTOS</v>
          </cell>
          <cell r="B431" t="str">
            <v>Casado</v>
          </cell>
          <cell r="C431" t="str">
            <v>R Luiz Felipe Machado</v>
          </cell>
          <cell r="D431" t="str">
            <v>Vila Santa Rosa</v>
          </cell>
          <cell r="E431" t="str">
            <v>GUARUJA</v>
          </cell>
          <cell r="F431" t="str">
            <v>SP</v>
          </cell>
          <cell r="G431" t="str">
            <v>166</v>
          </cell>
          <cell r="H431" t="str">
            <v>Casa</v>
          </cell>
          <cell r="I431" t="str">
            <v>11431-100</v>
          </cell>
          <cell r="J431" t="str">
            <v>997616015</v>
          </cell>
          <cell r="K431" t="str">
            <v/>
          </cell>
          <cell r="L431" t="str">
            <v>Masculino</v>
          </cell>
          <cell r="M431" t="str">
            <v>Parda</v>
          </cell>
          <cell r="N431">
            <v>29799</v>
          </cell>
          <cell r="O431" t="str">
            <v>348956940</v>
          </cell>
          <cell r="P431" t="str">
            <v>SP</v>
          </cell>
          <cell r="Q431" t="str">
            <v>SSP</v>
          </cell>
          <cell r="R431" t="str">
            <v>GUARUJA</v>
          </cell>
        </row>
        <row r="432">
          <cell r="A432" t="str">
            <v>BRUNO NASCIMENTO COSTA</v>
          </cell>
          <cell r="B432" t="str">
            <v>Casado</v>
          </cell>
          <cell r="C432" t="str">
            <v>R DR ARMANDO DE SALES OLIVEIRA</v>
          </cell>
          <cell r="D432" t="str">
            <v>Boqueirao</v>
          </cell>
          <cell r="E432" t="str">
            <v>SANTOS</v>
          </cell>
          <cell r="F432" t="str">
            <v>SP</v>
          </cell>
          <cell r="G432" t="str">
            <v>112</v>
          </cell>
          <cell r="H432" t="str">
            <v>APT 24</v>
          </cell>
          <cell r="I432" t="str">
            <v>11050-071</v>
          </cell>
          <cell r="J432" t="str">
            <v>33799765</v>
          </cell>
          <cell r="K432" t="str">
            <v/>
          </cell>
          <cell r="L432" t="str">
            <v>Masculino</v>
          </cell>
          <cell r="M432" t="str">
            <v>Parda</v>
          </cell>
          <cell r="N432">
            <v>30320</v>
          </cell>
          <cell r="O432" t="str">
            <v>274209159</v>
          </cell>
          <cell r="P432" t="str">
            <v>SP</v>
          </cell>
          <cell r="Q432" t="str">
            <v>SSP</v>
          </cell>
          <cell r="R432" t="str">
            <v>SANTOS</v>
          </cell>
        </row>
        <row r="433">
          <cell r="A433" t="str">
            <v>IVO DROMINISKI FILHO</v>
          </cell>
          <cell r="B433" t="str">
            <v>Solteiro</v>
          </cell>
          <cell r="C433" t="str">
            <v>R Virgílio Várzea</v>
          </cell>
          <cell r="D433" t="str">
            <v>Ribeirópolis</v>
          </cell>
          <cell r="E433" t="str">
            <v>PRAIA GRANDE</v>
          </cell>
          <cell r="F433" t="str">
            <v>SP</v>
          </cell>
          <cell r="G433" t="str">
            <v>107</v>
          </cell>
          <cell r="H433" t="str">
            <v>casa</v>
          </cell>
          <cell r="I433" t="str">
            <v>11714-520</v>
          </cell>
          <cell r="J433" t="str">
            <v>34614516</v>
          </cell>
          <cell r="K433" t="str">
            <v/>
          </cell>
          <cell r="L433" t="str">
            <v>Masculino</v>
          </cell>
          <cell r="M433" t="str">
            <v>Parda</v>
          </cell>
          <cell r="N433">
            <v>25837</v>
          </cell>
          <cell r="O433" t="str">
            <v>215258873</v>
          </cell>
          <cell r="P433" t="str">
            <v>SP</v>
          </cell>
          <cell r="Q433" t="str">
            <v>SSP</v>
          </cell>
          <cell r="R433" t="str">
            <v>SAO VICENTE</v>
          </cell>
        </row>
        <row r="434">
          <cell r="A434" t="str">
            <v>PETE COUTINHO CARAPETICOW</v>
          </cell>
          <cell r="B434" t="str">
            <v>Casado</v>
          </cell>
          <cell r="C434" t="str">
            <v>R Benedito Ernesto Guimarães</v>
          </cell>
          <cell r="D434" t="str">
            <v>Marapé</v>
          </cell>
          <cell r="E434" t="str">
            <v>SANTOS</v>
          </cell>
          <cell r="F434" t="str">
            <v>SP</v>
          </cell>
          <cell r="G434" t="str">
            <v>123</v>
          </cell>
          <cell r="H434" t="str">
            <v/>
          </cell>
          <cell r="I434" t="str">
            <v>11070-021</v>
          </cell>
          <cell r="J434" t="str">
            <v>983473664</v>
          </cell>
          <cell r="K434" t="str">
            <v/>
          </cell>
          <cell r="L434" t="str">
            <v>Masculino</v>
          </cell>
          <cell r="M434" t="str">
            <v>Parda</v>
          </cell>
          <cell r="N434">
            <v>28542</v>
          </cell>
          <cell r="O434" t="str">
            <v>055567531</v>
          </cell>
          <cell r="P434" t="str">
            <v>SP</v>
          </cell>
          <cell r="Q434" t="str">
            <v>SSP</v>
          </cell>
          <cell r="R434" t="str">
            <v>RIO DE JANEIRO</v>
          </cell>
        </row>
        <row r="435">
          <cell r="A435" t="str">
            <v>CLAUDIO DOS SANTOS OLIVEIRA</v>
          </cell>
          <cell r="B435" t="str">
            <v>Casado</v>
          </cell>
          <cell r="C435" t="str">
            <v>R Maranhão</v>
          </cell>
          <cell r="D435" t="str">
            <v>Pompéia</v>
          </cell>
          <cell r="E435" t="str">
            <v>SANTOS</v>
          </cell>
          <cell r="F435" t="str">
            <v>SP</v>
          </cell>
          <cell r="G435" t="str">
            <v>35</v>
          </cell>
          <cell r="H435" t="str">
            <v>AP 61</v>
          </cell>
          <cell r="I435" t="str">
            <v>11065-410</v>
          </cell>
          <cell r="J435" t="str">
            <v/>
          </cell>
          <cell r="K435" t="str">
            <v/>
          </cell>
          <cell r="L435" t="str">
            <v>Masculino</v>
          </cell>
          <cell r="M435" t="str">
            <v>Parda</v>
          </cell>
          <cell r="N435">
            <v>24110</v>
          </cell>
          <cell r="O435" t="str">
            <v>16246552</v>
          </cell>
          <cell r="P435" t="str">
            <v>SP</v>
          </cell>
          <cell r="Q435" t="str">
            <v>SSP</v>
          </cell>
          <cell r="R435" t="str">
            <v>SANTOS</v>
          </cell>
        </row>
        <row r="436">
          <cell r="A436" t="str">
            <v>JOAO DOS SANTOS FILHO</v>
          </cell>
          <cell r="B436" t="str">
            <v>Casado</v>
          </cell>
          <cell r="C436" t="str">
            <v>R Frei Francisco Sampaio</v>
          </cell>
          <cell r="D436" t="str">
            <v>Embare</v>
          </cell>
          <cell r="E436" t="str">
            <v>SANTOS</v>
          </cell>
          <cell r="F436" t="str">
            <v>SP</v>
          </cell>
          <cell r="G436" t="str">
            <v>392</v>
          </cell>
          <cell r="H436" t="str">
            <v>209</v>
          </cell>
          <cell r="I436" t="str">
            <v>11040-221</v>
          </cell>
          <cell r="J436" t="str">
            <v>32272526</v>
          </cell>
          <cell r="K436" t="str">
            <v/>
          </cell>
          <cell r="L436" t="str">
            <v>Masculino</v>
          </cell>
          <cell r="M436" t="str">
            <v>Parda</v>
          </cell>
          <cell r="N436">
            <v>22919</v>
          </cell>
          <cell r="O436" t="str">
            <v>169532689</v>
          </cell>
          <cell r="P436" t="str">
            <v>SP</v>
          </cell>
          <cell r="Q436" t="str">
            <v>SSP</v>
          </cell>
          <cell r="R436" t="str">
            <v>SANTOS</v>
          </cell>
        </row>
        <row r="437">
          <cell r="A437" t="str">
            <v>EDUARDO OLIVEIRA DE MORAIS</v>
          </cell>
          <cell r="B437" t="str">
            <v>Casado</v>
          </cell>
          <cell r="C437" t="str">
            <v>R DR FRANCISCO DE SOUZA DANTAS</v>
          </cell>
          <cell r="D437" t="str">
            <v>Marapé</v>
          </cell>
          <cell r="E437" t="str">
            <v>SANTOS</v>
          </cell>
          <cell r="F437" t="str">
            <v>SP</v>
          </cell>
          <cell r="G437" t="str">
            <v>3</v>
          </cell>
          <cell r="H437" t="str">
            <v>CASA 3</v>
          </cell>
          <cell r="I437" t="str">
            <v>11070-160</v>
          </cell>
          <cell r="J437" t="str">
            <v>34683167</v>
          </cell>
          <cell r="K437" t="str">
            <v>978199261</v>
          </cell>
          <cell r="L437" t="str">
            <v>Masculino</v>
          </cell>
          <cell r="M437" t="str">
            <v>Parda</v>
          </cell>
          <cell r="N437">
            <v>25676</v>
          </cell>
          <cell r="O437" t="str">
            <v>233194836</v>
          </cell>
          <cell r="P437" t="str">
            <v>SP</v>
          </cell>
          <cell r="Q437" t="str">
            <v>SSP</v>
          </cell>
          <cell r="R437" t="str">
            <v>SANTOS</v>
          </cell>
        </row>
        <row r="438">
          <cell r="A438" t="str">
            <v>WAGNER PROCOPIO DE OLIVEIRA</v>
          </cell>
          <cell r="B438" t="str">
            <v>Casado</v>
          </cell>
          <cell r="C438" t="str">
            <v>R FLAMINIO LEVY</v>
          </cell>
          <cell r="D438" t="str">
            <v>Saboo</v>
          </cell>
          <cell r="E438" t="str">
            <v>SANTOS</v>
          </cell>
          <cell r="F438" t="str">
            <v>SP</v>
          </cell>
          <cell r="G438" t="str">
            <v>81</v>
          </cell>
          <cell r="H438" t="str">
            <v>AP 62</v>
          </cell>
          <cell r="I438" t="str">
            <v>11085-080</v>
          </cell>
          <cell r="J438" t="str">
            <v>33214195</v>
          </cell>
          <cell r="K438" t="str">
            <v>974094415</v>
          </cell>
          <cell r="L438" t="str">
            <v>Masculino</v>
          </cell>
          <cell r="M438" t="str">
            <v>Parda</v>
          </cell>
          <cell r="N438">
            <v>28769</v>
          </cell>
          <cell r="O438" t="str">
            <v>295301156</v>
          </cell>
          <cell r="P438" t="str">
            <v>SP</v>
          </cell>
          <cell r="Q438" t="str">
            <v>SSP</v>
          </cell>
          <cell r="R438" t="str">
            <v>SANTOS</v>
          </cell>
        </row>
        <row r="439">
          <cell r="A439" t="str">
            <v>NILSON EUSTAQUIO CEZARIO</v>
          </cell>
          <cell r="B439" t="str">
            <v>Divorciado</v>
          </cell>
          <cell r="C439" t="str">
            <v>R MATEO SPILOTROS</v>
          </cell>
          <cell r="D439" t="str">
            <v>Parque Sao Vicente</v>
          </cell>
          <cell r="E439" t="str">
            <v>SAO VICENTE</v>
          </cell>
          <cell r="F439" t="str">
            <v>SP</v>
          </cell>
          <cell r="G439" t="str">
            <v>40CA03</v>
          </cell>
          <cell r="H439" t="str">
            <v/>
          </cell>
          <cell r="I439" t="str">
            <v>11365-310</v>
          </cell>
          <cell r="J439" t="str">
            <v>30259300</v>
          </cell>
          <cell r="K439" t="str">
            <v/>
          </cell>
          <cell r="L439" t="str">
            <v>Masculino</v>
          </cell>
          <cell r="M439" t="str">
            <v>Parda</v>
          </cell>
          <cell r="N439">
            <v>22148</v>
          </cell>
          <cell r="O439" t="str">
            <v>143143633</v>
          </cell>
          <cell r="P439" t="str">
            <v>SP</v>
          </cell>
          <cell r="Q439" t="str">
            <v>SSP</v>
          </cell>
          <cell r="R439" t="str">
            <v>SANTOS</v>
          </cell>
        </row>
        <row r="440">
          <cell r="A440" t="str">
            <v>NEILOR LUIS VELHO</v>
          </cell>
          <cell r="B440" t="str">
            <v>Casado</v>
          </cell>
          <cell r="C440" t="str">
            <v>PC José Domingues Martins</v>
          </cell>
          <cell r="D440" t="str">
            <v>Aparecida</v>
          </cell>
          <cell r="E440" t="str">
            <v>SANTOS</v>
          </cell>
          <cell r="F440" t="str">
            <v>SP</v>
          </cell>
          <cell r="G440" t="str">
            <v>2</v>
          </cell>
          <cell r="H440" t="str">
            <v>APTO 21</v>
          </cell>
          <cell r="I440" t="str">
            <v>11035-010</v>
          </cell>
          <cell r="J440" t="str">
            <v>33078987</v>
          </cell>
          <cell r="K440" t="str">
            <v>997307491</v>
          </cell>
          <cell r="L440" t="str">
            <v>Masculino</v>
          </cell>
          <cell r="M440" t="str">
            <v>Parda</v>
          </cell>
          <cell r="N440">
            <v>26762</v>
          </cell>
          <cell r="O440" t="str">
            <v>23318905</v>
          </cell>
          <cell r="P440" t="str">
            <v>SP</v>
          </cell>
          <cell r="Q440" t="str">
            <v>SSP</v>
          </cell>
          <cell r="R440" t="str">
            <v>SANTOS</v>
          </cell>
        </row>
        <row r="441">
          <cell r="A441" t="str">
            <v>CARLOS ALBERTO DOS SANTOS BUENO</v>
          </cell>
          <cell r="B441" t="str">
            <v>Casado</v>
          </cell>
          <cell r="C441" t="str">
            <v>R Doutor Bernardo Browne</v>
          </cell>
          <cell r="D441" t="str">
            <v>Estuario</v>
          </cell>
          <cell r="E441" t="str">
            <v>SANTOS</v>
          </cell>
          <cell r="F441" t="str">
            <v>SP</v>
          </cell>
          <cell r="G441" t="str">
            <v>18</v>
          </cell>
          <cell r="H441" t="str">
            <v>AP 9</v>
          </cell>
          <cell r="I441" t="str">
            <v>11025-240</v>
          </cell>
          <cell r="J441" t="str">
            <v>33857851</v>
          </cell>
          <cell r="K441" t="str">
            <v/>
          </cell>
          <cell r="L441" t="str">
            <v>Masculino</v>
          </cell>
          <cell r="M441" t="str">
            <v>Parda</v>
          </cell>
          <cell r="N441">
            <v>27994</v>
          </cell>
          <cell r="O441" t="str">
            <v>296447638</v>
          </cell>
          <cell r="P441" t="str">
            <v>SP</v>
          </cell>
          <cell r="Q441" t="str">
            <v>SSP</v>
          </cell>
          <cell r="R441" t="str">
            <v>SANTOS</v>
          </cell>
        </row>
        <row r="442">
          <cell r="A442" t="str">
            <v>MARCIO DA COSTA FERREIRA</v>
          </cell>
          <cell r="B442" t="str">
            <v>Casado</v>
          </cell>
          <cell r="C442" t="str">
            <v>R Contra-Almirante Esculápio César de Paiv</v>
          </cell>
          <cell r="D442" t="str">
            <v>Rádio Clube</v>
          </cell>
          <cell r="E442" t="str">
            <v>SANTOS</v>
          </cell>
          <cell r="F442" t="str">
            <v>SP</v>
          </cell>
          <cell r="G442" t="str">
            <v>204</v>
          </cell>
          <cell r="H442" t="str">
            <v/>
          </cell>
          <cell r="I442" t="str">
            <v>11088-320</v>
          </cell>
          <cell r="J442" t="str">
            <v>33013711</v>
          </cell>
          <cell r="K442" t="str">
            <v/>
          </cell>
          <cell r="L442" t="str">
            <v>Masculino</v>
          </cell>
          <cell r="M442" t="str">
            <v>Parda</v>
          </cell>
          <cell r="N442">
            <v>27244</v>
          </cell>
          <cell r="O442" t="str">
            <v>245715812</v>
          </cell>
          <cell r="P442" t="str">
            <v>SP</v>
          </cell>
          <cell r="Q442" t="str">
            <v>SSP</v>
          </cell>
          <cell r="R442" t="str">
            <v>SANTOS</v>
          </cell>
        </row>
        <row r="443">
          <cell r="A443" t="str">
            <v>JORGE LUIZ COSTA GOMES</v>
          </cell>
          <cell r="B443" t="str">
            <v>Casado</v>
          </cell>
          <cell r="C443" t="str">
            <v>R Oito</v>
          </cell>
          <cell r="D443" t="str">
            <v>Vila Nova São Vicent</v>
          </cell>
          <cell r="E443" t="str">
            <v>SAO VICENTE</v>
          </cell>
          <cell r="F443" t="str">
            <v>SP</v>
          </cell>
          <cell r="G443" t="str">
            <v>227</v>
          </cell>
          <cell r="H443" t="str">
            <v/>
          </cell>
          <cell r="I443" t="str">
            <v>11346-380</v>
          </cell>
          <cell r="J443" t="str">
            <v>35667843</v>
          </cell>
          <cell r="K443" t="str">
            <v>974201045</v>
          </cell>
          <cell r="L443" t="str">
            <v>Masculino</v>
          </cell>
          <cell r="M443" t="str">
            <v>Parda</v>
          </cell>
          <cell r="N443">
            <v>24537</v>
          </cell>
          <cell r="O443" t="str">
            <v>19803551</v>
          </cell>
          <cell r="P443" t="str">
            <v>SP</v>
          </cell>
          <cell r="Q443" t="str">
            <v>SSP</v>
          </cell>
          <cell r="R443" t="str">
            <v>SANTOS</v>
          </cell>
        </row>
        <row r="444">
          <cell r="A444" t="str">
            <v>JOSE LUCIANO DOS SANTOS</v>
          </cell>
          <cell r="B444" t="str">
            <v>Casado</v>
          </cell>
          <cell r="C444" t="str">
            <v>R Arilene Farinazzo Ferreira</v>
          </cell>
          <cell r="D444" t="str">
            <v>Jardim Boa Esperança</v>
          </cell>
          <cell r="E444" t="str">
            <v>GUARUJA</v>
          </cell>
          <cell r="F444" t="str">
            <v>SP</v>
          </cell>
          <cell r="G444" t="str">
            <v>146</v>
          </cell>
          <cell r="H444" t="str">
            <v/>
          </cell>
          <cell r="I444" t="str">
            <v>11471-010</v>
          </cell>
          <cell r="J444" t="str">
            <v>988355109</v>
          </cell>
          <cell r="K444" t="str">
            <v/>
          </cell>
          <cell r="L444" t="str">
            <v>Masculino</v>
          </cell>
          <cell r="M444" t="str">
            <v>Parda</v>
          </cell>
          <cell r="N444">
            <v>27589</v>
          </cell>
          <cell r="O444" t="str">
            <v>533425116</v>
          </cell>
          <cell r="P444" t="str">
            <v>SP</v>
          </cell>
          <cell r="Q444" t="str">
            <v>SSP</v>
          </cell>
          <cell r="R444" t="str">
            <v>PARIPIRANGA</v>
          </cell>
        </row>
        <row r="445">
          <cell r="A445" t="str">
            <v>ANDRE MARQUES BUENO</v>
          </cell>
          <cell r="B445" t="str">
            <v>Casado</v>
          </cell>
          <cell r="C445" t="str">
            <v>R Doutor Bernardo Browne</v>
          </cell>
          <cell r="D445" t="str">
            <v>Estuário</v>
          </cell>
          <cell r="E445" t="str">
            <v>SANTOS</v>
          </cell>
          <cell r="F445" t="str">
            <v>SP</v>
          </cell>
          <cell r="G445" t="str">
            <v>18</v>
          </cell>
          <cell r="H445" t="str">
            <v>Casa 08</v>
          </cell>
          <cell r="I445" t="str">
            <v>11025-240</v>
          </cell>
          <cell r="J445" t="str">
            <v>33070721</v>
          </cell>
          <cell r="K445" t="str">
            <v>974230774</v>
          </cell>
          <cell r="L445" t="str">
            <v>Masculino</v>
          </cell>
          <cell r="M445" t="str">
            <v>Parda</v>
          </cell>
          <cell r="N445">
            <v>27000</v>
          </cell>
          <cell r="O445" t="str">
            <v>230350690</v>
          </cell>
          <cell r="P445" t="str">
            <v>SP</v>
          </cell>
          <cell r="Q445" t="str">
            <v>SSP</v>
          </cell>
          <cell r="R445" t="str">
            <v>SANTOS</v>
          </cell>
        </row>
        <row r="446">
          <cell r="A446" t="str">
            <v>RICARDO BENEDITO ZEFERINO DOS SANTOS</v>
          </cell>
          <cell r="B446" t="str">
            <v>Solteiro</v>
          </cell>
          <cell r="C446" t="str">
            <v>R Walter Belian</v>
          </cell>
          <cell r="D446" t="str">
            <v>Areia Branca</v>
          </cell>
          <cell r="E446" t="str">
            <v>SANTOS</v>
          </cell>
          <cell r="F446" t="str">
            <v>SP</v>
          </cell>
          <cell r="G446" t="str">
            <v>221</v>
          </cell>
          <cell r="H446" t="str">
            <v/>
          </cell>
          <cell r="I446" t="str">
            <v>11086-170</v>
          </cell>
          <cell r="J446" t="str">
            <v>33452742</v>
          </cell>
          <cell r="K446" t="str">
            <v/>
          </cell>
          <cell r="L446" t="str">
            <v>Masculino</v>
          </cell>
          <cell r="M446" t="str">
            <v>Parda</v>
          </cell>
          <cell r="N446">
            <v>27106</v>
          </cell>
          <cell r="O446" t="str">
            <v>249573751</v>
          </cell>
          <cell r="P446" t="str">
            <v>SP</v>
          </cell>
          <cell r="Q446" t="str">
            <v>SSP</v>
          </cell>
          <cell r="R446" t="str">
            <v>SANTOS</v>
          </cell>
        </row>
        <row r="447">
          <cell r="A447" t="str">
            <v>CARLOS OLIVEIRA DOS SANTOS</v>
          </cell>
          <cell r="B447" t="str">
            <v>Casado</v>
          </cell>
          <cell r="C447" t="str">
            <v>R Dom Lara</v>
          </cell>
          <cell r="D447" t="str">
            <v>Boqueirao</v>
          </cell>
          <cell r="E447" t="str">
            <v>SANTOS</v>
          </cell>
          <cell r="F447" t="str">
            <v>SP</v>
          </cell>
          <cell r="G447" t="str">
            <v>46</v>
          </cell>
          <cell r="H447" t="str">
            <v>AP 3</v>
          </cell>
          <cell r="I447" t="str">
            <v>11045-160</v>
          </cell>
          <cell r="J447" t="str">
            <v>78045890</v>
          </cell>
          <cell r="K447" t="str">
            <v/>
          </cell>
          <cell r="L447" t="str">
            <v>Masculino</v>
          </cell>
          <cell r="M447" t="str">
            <v>Parda</v>
          </cell>
          <cell r="N447">
            <v>24461</v>
          </cell>
          <cell r="O447" t="str">
            <v>205852476</v>
          </cell>
          <cell r="P447" t="str">
            <v>AC</v>
          </cell>
          <cell r="Q447" t="str">
            <v>SSP</v>
          </cell>
          <cell r="R447" t="str">
            <v>SANTOS</v>
          </cell>
        </row>
        <row r="448">
          <cell r="A448" t="str">
            <v>AECIO RABELO DE SANTANA</v>
          </cell>
          <cell r="B448" t="str">
            <v>Casado</v>
          </cell>
          <cell r="C448" t="str">
            <v>AV Engenheiro Manoel Ferramenta Júnior</v>
          </cell>
          <cell r="D448" t="str">
            <v>Areia Branca</v>
          </cell>
          <cell r="E448" t="str">
            <v>SANTOS</v>
          </cell>
          <cell r="F448" t="str">
            <v>SP</v>
          </cell>
          <cell r="G448" t="str">
            <v>363</v>
          </cell>
          <cell r="H448" t="str">
            <v>ap 41 bl b</v>
          </cell>
          <cell r="I448" t="str">
            <v>11086-400</v>
          </cell>
          <cell r="J448" t="str">
            <v>30165596</v>
          </cell>
          <cell r="K448" t="str">
            <v/>
          </cell>
          <cell r="L448" t="str">
            <v>Masculino</v>
          </cell>
          <cell r="M448" t="str">
            <v>Parda</v>
          </cell>
          <cell r="N448">
            <v>23731</v>
          </cell>
          <cell r="O448" t="str">
            <v>189372928</v>
          </cell>
          <cell r="P448" t="str">
            <v>SP</v>
          </cell>
          <cell r="Q448" t="str">
            <v>SSP</v>
          </cell>
          <cell r="R448" t="str">
            <v>PARIPIRANGA</v>
          </cell>
        </row>
        <row r="449">
          <cell r="A449" t="str">
            <v>GERSON DOS SANTOS</v>
          </cell>
          <cell r="B449" t="str">
            <v>Solteiro</v>
          </cell>
          <cell r="C449" t="str">
            <v>R Francisco Dias Jorge</v>
          </cell>
          <cell r="D449" t="str">
            <v>Cidade Nautica</v>
          </cell>
          <cell r="E449" t="str">
            <v>SAO VICENTE</v>
          </cell>
          <cell r="F449" t="str">
            <v>SP</v>
          </cell>
          <cell r="G449" t="str">
            <v>586</v>
          </cell>
          <cell r="H449" t="str">
            <v/>
          </cell>
          <cell r="I449" t="str">
            <v>11350-270</v>
          </cell>
          <cell r="J449" t="str">
            <v>34624821</v>
          </cell>
          <cell r="K449" t="str">
            <v>991712046</v>
          </cell>
          <cell r="L449" t="str">
            <v>Masculino</v>
          </cell>
          <cell r="M449" t="str">
            <v>Parda</v>
          </cell>
          <cell r="N449">
            <v>26407</v>
          </cell>
          <cell r="O449" t="str">
            <v>22679339</v>
          </cell>
          <cell r="P449" t="str">
            <v>SP</v>
          </cell>
          <cell r="Q449" t="str">
            <v>SSP</v>
          </cell>
          <cell r="R449" t="str">
            <v>SAO VICENTE</v>
          </cell>
        </row>
        <row r="450">
          <cell r="A450" t="str">
            <v>ANDRE LIMA PITA</v>
          </cell>
          <cell r="B450" t="str">
            <v>Casado</v>
          </cell>
          <cell r="C450" t="str">
            <v>R Raul Serapião Barroso</v>
          </cell>
          <cell r="D450" t="str">
            <v>Esplanada dos Barrei</v>
          </cell>
          <cell r="E450" t="str">
            <v>SAO VICENTE</v>
          </cell>
          <cell r="F450" t="str">
            <v>SP</v>
          </cell>
          <cell r="G450" t="str">
            <v>115</v>
          </cell>
          <cell r="H450" t="str">
            <v/>
          </cell>
          <cell r="I450" t="str">
            <v>11340-330</v>
          </cell>
          <cell r="J450" t="str">
            <v>996400188</v>
          </cell>
          <cell r="K450" t="str">
            <v>34643195</v>
          </cell>
          <cell r="L450" t="str">
            <v>Masculino</v>
          </cell>
          <cell r="M450" t="str">
            <v>Parda</v>
          </cell>
          <cell r="N450">
            <v>26368</v>
          </cell>
          <cell r="O450" t="str">
            <v>249579960</v>
          </cell>
          <cell r="P450" t="str">
            <v>SP</v>
          </cell>
          <cell r="Q450" t="str">
            <v>SSP</v>
          </cell>
          <cell r="R450" t="str">
            <v>SANTOS</v>
          </cell>
        </row>
        <row r="451">
          <cell r="A451" t="str">
            <v>LUIZ FERNANDO GOMES</v>
          </cell>
          <cell r="B451" t="str">
            <v>Casado</v>
          </cell>
          <cell r="C451" t="str">
            <v>R GREENHALGH</v>
          </cell>
          <cell r="D451" t="str">
            <v>Embare</v>
          </cell>
          <cell r="E451" t="str">
            <v>SANTOS</v>
          </cell>
          <cell r="F451" t="str">
            <v>SP</v>
          </cell>
          <cell r="G451" t="str">
            <v>31</v>
          </cell>
          <cell r="H451" t="str">
            <v>APTO 33</v>
          </cell>
          <cell r="I451" t="str">
            <v>11025-130</v>
          </cell>
          <cell r="J451" t="str">
            <v>991650870</v>
          </cell>
          <cell r="K451" t="str">
            <v/>
          </cell>
          <cell r="L451" t="str">
            <v>Masculino</v>
          </cell>
          <cell r="M451" t="str">
            <v>Parda</v>
          </cell>
          <cell r="N451">
            <v>31581</v>
          </cell>
          <cell r="O451" t="str">
            <v>344507518</v>
          </cell>
          <cell r="P451" t="str">
            <v>SP</v>
          </cell>
          <cell r="Q451" t="str">
            <v>SSP</v>
          </cell>
          <cell r="R451" t="str">
            <v>GUARUJA</v>
          </cell>
        </row>
        <row r="452">
          <cell r="A452" t="str">
            <v>MARCIO FERREIRA GONCALVES</v>
          </cell>
          <cell r="B452" t="str">
            <v>Solteiro</v>
          </cell>
          <cell r="C452" t="str">
            <v>R Gérson Ferreira</v>
          </cell>
          <cell r="D452" t="str">
            <v>Sítio Paecara (Vicen</v>
          </cell>
          <cell r="E452" t="str">
            <v>GUARUJA</v>
          </cell>
          <cell r="F452" t="str">
            <v>SP</v>
          </cell>
          <cell r="G452" t="str">
            <v>9</v>
          </cell>
          <cell r="H452" t="str">
            <v>CASA 02</v>
          </cell>
          <cell r="I452" t="str">
            <v>11461-650</v>
          </cell>
          <cell r="J452" t="str">
            <v>974040690</v>
          </cell>
          <cell r="K452" t="str">
            <v/>
          </cell>
          <cell r="L452" t="str">
            <v>Masculino</v>
          </cell>
          <cell r="M452" t="str">
            <v>Parda</v>
          </cell>
          <cell r="N452">
            <v>25125</v>
          </cell>
          <cell r="O452" t="str">
            <v>219361903</v>
          </cell>
          <cell r="P452" t="str">
            <v>SP</v>
          </cell>
          <cell r="Q452" t="str">
            <v>SSP</v>
          </cell>
          <cell r="R452" t="str">
            <v>GUARUJA</v>
          </cell>
        </row>
        <row r="453">
          <cell r="A453" t="str">
            <v>CARLOS JOSE OLIVEIRA DE LIMA</v>
          </cell>
          <cell r="B453" t="str">
            <v>Casado</v>
          </cell>
          <cell r="C453" t="str">
            <v>R São Sebastião</v>
          </cell>
          <cell r="D453" t="str">
            <v>Rádio Clube</v>
          </cell>
          <cell r="E453" t="str">
            <v>SANTOS</v>
          </cell>
          <cell r="F453" t="str">
            <v>SP</v>
          </cell>
          <cell r="G453" t="str">
            <v>395</v>
          </cell>
          <cell r="H453" t="str">
            <v>casa 4</v>
          </cell>
          <cell r="I453" t="str">
            <v>11088-450</v>
          </cell>
          <cell r="J453" t="str">
            <v>974134910</v>
          </cell>
          <cell r="K453" t="str">
            <v>32031090</v>
          </cell>
          <cell r="L453" t="str">
            <v>Masculino</v>
          </cell>
          <cell r="M453" t="str">
            <v>Parda</v>
          </cell>
          <cell r="N453">
            <v>24300</v>
          </cell>
          <cell r="O453" t="str">
            <v>196541128</v>
          </cell>
          <cell r="P453" t="str">
            <v>SP</v>
          </cell>
          <cell r="Q453" t="str">
            <v>SSP</v>
          </cell>
          <cell r="R453" t="str">
            <v>SANTOS</v>
          </cell>
        </row>
        <row r="454">
          <cell r="A454" t="str">
            <v>REGINALDO BRANDAO DA SILVA</v>
          </cell>
          <cell r="B454" t="str">
            <v>Casado</v>
          </cell>
          <cell r="C454" t="str">
            <v>R Dom Lara</v>
          </cell>
          <cell r="D454" t="str">
            <v>Boqueirao</v>
          </cell>
          <cell r="E454" t="str">
            <v>SANTOS</v>
          </cell>
          <cell r="F454" t="str">
            <v>SP</v>
          </cell>
          <cell r="G454" t="str">
            <v>61</v>
          </cell>
          <cell r="H454" t="str">
            <v>AP 23</v>
          </cell>
          <cell r="I454" t="str">
            <v>11045-160</v>
          </cell>
          <cell r="J454" t="str">
            <v>32272276</v>
          </cell>
          <cell r="K454" t="str">
            <v>974145935</v>
          </cell>
          <cell r="L454" t="str">
            <v>Masculino</v>
          </cell>
          <cell r="M454" t="str">
            <v>Parda</v>
          </cell>
          <cell r="N454">
            <v>23076</v>
          </cell>
          <cell r="O454" t="str">
            <v>164150821</v>
          </cell>
          <cell r="P454" t="str">
            <v>SP</v>
          </cell>
          <cell r="Q454" t="str">
            <v>SSP</v>
          </cell>
          <cell r="R454" t="str">
            <v>SANTOS</v>
          </cell>
        </row>
        <row r="455">
          <cell r="A455" t="str">
            <v>ALTAIR MANUEL MARQUES FERNANDES</v>
          </cell>
          <cell r="B455" t="str">
            <v>União Estável</v>
          </cell>
          <cell r="C455" t="str">
            <v>R Álvaro Pinto da Silva Novais</v>
          </cell>
          <cell r="D455" t="str">
            <v>Macuco</v>
          </cell>
          <cell r="E455" t="str">
            <v>SANTOS</v>
          </cell>
          <cell r="F455" t="str">
            <v>SP</v>
          </cell>
          <cell r="G455" t="str">
            <v>21</v>
          </cell>
          <cell r="H455" t="str">
            <v/>
          </cell>
          <cell r="I455" t="str">
            <v>11015-340</v>
          </cell>
          <cell r="J455" t="str">
            <v>974038077</v>
          </cell>
          <cell r="K455" t="str">
            <v/>
          </cell>
          <cell r="L455" t="str">
            <v>Masculino</v>
          </cell>
          <cell r="M455" t="str">
            <v>Parda</v>
          </cell>
          <cell r="N455">
            <v>27256</v>
          </cell>
          <cell r="O455" t="str">
            <v>25233388</v>
          </cell>
          <cell r="P455" t="str">
            <v>SP</v>
          </cell>
          <cell r="Q455" t="str">
            <v>SSP</v>
          </cell>
          <cell r="R455" t="str">
            <v>SANTOS</v>
          </cell>
        </row>
        <row r="456">
          <cell r="A456" t="str">
            <v>LAERCIO DOS SANTOS</v>
          </cell>
          <cell r="B456" t="str">
            <v>Casado</v>
          </cell>
          <cell r="C456" t="str">
            <v>R João Pacatuba dos Santos</v>
          </cell>
          <cell r="D456" t="str">
            <v>Santa Cruz dos Naveg</v>
          </cell>
          <cell r="E456" t="str">
            <v>GUARUJA</v>
          </cell>
          <cell r="F456" t="str">
            <v>SP</v>
          </cell>
          <cell r="G456" t="str">
            <v>207</v>
          </cell>
          <cell r="H456" t="str">
            <v>FUNDOS - CASA 05</v>
          </cell>
          <cell r="I456" t="str">
            <v>11425-170</v>
          </cell>
          <cell r="J456" t="str">
            <v>988046491</v>
          </cell>
          <cell r="K456" t="str">
            <v>988537888</v>
          </cell>
          <cell r="L456" t="str">
            <v>Masculino</v>
          </cell>
          <cell r="M456" t="str">
            <v>Parda</v>
          </cell>
          <cell r="N456">
            <v>26547</v>
          </cell>
          <cell r="O456" t="str">
            <v>22256201</v>
          </cell>
          <cell r="P456" t="str">
            <v>SP</v>
          </cell>
          <cell r="Q456" t="str">
            <v>SSP</v>
          </cell>
          <cell r="R456" t="str">
            <v>GUARUJA</v>
          </cell>
        </row>
        <row r="457">
          <cell r="A457" t="str">
            <v>LUIZ CLAUDIO DA ROCHA COSTA</v>
          </cell>
          <cell r="B457" t="str">
            <v>Casado</v>
          </cell>
          <cell r="C457" t="str">
            <v>R TENENTE DURVAL DO AMARAL</v>
          </cell>
          <cell r="D457" t="str">
            <v>Catiapoa</v>
          </cell>
          <cell r="E457" t="str">
            <v>SAO VICENTE</v>
          </cell>
          <cell r="F457" t="str">
            <v>SP</v>
          </cell>
          <cell r="G457" t="str">
            <v>301</v>
          </cell>
          <cell r="H457" t="str">
            <v>APTO 01</v>
          </cell>
          <cell r="I457" t="str">
            <v>11390-300</v>
          </cell>
          <cell r="J457" t="str">
            <v>91950904</v>
          </cell>
          <cell r="K457" t="str">
            <v>991313305</v>
          </cell>
          <cell r="L457" t="str">
            <v>Masculino</v>
          </cell>
          <cell r="M457" t="str">
            <v>Parda</v>
          </cell>
          <cell r="N457">
            <v>26766</v>
          </cell>
          <cell r="O457" t="str">
            <v>250047652</v>
          </cell>
          <cell r="P457" t="str">
            <v>SP</v>
          </cell>
          <cell r="Q457" t="str">
            <v>SSP</v>
          </cell>
          <cell r="R457" t="str">
            <v>SANTOS</v>
          </cell>
        </row>
        <row r="458">
          <cell r="A458" t="str">
            <v>JOSE CARLOS DOS SANTOS FILHO</v>
          </cell>
          <cell r="B458" t="str">
            <v>Casado</v>
          </cell>
          <cell r="C458" t="str">
            <v>R Anadir Dias de Carvalho</v>
          </cell>
          <cell r="D458" t="str">
            <v>Vila Jockei Clube</v>
          </cell>
          <cell r="E458" t="str">
            <v>SAO VICENTE</v>
          </cell>
          <cell r="F458" t="str">
            <v>SP</v>
          </cell>
          <cell r="G458" t="str">
            <v>310</v>
          </cell>
          <cell r="H458" t="str">
            <v>CS 02</v>
          </cell>
          <cell r="I458" t="str">
            <v>11360-400</v>
          </cell>
          <cell r="J458" t="str">
            <v>991335663</v>
          </cell>
          <cell r="K458" t="str">
            <v/>
          </cell>
          <cell r="L458" t="str">
            <v>Masculino</v>
          </cell>
          <cell r="M458" t="str">
            <v>Parda</v>
          </cell>
          <cell r="N458">
            <v>26657</v>
          </cell>
          <cell r="O458" t="str">
            <v>19899289</v>
          </cell>
          <cell r="P458" t="str">
            <v>SP</v>
          </cell>
          <cell r="Q458" t="str">
            <v>SSP</v>
          </cell>
          <cell r="R458" t="str">
            <v>SANTOS</v>
          </cell>
        </row>
        <row r="459">
          <cell r="A459" t="str">
            <v>ALEXSANDRO GAMA DE OLIVEIRA</v>
          </cell>
          <cell r="B459" t="str">
            <v>Divorciado</v>
          </cell>
          <cell r="C459" t="str">
            <v>R CAPITAO LUIS ANTONIO PIMENTA</v>
          </cell>
          <cell r="D459" t="str">
            <v>Piratininga</v>
          </cell>
          <cell r="E459" t="str">
            <v>SANTOS</v>
          </cell>
          <cell r="F459" t="str">
            <v>SP</v>
          </cell>
          <cell r="G459" t="str">
            <v>17</v>
          </cell>
          <cell r="H459" t="str">
            <v/>
          </cell>
          <cell r="I459" t="str">
            <v>11095-330</v>
          </cell>
          <cell r="J459" t="str">
            <v>991021600</v>
          </cell>
          <cell r="K459" t="str">
            <v/>
          </cell>
          <cell r="L459" t="str">
            <v>Masculino</v>
          </cell>
          <cell r="M459" t="str">
            <v>Parda</v>
          </cell>
          <cell r="N459">
            <v>26784</v>
          </cell>
          <cell r="O459" t="str">
            <v>250040669</v>
          </cell>
          <cell r="P459" t="str">
            <v>SP</v>
          </cell>
          <cell r="Q459" t="str">
            <v>SSP</v>
          </cell>
          <cell r="R459" t="str">
            <v>SANTOS</v>
          </cell>
        </row>
        <row r="460">
          <cell r="A460" t="str">
            <v>JUDSON MARINHO DOS SANTOS</v>
          </cell>
          <cell r="B460" t="str">
            <v>Casado</v>
          </cell>
          <cell r="C460" t="str">
            <v>R Rivaldo Alves Feitosa</v>
          </cell>
          <cell r="D460" t="str">
            <v>Parque São Luis</v>
          </cell>
          <cell r="E460" t="str">
            <v>CUBATAO</v>
          </cell>
          <cell r="F460" t="str">
            <v>SP</v>
          </cell>
          <cell r="G460" t="str">
            <v>500</v>
          </cell>
          <cell r="H460" t="str">
            <v>BL 4 AP 52</v>
          </cell>
          <cell r="I460" t="str">
            <v>11533-570</v>
          </cell>
          <cell r="J460" t="str">
            <v>996109646</v>
          </cell>
          <cell r="K460" t="str">
            <v/>
          </cell>
          <cell r="L460" t="str">
            <v>Masculino</v>
          </cell>
          <cell r="M460" t="str">
            <v>Parda</v>
          </cell>
          <cell r="N460">
            <v>31640</v>
          </cell>
          <cell r="O460" t="str">
            <v>342494831</v>
          </cell>
          <cell r="P460" t="str">
            <v>SP</v>
          </cell>
          <cell r="Q460" t="str">
            <v>SSP</v>
          </cell>
          <cell r="R460" t="str">
            <v>SANTOS</v>
          </cell>
        </row>
        <row r="461">
          <cell r="A461" t="str">
            <v>LUIZ FERNANDO DA SILVA ALMEIDA</v>
          </cell>
          <cell r="B461" t="str">
            <v>Casado</v>
          </cell>
          <cell r="C461" t="str">
            <v>R SETE</v>
          </cell>
          <cell r="D461" t="str">
            <v>VILA ZILDA</v>
          </cell>
          <cell r="E461" t="str">
            <v>GUARUJA</v>
          </cell>
          <cell r="F461" t="str">
            <v>SP</v>
          </cell>
          <cell r="G461" t="str">
            <v>112</v>
          </cell>
          <cell r="H461" t="str">
            <v>CASA 1</v>
          </cell>
          <cell r="I461" t="str">
            <v>11436-535</v>
          </cell>
          <cell r="J461" t="str">
            <v>33522911</v>
          </cell>
          <cell r="K461" t="str">
            <v/>
          </cell>
          <cell r="L461" t="str">
            <v>Masculino</v>
          </cell>
          <cell r="M461" t="str">
            <v>Parda</v>
          </cell>
          <cell r="N461">
            <v>28973</v>
          </cell>
          <cell r="O461" t="str">
            <v>300710045</v>
          </cell>
          <cell r="P461" t="str">
            <v>SP</v>
          </cell>
          <cell r="Q461" t="str">
            <v>SSP</v>
          </cell>
          <cell r="R461" t="str">
            <v>GUARUJA</v>
          </cell>
        </row>
        <row r="462">
          <cell r="A462" t="str">
            <v>KEILO MARCIO DA SILVA MOURA</v>
          </cell>
          <cell r="B462" t="str">
            <v>União Estável</v>
          </cell>
          <cell r="C462" t="str">
            <v>R Arilene Farinazzo Ferreira</v>
          </cell>
          <cell r="D462" t="str">
            <v>Jardim Boa Esperança (Vicente de Carvalh</v>
          </cell>
          <cell r="E462" t="str">
            <v>GUARUJA</v>
          </cell>
          <cell r="F462" t="str">
            <v>SP</v>
          </cell>
          <cell r="G462" t="str">
            <v>7950</v>
          </cell>
          <cell r="H462" t="str">
            <v>Casa 1</v>
          </cell>
          <cell r="I462" t="str">
            <v>11471-010</v>
          </cell>
          <cell r="J462" t="str">
            <v/>
          </cell>
          <cell r="K462" t="str">
            <v/>
          </cell>
          <cell r="L462" t="str">
            <v>Masculino</v>
          </cell>
          <cell r="M462" t="str">
            <v>Parda</v>
          </cell>
          <cell r="N462">
            <v>31347</v>
          </cell>
          <cell r="O462" t="str">
            <v>412649779</v>
          </cell>
          <cell r="P462" t="str">
            <v>SP</v>
          </cell>
          <cell r="Q462" t="str">
            <v>SSP</v>
          </cell>
          <cell r="R462" t="str">
            <v>SAO JOAO DO JAGUARIBE</v>
          </cell>
        </row>
        <row r="463">
          <cell r="A463" t="str">
            <v>ALIPIO FONSECA DA SILVA</v>
          </cell>
          <cell r="B463" t="str">
            <v>Casado</v>
          </cell>
          <cell r="C463" t="str">
            <v>R do Caminho São José</v>
          </cell>
          <cell r="D463" t="str">
            <v>Rádio Clube</v>
          </cell>
          <cell r="E463" t="str">
            <v>SANTOS</v>
          </cell>
          <cell r="F463" t="str">
            <v>SP</v>
          </cell>
          <cell r="G463" t="str">
            <v>123</v>
          </cell>
          <cell r="H463" t="str">
            <v/>
          </cell>
          <cell r="I463" t="str">
            <v>11088-500</v>
          </cell>
          <cell r="J463" t="str">
            <v>32915119</v>
          </cell>
          <cell r="K463" t="str">
            <v/>
          </cell>
          <cell r="L463" t="str">
            <v>Masculino</v>
          </cell>
          <cell r="M463" t="str">
            <v>Parda</v>
          </cell>
          <cell r="N463">
            <v>35972</v>
          </cell>
          <cell r="O463" t="str">
            <v>558905481</v>
          </cell>
          <cell r="P463" t="str">
            <v>SP</v>
          </cell>
          <cell r="Q463" t="str">
            <v>SSP</v>
          </cell>
          <cell r="R463" t="str">
            <v>SANTOS</v>
          </cell>
        </row>
        <row r="464">
          <cell r="A464" t="str">
            <v>DIOGO RODRIGUES DE MELO</v>
          </cell>
          <cell r="B464" t="str">
            <v>Casado</v>
          </cell>
          <cell r="C464" t="str">
            <v>AV Artur Paixão</v>
          </cell>
          <cell r="D464" t="str">
            <v>Vila Ligya</v>
          </cell>
          <cell r="E464" t="str">
            <v>GUARUJA</v>
          </cell>
          <cell r="F464" t="str">
            <v>SP</v>
          </cell>
          <cell r="G464" t="str">
            <v>224</v>
          </cell>
          <cell r="H464" t="str">
            <v>F</v>
          </cell>
          <cell r="I464" t="str">
            <v>11430-060</v>
          </cell>
          <cell r="J464" t="str">
            <v>997014668</v>
          </cell>
          <cell r="K464" t="str">
            <v/>
          </cell>
          <cell r="L464" t="str">
            <v>Masculino</v>
          </cell>
          <cell r="M464" t="str">
            <v>Parda</v>
          </cell>
          <cell r="N464">
            <v>30603</v>
          </cell>
          <cell r="O464" t="str">
            <v>334325031</v>
          </cell>
          <cell r="P464" t="str">
            <v>SP</v>
          </cell>
          <cell r="Q464" t="str">
            <v>SSP</v>
          </cell>
          <cell r="R464" t="str">
            <v>SANTOS</v>
          </cell>
        </row>
        <row r="465">
          <cell r="A465" t="str">
            <v>MARCO AURELIO ALVARES PEREIRA</v>
          </cell>
          <cell r="B465" t="str">
            <v>Casado</v>
          </cell>
          <cell r="C465" t="str">
            <v>AV Presidente Wilson</v>
          </cell>
          <cell r="D465" t="str">
            <v>Itarare</v>
          </cell>
          <cell r="E465" t="str">
            <v>SAO VICENTE</v>
          </cell>
          <cell r="F465" t="str">
            <v>SP</v>
          </cell>
          <cell r="G465" t="str">
            <v>1395</v>
          </cell>
          <cell r="H465" t="str">
            <v>AP 105</v>
          </cell>
          <cell r="I465" t="str">
            <v>11320-001</v>
          </cell>
          <cell r="J465" t="str">
            <v>981131229</v>
          </cell>
          <cell r="K465" t="str">
            <v/>
          </cell>
          <cell r="L465" t="str">
            <v>Masculino</v>
          </cell>
          <cell r="M465" t="str">
            <v>Parda</v>
          </cell>
          <cell r="N465">
            <v>25421</v>
          </cell>
          <cell r="O465" t="str">
            <v>197574087</v>
          </cell>
          <cell r="P465" t="str">
            <v>SP</v>
          </cell>
          <cell r="Q465" t="str">
            <v>SSP</v>
          </cell>
          <cell r="R465" t="str">
            <v>SANTOS</v>
          </cell>
        </row>
        <row r="466">
          <cell r="A466" t="str">
            <v>IGOR PAULO CARDOSO DOS SANTOS</v>
          </cell>
          <cell r="B466" t="str">
            <v>União Estável</v>
          </cell>
          <cell r="C466" t="str">
            <v>R DEZ</v>
          </cell>
          <cell r="D466" t="str">
            <v>Canto do Forte</v>
          </cell>
          <cell r="E466" t="str">
            <v>PRAIA GRANDE</v>
          </cell>
          <cell r="F466" t="str">
            <v>SP</v>
          </cell>
          <cell r="G466" t="str">
            <v>52</v>
          </cell>
          <cell r="H466" t="str">
            <v>23</v>
          </cell>
          <cell r="I466" t="str">
            <v>11700-590</v>
          </cell>
          <cell r="J466" t="str">
            <v>30242344</v>
          </cell>
          <cell r="K466" t="str">
            <v/>
          </cell>
          <cell r="L466" t="str">
            <v>Masculino</v>
          </cell>
          <cell r="M466" t="str">
            <v>Parda</v>
          </cell>
          <cell r="N466">
            <v>27618</v>
          </cell>
          <cell r="O466" t="str">
            <v>544105096</v>
          </cell>
          <cell r="P466" t="str">
            <v>SE</v>
          </cell>
          <cell r="Q466" t="str">
            <v>SSP</v>
          </cell>
          <cell r="R466" t="str">
            <v>SANTOS</v>
          </cell>
        </row>
        <row r="467">
          <cell r="A467" t="str">
            <v>PAULO RENARD DE ALMEIDA PRADO</v>
          </cell>
          <cell r="B467" t="str">
            <v>Casado</v>
          </cell>
          <cell r="C467" t="str">
            <v>R Cidade de Cubatão</v>
          </cell>
          <cell r="D467" t="str">
            <v>Vila Margarida</v>
          </cell>
          <cell r="E467" t="str">
            <v>SAO VICENTE</v>
          </cell>
          <cell r="F467" t="str">
            <v>SP</v>
          </cell>
          <cell r="G467" t="str">
            <v>564</v>
          </cell>
          <cell r="H467" t="str">
            <v>CS</v>
          </cell>
          <cell r="I467" t="str">
            <v>11330-680</v>
          </cell>
          <cell r="J467" t="str">
            <v>974115609</v>
          </cell>
          <cell r="K467" t="str">
            <v/>
          </cell>
          <cell r="L467" t="str">
            <v>Masculino</v>
          </cell>
          <cell r="M467" t="str">
            <v>Parda</v>
          </cell>
          <cell r="N467">
            <v>30304</v>
          </cell>
          <cell r="O467" t="str">
            <v>206079972</v>
          </cell>
          <cell r="P467" t="str">
            <v>SP</v>
          </cell>
          <cell r="Q467" t="str">
            <v>SSP</v>
          </cell>
          <cell r="R467" t="str">
            <v>SAO VICENTE</v>
          </cell>
        </row>
        <row r="468">
          <cell r="A468" t="str">
            <v>RENAN PEREIRA GONSALVES</v>
          </cell>
          <cell r="B468" t="str">
            <v>Solteiro</v>
          </cell>
          <cell r="C468" t="str">
            <v>AV Engenheiro Manoel Ferramenta Júnior</v>
          </cell>
          <cell r="D468" t="str">
            <v>Areia Branca</v>
          </cell>
          <cell r="E468" t="str">
            <v>SANTOS</v>
          </cell>
          <cell r="F468" t="str">
            <v>SP</v>
          </cell>
          <cell r="G468" t="str">
            <v>363</v>
          </cell>
          <cell r="H468" t="str">
            <v>Ap 152 B</v>
          </cell>
          <cell r="I468" t="str">
            <v>11086-400</v>
          </cell>
          <cell r="J468" t="str">
            <v>32275531</v>
          </cell>
          <cell r="K468" t="str">
            <v>991236588</v>
          </cell>
          <cell r="L468" t="str">
            <v>Masculino</v>
          </cell>
          <cell r="M468" t="str">
            <v>Parda</v>
          </cell>
          <cell r="N468">
            <v>31902</v>
          </cell>
          <cell r="O468" t="str">
            <v>25443549X</v>
          </cell>
          <cell r="P468" t="str">
            <v>SP</v>
          </cell>
          <cell r="Q468" t="str">
            <v>SSP</v>
          </cell>
          <cell r="R468" t="str">
            <v>SANTOS</v>
          </cell>
        </row>
        <row r="469">
          <cell r="A469" t="str">
            <v>ADEILSON LIMA MONTEIRO</v>
          </cell>
          <cell r="B469" t="str">
            <v>Casado</v>
          </cell>
          <cell r="C469" t="str">
            <v>R Onça-Pintada</v>
          </cell>
          <cell r="D469" t="str">
            <v>Princesa</v>
          </cell>
          <cell r="E469" t="str">
            <v>PRAIA GRANDE</v>
          </cell>
          <cell r="F469" t="str">
            <v>SP</v>
          </cell>
          <cell r="G469" t="str">
            <v>4285</v>
          </cell>
          <cell r="H469" t="str">
            <v>casa</v>
          </cell>
          <cell r="I469" t="str">
            <v>11711-240</v>
          </cell>
          <cell r="J469" t="str">
            <v>996150521</v>
          </cell>
          <cell r="K469" t="str">
            <v/>
          </cell>
          <cell r="L469" t="str">
            <v>Masculino</v>
          </cell>
          <cell r="M469" t="str">
            <v>Parda</v>
          </cell>
          <cell r="N469">
            <v>31097</v>
          </cell>
          <cell r="O469" t="str">
            <v>408329567</v>
          </cell>
          <cell r="P469" t="str">
            <v>SP</v>
          </cell>
          <cell r="Q469" t="str">
            <v>SSP</v>
          </cell>
          <cell r="R469" t="str">
            <v>SANTOS</v>
          </cell>
        </row>
        <row r="470">
          <cell r="A470" t="str">
            <v>LUIZ CARLOS SILVA</v>
          </cell>
          <cell r="B470" t="str">
            <v>Casado</v>
          </cell>
          <cell r="C470" t="str">
            <v>R Ali Hussein Daychoum</v>
          </cell>
          <cell r="D470" t="str">
            <v>Vila Sonia</v>
          </cell>
          <cell r="E470" t="str">
            <v>PRAIA GRANDE</v>
          </cell>
          <cell r="F470" t="str">
            <v>SP</v>
          </cell>
          <cell r="G470" t="str">
            <v>387</v>
          </cell>
          <cell r="H470" t="str">
            <v>Q22 L07</v>
          </cell>
          <cell r="I470" t="str">
            <v>11722-130</v>
          </cell>
          <cell r="J470" t="str">
            <v>34812837</v>
          </cell>
          <cell r="K470" t="str">
            <v/>
          </cell>
          <cell r="L470" t="str">
            <v>Masculino</v>
          </cell>
          <cell r="M470" t="str">
            <v>Preta/Negra</v>
          </cell>
          <cell r="N470">
            <v>22984</v>
          </cell>
          <cell r="O470" t="str">
            <v>15288287X</v>
          </cell>
          <cell r="P470" t="str">
            <v>SP</v>
          </cell>
          <cell r="Q470" t="str">
            <v>SSP</v>
          </cell>
          <cell r="R470" t="str">
            <v>SAO VICENTE</v>
          </cell>
        </row>
        <row r="471">
          <cell r="A471" t="str">
            <v>HENRIQUE MATIAS DOS SANTOS</v>
          </cell>
          <cell r="B471" t="str">
            <v>Casado</v>
          </cell>
          <cell r="C471" t="str">
            <v>R Tomoichi Kobuchi</v>
          </cell>
          <cell r="D471" t="str">
            <v>Areia Branca</v>
          </cell>
          <cell r="E471" t="str">
            <v>SANTOS</v>
          </cell>
          <cell r="F471" t="str">
            <v>SP</v>
          </cell>
          <cell r="G471" t="str">
            <v>20</v>
          </cell>
          <cell r="H471" t="str">
            <v>CA 2</v>
          </cell>
          <cell r="I471" t="str">
            <v>11086-100</v>
          </cell>
          <cell r="J471" t="str">
            <v>988424002</v>
          </cell>
          <cell r="K471" t="str">
            <v/>
          </cell>
          <cell r="L471" t="str">
            <v>Masculino</v>
          </cell>
          <cell r="M471" t="str">
            <v>Parda</v>
          </cell>
          <cell r="N471">
            <v>29474</v>
          </cell>
          <cell r="O471" t="str">
            <v>309465102</v>
          </cell>
          <cell r="P471" t="str">
            <v>SP</v>
          </cell>
          <cell r="Q471" t="str">
            <v>SSP</v>
          </cell>
          <cell r="R471" t="str">
            <v>SANTOS</v>
          </cell>
        </row>
        <row r="472">
          <cell r="A472" t="str">
            <v>JULIANA PELLIN ROSA</v>
          </cell>
          <cell r="B472" t="str">
            <v>Solteiro</v>
          </cell>
          <cell r="C472" t="str">
            <v>R Affonso Verediano</v>
          </cell>
          <cell r="D472" t="str">
            <v>Embare</v>
          </cell>
          <cell r="E472" t="str">
            <v>SANTOS</v>
          </cell>
          <cell r="F472" t="str">
            <v>SP</v>
          </cell>
          <cell r="G472" t="str">
            <v>61</v>
          </cell>
          <cell r="H472" t="str">
            <v>ap 11</v>
          </cell>
          <cell r="I472" t="str">
            <v>11040-120</v>
          </cell>
          <cell r="J472" t="str">
            <v>991383860</v>
          </cell>
          <cell r="K472" t="str">
            <v/>
          </cell>
          <cell r="L472" t="str">
            <v>Feminino</v>
          </cell>
          <cell r="M472" t="str">
            <v>Parda</v>
          </cell>
          <cell r="N472">
            <v>30695</v>
          </cell>
          <cell r="O472" t="str">
            <v>437744711</v>
          </cell>
          <cell r="P472" t="str">
            <v>SP</v>
          </cell>
          <cell r="Q472" t="str">
            <v>SSP</v>
          </cell>
          <cell r="R472" t="str">
            <v>SAO PAULO</v>
          </cell>
        </row>
        <row r="473">
          <cell r="A473" t="str">
            <v>MARCELO DE CARVALHO MOREIRA</v>
          </cell>
          <cell r="B473" t="str">
            <v>Casado</v>
          </cell>
          <cell r="C473" t="str">
            <v>R VENANCIO JOSE LISBOA</v>
          </cell>
          <cell r="D473" t="str">
            <v>Ponta da Praia</v>
          </cell>
          <cell r="E473" t="str">
            <v>SANTOS</v>
          </cell>
          <cell r="F473" t="str">
            <v>SP</v>
          </cell>
          <cell r="G473" t="str">
            <v>12</v>
          </cell>
          <cell r="H473" t="str">
            <v>AP 03P PRAIA</v>
          </cell>
          <cell r="I473" t="str">
            <v>11030-080</v>
          </cell>
          <cell r="J473" t="str">
            <v>22022673</v>
          </cell>
          <cell r="K473" t="str">
            <v>981520987</v>
          </cell>
          <cell r="L473" t="str">
            <v>Masculino</v>
          </cell>
          <cell r="M473" t="str">
            <v>Parda</v>
          </cell>
          <cell r="N473">
            <v>25405</v>
          </cell>
          <cell r="O473" t="str">
            <v>19293473</v>
          </cell>
          <cell r="P473" t="str">
            <v>SP</v>
          </cell>
          <cell r="Q473" t="str">
            <v>SSP</v>
          </cell>
          <cell r="R473" t="str">
            <v>SANTOS</v>
          </cell>
        </row>
        <row r="474">
          <cell r="A474" t="str">
            <v>RAFAEL HENRIQUE VARELLA SANTOS</v>
          </cell>
          <cell r="B474" t="str">
            <v>Casado</v>
          </cell>
          <cell r="C474" t="str">
            <v>R Vasco da Gama</v>
          </cell>
          <cell r="D474" t="str">
            <v>Jabaquara</v>
          </cell>
          <cell r="E474" t="str">
            <v>SANTOS</v>
          </cell>
          <cell r="F474" t="str">
            <v>SP</v>
          </cell>
          <cell r="G474" t="str">
            <v>35</v>
          </cell>
          <cell r="H474" t="str">
            <v>ap 25</v>
          </cell>
          <cell r="I474" t="str">
            <v>11013-590</v>
          </cell>
          <cell r="J474" t="str">
            <v>34954930</v>
          </cell>
          <cell r="K474" t="str">
            <v/>
          </cell>
          <cell r="L474" t="str">
            <v>Masculino</v>
          </cell>
          <cell r="M474" t="str">
            <v>Preta/Negra</v>
          </cell>
          <cell r="N474">
            <v>33738</v>
          </cell>
          <cell r="O474" t="str">
            <v>485981361</v>
          </cell>
          <cell r="P474" t="str">
            <v>SP</v>
          </cell>
          <cell r="Q474" t="str">
            <v>SSP</v>
          </cell>
          <cell r="R474" t="str">
            <v>SANTOS</v>
          </cell>
        </row>
        <row r="475">
          <cell r="A475" t="str">
            <v>FERNANDO FACCIOLI DE CAMARGO</v>
          </cell>
          <cell r="B475" t="str">
            <v>Casado</v>
          </cell>
          <cell r="C475" t="str">
            <v>R Fábio Lopes dos Santos Luz</v>
          </cell>
          <cell r="D475" t="str">
            <v>Vila Andrade</v>
          </cell>
          <cell r="E475" t="str">
            <v>SAO PAULO</v>
          </cell>
          <cell r="F475" t="str">
            <v>SP</v>
          </cell>
          <cell r="G475" t="str">
            <v>287</v>
          </cell>
          <cell r="H475" t="str">
            <v>AP 172 A</v>
          </cell>
          <cell r="I475" t="str">
            <v>05717-230</v>
          </cell>
          <cell r="J475" t="str">
            <v>37714781</v>
          </cell>
          <cell r="K475" t="str">
            <v/>
          </cell>
          <cell r="L475" t="str">
            <v>Masculino</v>
          </cell>
          <cell r="M475" t="str">
            <v>Parda</v>
          </cell>
          <cell r="N475">
            <v>26886</v>
          </cell>
          <cell r="O475" t="str">
            <v>8635274X</v>
          </cell>
          <cell r="P475" t="str">
            <v>SP</v>
          </cell>
          <cell r="Q475" t="str">
            <v>SSP</v>
          </cell>
          <cell r="R475" t="str">
            <v>CAMPINAS</v>
          </cell>
        </row>
        <row r="476">
          <cell r="A476" t="str">
            <v>VINICIUS NUNES MARTINS DE SOUZA</v>
          </cell>
          <cell r="B476" t="str">
            <v>Solteiro</v>
          </cell>
          <cell r="C476" t="str">
            <v>R Pedro Alves</v>
          </cell>
          <cell r="D476" t="str">
            <v>Esplanada dos Barrei</v>
          </cell>
          <cell r="E476" t="str">
            <v>SAO VICENTE</v>
          </cell>
          <cell r="F476" t="str">
            <v>SP</v>
          </cell>
          <cell r="G476" t="str">
            <v>35</v>
          </cell>
          <cell r="H476" t="str">
            <v/>
          </cell>
          <cell r="I476" t="str">
            <v>11340-370</v>
          </cell>
          <cell r="J476" t="str">
            <v>974100560</v>
          </cell>
          <cell r="K476" t="str">
            <v/>
          </cell>
          <cell r="L476" t="str">
            <v>Masculino</v>
          </cell>
          <cell r="M476" t="str">
            <v>Parda</v>
          </cell>
          <cell r="N476">
            <v>33423</v>
          </cell>
          <cell r="O476" t="str">
            <v>478083063</v>
          </cell>
          <cell r="P476" t="str">
            <v>SP</v>
          </cell>
          <cell r="Q476" t="str">
            <v>SSP</v>
          </cell>
          <cell r="R476" t="str">
            <v>SAO VICENTE</v>
          </cell>
        </row>
        <row r="477">
          <cell r="A477" t="str">
            <v>FERNANDO DA SILVA RIBEIRO</v>
          </cell>
          <cell r="B477" t="str">
            <v>Divorciado</v>
          </cell>
          <cell r="C477" t="str">
            <v>R Jutaí</v>
          </cell>
          <cell r="D477" t="str">
            <v>Balneario Praia do P</v>
          </cell>
          <cell r="E477" t="str">
            <v>GUARUJA</v>
          </cell>
          <cell r="F477" t="str">
            <v>SP</v>
          </cell>
          <cell r="G477" t="str">
            <v>11</v>
          </cell>
          <cell r="H477" t="str">
            <v>CASA FUNDOS</v>
          </cell>
          <cell r="I477" t="str">
            <v>11446-260</v>
          </cell>
          <cell r="J477" t="str">
            <v>33535482</v>
          </cell>
          <cell r="K477" t="str">
            <v/>
          </cell>
          <cell r="L477" t="str">
            <v>Masculino</v>
          </cell>
          <cell r="M477" t="str">
            <v>Parda</v>
          </cell>
          <cell r="N477">
            <v>25422</v>
          </cell>
          <cell r="O477" t="str">
            <v>20587446</v>
          </cell>
          <cell r="P477" t="str">
            <v>SP</v>
          </cell>
          <cell r="Q477" t="str">
            <v>SSP</v>
          </cell>
          <cell r="R477" t="str">
            <v>GUARUJA</v>
          </cell>
        </row>
        <row r="478">
          <cell r="A478" t="str">
            <v>NATALIA DE ABREU PUIME</v>
          </cell>
          <cell r="B478" t="str">
            <v>Solteiro</v>
          </cell>
          <cell r="C478" t="str">
            <v>AV Affonso Penna</v>
          </cell>
          <cell r="D478" t="str">
            <v>Aparecida</v>
          </cell>
          <cell r="E478" t="str">
            <v>SANTOS</v>
          </cell>
          <cell r="F478" t="str">
            <v>SP</v>
          </cell>
          <cell r="G478" t="str">
            <v>692</v>
          </cell>
          <cell r="H478" t="str">
            <v>AP 47</v>
          </cell>
          <cell r="I478" t="str">
            <v>11020-002</v>
          </cell>
          <cell r="J478" t="str">
            <v>22024515</v>
          </cell>
          <cell r="K478" t="str">
            <v/>
          </cell>
          <cell r="L478" t="str">
            <v>Feminino</v>
          </cell>
          <cell r="M478" t="str">
            <v>Parda</v>
          </cell>
          <cell r="N478">
            <v>32216</v>
          </cell>
          <cell r="O478" t="str">
            <v>443918375</v>
          </cell>
          <cell r="P478" t="str">
            <v>SP</v>
          </cell>
          <cell r="Q478" t="str">
            <v>SSP</v>
          </cell>
          <cell r="R478" t="str">
            <v>SANTOS</v>
          </cell>
        </row>
        <row r="479">
          <cell r="A479" t="str">
            <v>ADELSON SILVA DE LIMA</v>
          </cell>
          <cell r="B479" t="str">
            <v>Divorciado</v>
          </cell>
          <cell r="C479" t="str">
            <v>R Antônio Riscalle Husne</v>
          </cell>
          <cell r="D479" t="str">
            <v>Jardim Rio Branco</v>
          </cell>
          <cell r="E479" t="str">
            <v>SAO VICENTE</v>
          </cell>
          <cell r="F479" t="str">
            <v>SP</v>
          </cell>
          <cell r="G479" t="str">
            <v>442</v>
          </cell>
          <cell r="H479" t="str">
            <v/>
          </cell>
          <cell r="I479" t="str">
            <v>11347-020</v>
          </cell>
          <cell r="J479" t="str">
            <v/>
          </cell>
          <cell r="K479" t="str">
            <v>992007462</v>
          </cell>
          <cell r="L479" t="str">
            <v>Masculino</v>
          </cell>
          <cell r="M479" t="str">
            <v>Parda</v>
          </cell>
          <cell r="N479">
            <v>27683</v>
          </cell>
          <cell r="O479" t="str">
            <v>214328582</v>
          </cell>
          <cell r="P479" t="str">
            <v>SP</v>
          </cell>
          <cell r="Q479" t="str">
            <v>SSP</v>
          </cell>
          <cell r="R479" t="str">
            <v>CUBATAO</v>
          </cell>
        </row>
        <row r="480">
          <cell r="A480" t="str">
            <v>EDNILSON DA SILVA SANTOS</v>
          </cell>
          <cell r="B480" t="str">
            <v>Casado</v>
          </cell>
          <cell r="C480" t="str">
            <v>R José Benedito de Almeida</v>
          </cell>
          <cell r="D480" t="str">
            <v>Tupiry</v>
          </cell>
          <cell r="E480" t="str">
            <v>PRAIA GRANDE</v>
          </cell>
          <cell r="F480" t="str">
            <v>SP</v>
          </cell>
          <cell r="G480" t="str">
            <v>90</v>
          </cell>
          <cell r="H480" t="str">
            <v/>
          </cell>
          <cell r="I480" t="str">
            <v>11719-120</v>
          </cell>
          <cell r="J480" t="str">
            <v>991041456</v>
          </cell>
          <cell r="K480" t="str">
            <v/>
          </cell>
          <cell r="L480" t="str">
            <v>Masculino</v>
          </cell>
          <cell r="M480" t="str">
            <v>Parda</v>
          </cell>
          <cell r="N480">
            <v>29518</v>
          </cell>
          <cell r="O480" t="str">
            <v>335773539</v>
          </cell>
          <cell r="P480" t="str">
            <v>SP</v>
          </cell>
          <cell r="Q480" t="str">
            <v>SSP</v>
          </cell>
          <cell r="R480" t="str">
            <v>SANTOS</v>
          </cell>
        </row>
        <row r="481">
          <cell r="A481" t="str">
            <v>GABRIEL REZENDE DO NASCIMENTO</v>
          </cell>
          <cell r="B481" t="str">
            <v>Casado</v>
          </cell>
          <cell r="C481" t="str">
            <v>R Edvaldo Pires</v>
          </cell>
          <cell r="D481" t="str">
            <v>Jardim Boa Esperança</v>
          </cell>
          <cell r="E481" t="str">
            <v>GUARUJA</v>
          </cell>
          <cell r="F481" t="str">
            <v>SP</v>
          </cell>
          <cell r="G481" t="str">
            <v>781</v>
          </cell>
          <cell r="H481" t="str">
            <v/>
          </cell>
          <cell r="I481" t="str">
            <v>11471-090</v>
          </cell>
          <cell r="J481" t="str">
            <v>996228203</v>
          </cell>
          <cell r="K481" t="str">
            <v/>
          </cell>
          <cell r="L481" t="str">
            <v>Masculino</v>
          </cell>
          <cell r="M481" t="str">
            <v>Parda</v>
          </cell>
          <cell r="N481">
            <v>33851</v>
          </cell>
          <cell r="O481" t="str">
            <v>491073357</v>
          </cell>
          <cell r="P481" t="str">
            <v>SP</v>
          </cell>
          <cell r="Q481" t="str">
            <v>SSP</v>
          </cell>
          <cell r="R481" t="str">
            <v>GUARUJA</v>
          </cell>
        </row>
        <row r="482">
          <cell r="A482" t="str">
            <v>ERICK BUCHLER DE SOUZA</v>
          </cell>
          <cell r="B482" t="str">
            <v>Solteiro</v>
          </cell>
          <cell r="C482" t="str">
            <v>R Diamante</v>
          </cell>
          <cell r="D482" t="str">
            <v>Cidade da Criança</v>
          </cell>
          <cell r="E482" t="str">
            <v>PRAIA GRANDE</v>
          </cell>
          <cell r="F482" t="str">
            <v>SP</v>
          </cell>
          <cell r="G482" t="str">
            <v>401</v>
          </cell>
          <cell r="H482" t="str">
            <v>Q33 L 05</v>
          </cell>
          <cell r="I482" t="str">
            <v>11710-170</v>
          </cell>
          <cell r="J482" t="str">
            <v>981025666</v>
          </cell>
          <cell r="K482" t="str">
            <v>35936550</v>
          </cell>
          <cell r="L482" t="str">
            <v>Masculino</v>
          </cell>
          <cell r="M482" t="str">
            <v>Parda</v>
          </cell>
          <cell r="N482">
            <v>34665</v>
          </cell>
          <cell r="O482" t="str">
            <v>416966901</v>
          </cell>
          <cell r="P482" t="str">
            <v>SP</v>
          </cell>
          <cell r="Q482" t="str">
            <v>SSP</v>
          </cell>
          <cell r="R482" t="str">
            <v>PRAIA GRANDE</v>
          </cell>
        </row>
        <row r="483">
          <cell r="A483" t="str">
            <v>CHARLES WILLIAN ALMEIDA SPINOLA</v>
          </cell>
          <cell r="B483" t="str">
            <v>Divorciado</v>
          </cell>
          <cell r="C483" t="str">
            <v>AV Ananias Batista Menezes</v>
          </cell>
          <cell r="D483" t="str">
            <v>Anhanguera</v>
          </cell>
          <cell r="E483" t="str">
            <v>PRAIA GRANDE</v>
          </cell>
          <cell r="F483" t="str">
            <v>SP</v>
          </cell>
          <cell r="G483" t="str">
            <v>340</v>
          </cell>
          <cell r="H483" t="str">
            <v>CASA 2</v>
          </cell>
          <cell r="I483" t="str">
            <v>11717-290</v>
          </cell>
          <cell r="J483" t="str">
            <v>991671070</v>
          </cell>
          <cell r="K483" t="str">
            <v/>
          </cell>
          <cell r="L483" t="str">
            <v>Masculino</v>
          </cell>
          <cell r="M483" t="str">
            <v>Parda</v>
          </cell>
          <cell r="N483">
            <v>33389</v>
          </cell>
          <cell r="O483" t="str">
            <v>478409928</v>
          </cell>
          <cell r="P483" t="str">
            <v>SP</v>
          </cell>
          <cell r="Q483" t="str">
            <v>SSP</v>
          </cell>
          <cell r="R483" t="str">
            <v>SAO VICENTE</v>
          </cell>
        </row>
        <row r="484">
          <cell r="A484" t="str">
            <v>SIDNEY ALVES ROSA</v>
          </cell>
          <cell r="B484" t="str">
            <v>União Estável</v>
          </cell>
          <cell r="C484" t="str">
            <v>AV Zélia giglioli Galves</v>
          </cell>
          <cell r="D484" t="str">
            <v>Esmeralda</v>
          </cell>
          <cell r="E484" t="str">
            <v>PRAIA GRANDE</v>
          </cell>
          <cell r="F484" t="str">
            <v>SP</v>
          </cell>
          <cell r="G484" t="str">
            <v>109</v>
          </cell>
          <cell r="H484" t="str">
            <v>Casa 4</v>
          </cell>
          <cell r="I484" t="str">
            <v>11713-300</v>
          </cell>
          <cell r="J484" t="str">
            <v/>
          </cell>
          <cell r="K484" t="str">
            <v/>
          </cell>
          <cell r="L484" t="str">
            <v>Masculino</v>
          </cell>
          <cell r="M484" t="str">
            <v>Branca</v>
          </cell>
          <cell r="N484">
            <v>34755</v>
          </cell>
          <cell r="O484" t="str">
            <v>435437148</v>
          </cell>
          <cell r="P484" t="str">
            <v>SP</v>
          </cell>
          <cell r="Q484" t="str">
            <v>SSP</v>
          </cell>
          <cell r="R484" t="str">
            <v>SAO VICENTE</v>
          </cell>
        </row>
        <row r="485">
          <cell r="A485" t="str">
            <v>RAFAEL COSTA DE LUCENA</v>
          </cell>
          <cell r="B485" t="str">
            <v>Solteiro</v>
          </cell>
          <cell r="C485" t="str">
            <v>AV Bartolomeu de Gusmão</v>
          </cell>
          <cell r="D485" t="str">
            <v>Aparecida</v>
          </cell>
          <cell r="E485" t="str">
            <v>SANTOS</v>
          </cell>
          <cell r="F485" t="str">
            <v>SP</v>
          </cell>
          <cell r="G485" t="str">
            <v>122</v>
          </cell>
          <cell r="H485" t="str">
            <v>ap.610</v>
          </cell>
          <cell r="I485" t="str">
            <v>11045-401</v>
          </cell>
          <cell r="J485" t="str">
            <v>988481707</v>
          </cell>
          <cell r="K485" t="str">
            <v/>
          </cell>
          <cell r="L485" t="str">
            <v>Masculino</v>
          </cell>
          <cell r="M485" t="str">
            <v>Parda</v>
          </cell>
          <cell r="N485">
            <v>33362</v>
          </cell>
          <cell r="O485" t="str">
            <v>4872459720</v>
          </cell>
          <cell r="P485" t="str">
            <v>SP</v>
          </cell>
          <cell r="Q485" t="str">
            <v>SSP</v>
          </cell>
          <cell r="R485" t="str">
            <v>SANTOS</v>
          </cell>
        </row>
        <row r="486">
          <cell r="A486" t="str">
            <v>ADRIANO SACRAMENTO DA CRUZ</v>
          </cell>
          <cell r="B486" t="str">
            <v>Casado</v>
          </cell>
          <cell r="C486" t="str">
            <v>R Dom Frei Vital</v>
          </cell>
          <cell r="D486" t="str">
            <v>Embaré</v>
          </cell>
          <cell r="E486" t="str">
            <v>SANTOS</v>
          </cell>
          <cell r="F486" t="str">
            <v>SP</v>
          </cell>
          <cell r="G486" t="str">
            <v>12</v>
          </cell>
          <cell r="H486" t="str">
            <v>BL A - AP 23</v>
          </cell>
          <cell r="I486" t="str">
            <v>11025-090</v>
          </cell>
          <cell r="J486" t="str">
            <v>991737389</v>
          </cell>
          <cell r="K486" t="str">
            <v/>
          </cell>
          <cell r="L486" t="str">
            <v>Masculino</v>
          </cell>
          <cell r="M486" t="str">
            <v>Parda</v>
          </cell>
          <cell r="N486">
            <v>30093</v>
          </cell>
          <cell r="O486" t="str">
            <v>343486416</v>
          </cell>
          <cell r="P486" t="str">
            <v>SP</v>
          </cell>
          <cell r="Q486" t="str">
            <v>SSP</v>
          </cell>
          <cell r="R486" t="str">
            <v>SANTOS</v>
          </cell>
        </row>
        <row r="487">
          <cell r="A487" t="str">
            <v>RUBENS FIGUEIREDO MATTOS</v>
          </cell>
          <cell r="B487" t="str">
            <v>Casado</v>
          </cell>
          <cell r="C487" t="str">
            <v>R Estacio de Sá</v>
          </cell>
          <cell r="D487" t="str">
            <v>Embaré</v>
          </cell>
          <cell r="E487" t="str">
            <v>SANTOS</v>
          </cell>
          <cell r="F487" t="str">
            <v>SP</v>
          </cell>
          <cell r="G487" t="str">
            <v>3</v>
          </cell>
          <cell r="H487" t="str">
            <v>AP 02</v>
          </cell>
          <cell r="I487" t="str">
            <v>11025-110</v>
          </cell>
          <cell r="J487" t="str">
            <v>974150640</v>
          </cell>
          <cell r="K487" t="str">
            <v/>
          </cell>
          <cell r="L487" t="str">
            <v>Masculino</v>
          </cell>
          <cell r="M487" t="str">
            <v>Parda</v>
          </cell>
          <cell r="N487">
            <v>22088</v>
          </cell>
          <cell r="O487" t="str">
            <v>13353070X</v>
          </cell>
          <cell r="P487" t="str">
            <v>SP</v>
          </cell>
          <cell r="Q487" t="str">
            <v>SSP</v>
          </cell>
          <cell r="R487" t="str">
            <v>SANTOS</v>
          </cell>
        </row>
        <row r="488">
          <cell r="A488" t="str">
            <v>BRUNO BARRETO SANTOS</v>
          </cell>
          <cell r="B488" t="str">
            <v>Casado</v>
          </cell>
          <cell r="C488" t="str">
            <v>AV Luís Gama</v>
          </cell>
          <cell r="D488" t="str">
            <v>Sítio Paecara (Vicen</v>
          </cell>
          <cell r="E488" t="str">
            <v>GUARUJA</v>
          </cell>
          <cell r="F488" t="str">
            <v>SP</v>
          </cell>
          <cell r="G488" t="str">
            <v>832</v>
          </cell>
          <cell r="H488" t="str">
            <v/>
          </cell>
          <cell r="I488" t="str">
            <v>11451-320</v>
          </cell>
          <cell r="J488" t="str">
            <v>33525332</v>
          </cell>
          <cell r="K488" t="str">
            <v>988173835</v>
          </cell>
          <cell r="L488" t="str">
            <v>Masculino</v>
          </cell>
          <cell r="M488" t="str">
            <v>Parda</v>
          </cell>
          <cell r="N488">
            <v>31054</v>
          </cell>
          <cell r="O488" t="str">
            <v>330847193</v>
          </cell>
          <cell r="P488" t="str">
            <v>SP</v>
          </cell>
          <cell r="Q488" t="str">
            <v>SSP</v>
          </cell>
          <cell r="R488" t="str">
            <v>SANTOS</v>
          </cell>
        </row>
        <row r="489">
          <cell r="A489" t="str">
            <v>ALAN ROBERTO VASCONCELLOS</v>
          </cell>
          <cell r="B489" t="str">
            <v>Separado</v>
          </cell>
          <cell r="C489" t="str">
            <v>R Irmã Maria Alberta</v>
          </cell>
          <cell r="D489" t="str">
            <v>Samarita</v>
          </cell>
          <cell r="E489" t="str">
            <v>SAO VICENTE</v>
          </cell>
          <cell r="F489" t="str">
            <v>SP</v>
          </cell>
          <cell r="G489" t="str">
            <v>76</v>
          </cell>
          <cell r="H489" t="str">
            <v>BL 04 AP 501</v>
          </cell>
          <cell r="I489" t="str">
            <v>11345-045</v>
          </cell>
          <cell r="J489" t="str">
            <v>974068760</v>
          </cell>
          <cell r="K489" t="str">
            <v/>
          </cell>
          <cell r="L489" t="str">
            <v>Masculino</v>
          </cell>
          <cell r="M489" t="str">
            <v>Parda</v>
          </cell>
          <cell r="N489">
            <v>29390</v>
          </cell>
          <cell r="O489" t="str">
            <v>300058445</v>
          </cell>
          <cell r="P489" t="str">
            <v>SP</v>
          </cell>
          <cell r="Q489" t="str">
            <v>SSP</v>
          </cell>
          <cell r="R489" t="str">
            <v>SANTOS</v>
          </cell>
        </row>
        <row r="490">
          <cell r="A490" t="str">
            <v>DANILO JORGE LOPES XAVIER</v>
          </cell>
          <cell r="B490" t="str">
            <v>Casado</v>
          </cell>
          <cell r="C490" t="str">
            <v>R Almirante Custódio de Mello</v>
          </cell>
          <cell r="D490" t="str">
            <v>Pompéia</v>
          </cell>
          <cell r="E490" t="str">
            <v>SANTOS</v>
          </cell>
          <cell r="F490" t="str">
            <v>SP</v>
          </cell>
          <cell r="G490" t="str">
            <v>20</v>
          </cell>
          <cell r="H490" t="str">
            <v>CA 2</v>
          </cell>
          <cell r="I490" t="str">
            <v>11065-210</v>
          </cell>
          <cell r="J490" t="str">
            <v>33011618</v>
          </cell>
          <cell r="K490" t="str">
            <v/>
          </cell>
          <cell r="L490" t="str">
            <v>Masculino</v>
          </cell>
          <cell r="M490" t="str">
            <v>Parda</v>
          </cell>
          <cell r="N490">
            <v>24224</v>
          </cell>
          <cell r="O490" t="str">
            <v>18504850X</v>
          </cell>
          <cell r="P490" t="str">
            <v>SP</v>
          </cell>
          <cell r="Q490" t="str">
            <v>SSP</v>
          </cell>
          <cell r="R490" t="str">
            <v>SAO PAULO</v>
          </cell>
        </row>
        <row r="491">
          <cell r="A491" t="str">
            <v>ANDRE LUIZ DE OLIVEIRA</v>
          </cell>
          <cell r="B491" t="str">
            <v>Casado</v>
          </cell>
          <cell r="C491" t="str">
            <v>AV Atlântica</v>
          </cell>
          <cell r="D491" t="str">
            <v>Sítio Paecara (Vicente de Carvalho)</v>
          </cell>
          <cell r="E491" t="str">
            <v>GUARUJA</v>
          </cell>
          <cell r="F491" t="str">
            <v>SP</v>
          </cell>
          <cell r="G491" t="str">
            <v>330</v>
          </cell>
          <cell r="H491" t="str">
            <v>Casa de esquina</v>
          </cell>
          <cell r="I491" t="str">
            <v>11460-511</v>
          </cell>
          <cell r="J491" t="str">
            <v>981699532</v>
          </cell>
          <cell r="K491" t="str">
            <v/>
          </cell>
          <cell r="L491" t="str">
            <v>Masculino</v>
          </cell>
          <cell r="M491" t="str">
            <v>Parda</v>
          </cell>
          <cell r="N491">
            <v>27588</v>
          </cell>
          <cell r="O491" t="str">
            <v>259125672</v>
          </cell>
          <cell r="P491" t="str">
            <v>SP</v>
          </cell>
          <cell r="Q491" t="str">
            <v>SSP</v>
          </cell>
          <cell r="R491" t="str">
            <v>SANTOS</v>
          </cell>
        </row>
        <row r="492">
          <cell r="A492" t="str">
            <v>ELEANDRO DILSON BANDEIRA</v>
          </cell>
          <cell r="B492" t="str">
            <v>Casado</v>
          </cell>
          <cell r="C492" t="str">
            <v>PC Cento e Vinte e Oito</v>
          </cell>
          <cell r="D492" t="str">
            <v>Conjunto Residencial</v>
          </cell>
          <cell r="E492" t="str">
            <v>SAO VICENTE</v>
          </cell>
          <cell r="F492" t="str">
            <v>SP</v>
          </cell>
          <cell r="G492" t="str">
            <v>66</v>
          </cell>
          <cell r="H492" t="str">
            <v/>
          </cell>
          <cell r="I492" t="str">
            <v>11349-090</v>
          </cell>
          <cell r="J492" t="str">
            <v/>
          </cell>
          <cell r="K492" t="str">
            <v>988175841</v>
          </cell>
          <cell r="L492" t="str">
            <v>Masculino</v>
          </cell>
          <cell r="M492" t="str">
            <v>Parda</v>
          </cell>
          <cell r="N492">
            <v>29909</v>
          </cell>
          <cell r="O492" t="str">
            <v>34249016</v>
          </cell>
          <cell r="P492" t="str">
            <v>SP</v>
          </cell>
          <cell r="Q492" t="str">
            <v>SSP</v>
          </cell>
          <cell r="R492" t="str">
            <v>SAO VICENTE</v>
          </cell>
        </row>
        <row r="493">
          <cell r="A493" t="str">
            <v>MARCIO MOREIRA DE SOUZA</v>
          </cell>
          <cell r="B493" t="str">
            <v>Divorciado</v>
          </cell>
          <cell r="C493" t="str">
            <v>V Waldemar Crevatim</v>
          </cell>
          <cell r="D493" t="str">
            <v>Antártica</v>
          </cell>
          <cell r="E493" t="str">
            <v>PRAIA GRANDE</v>
          </cell>
          <cell r="F493" t="str">
            <v>SP</v>
          </cell>
          <cell r="G493" t="str">
            <v>382</v>
          </cell>
          <cell r="H493" t="str">
            <v>Casa</v>
          </cell>
          <cell r="I493" t="str">
            <v>11720-100</v>
          </cell>
          <cell r="J493" t="str">
            <v>35964731</v>
          </cell>
          <cell r="K493" t="str">
            <v>974049237</v>
          </cell>
          <cell r="L493" t="str">
            <v>Masculino</v>
          </cell>
          <cell r="M493" t="str">
            <v>Parda</v>
          </cell>
          <cell r="N493">
            <v>29284</v>
          </cell>
          <cell r="O493" t="str">
            <v>30588542X</v>
          </cell>
          <cell r="P493" t="str">
            <v>SP</v>
          </cell>
          <cell r="Q493" t="str">
            <v>SSP</v>
          </cell>
          <cell r="R493" t="str">
            <v>FRANCISCO MORATO</v>
          </cell>
        </row>
        <row r="494">
          <cell r="A494" t="str">
            <v>MARCOS ANTONIO MOREIRA DE LAURA</v>
          </cell>
          <cell r="B494" t="str">
            <v>Casado</v>
          </cell>
          <cell r="C494" t="str">
            <v>R dos Calungas</v>
          </cell>
          <cell r="D494" t="str">
            <v>Esplanada dos Barrei</v>
          </cell>
          <cell r="E494" t="str">
            <v>SAO VICENTE</v>
          </cell>
          <cell r="F494" t="str">
            <v>SP</v>
          </cell>
          <cell r="G494" t="str">
            <v>184</v>
          </cell>
          <cell r="H494" t="str">
            <v/>
          </cell>
          <cell r="I494" t="str">
            <v>11340-400</v>
          </cell>
          <cell r="J494" t="str">
            <v>981162050</v>
          </cell>
          <cell r="K494" t="str">
            <v>981162050</v>
          </cell>
          <cell r="L494" t="str">
            <v>Masculino</v>
          </cell>
          <cell r="M494" t="str">
            <v>Parda</v>
          </cell>
          <cell r="N494">
            <v>24294</v>
          </cell>
          <cell r="O494" t="str">
            <v>179512614</v>
          </cell>
          <cell r="P494" t="str">
            <v>SP</v>
          </cell>
          <cell r="Q494" t="str">
            <v>SSP</v>
          </cell>
          <cell r="R494" t="str">
            <v>SANTOS</v>
          </cell>
        </row>
        <row r="495">
          <cell r="A495" t="str">
            <v>CLAUDINEY MIGUEL LUCINARO DE OLIVEIRA</v>
          </cell>
          <cell r="B495" t="str">
            <v>Casado</v>
          </cell>
          <cell r="C495" t="str">
            <v>R Professor Delfino Stockler de Lima</v>
          </cell>
          <cell r="D495" t="str">
            <v>Itararé</v>
          </cell>
          <cell r="E495" t="str">
            <v>SAO VICENTE</v>
          </cell>
          <cell r="F495" t="str">
            <v>SP</v>
          </cell>
          <cell r="G495" t="str">
            <v>31</v>
          </cell>
          <cell r="H495" t="str">
            <v>apto 507</v>
          </cell>
          <cell r="I495" t="str">
            <v>11320-320</v>
          </cell>
          <cell r="J495" t="str">
            <v>971039767</v>
          </cell>
          <cell r="K495" t="str">
            <v/>
          </cell>
          <cell r="L495" t="str">
            <v>Masculino</v>
          </cell>
          <cell r="M495" t="str">
            <v>Parda</v>
          </cell>
          <cell r="N495">
            <v>25902</v>
          </cell>
          <cell r="O495" t="str">
            <v>20586868X</v>
          </cell>
          <cell r="P495" t="str">
            <v>SP</v>
          </cell>
          <cell r="Q495" t="str">
            <v>SSP</v>
          </cell>
          <cell r="R495" t="str">
            <v>SAO VICENTE</v>
          </cell>
        </row>
        <row r="496">
          <cell r="A496" t="str">
            <v>JHONNY SOUZA DE AZEVEDO</v>
          </cell>
          <cell r="B496" t="str">
            <v>Casado</v>
          </cell>
          <cell r="C496" t="str">
            <v>R Graciliano Ramos</v>
          </cell>
          <cell r="D496" t="str">
            <v>Vila Jockei Clube</v>
          </cell>
          <cell r="E496" t="str">
            <v>SAO VICENTE</v>
          </cell>
          <cell r="F496" t="str">
            <v>SP</v>
          </cell>
          <cell r="G496" t="str">
            <v>366</v>
          </cell>
          <cell r="H496" t="str">
            <v>CASA 2</v>
          </cell>
          <cell r="I496" t="str">
            <v>11365-020</v>
          </cell>
          <cell r="J496" t="str">
            <v>991046654</v>
          </cell>
          <cell r="K496" t="str">
            <v/>
          </cell>
          <cell r="L496" t="str">
            <v>Masculino</v>
          </cell>
          <cell r="M496" t="str">
            <v>Parda</v>
          </cell>
          <cell r="N496">
            <v>31247</v>
          </cell>
          <cell r="O496" t="str">
            <v>41446818</v>
          </cell>
          <cell r="P496" t="str">
            <v>SP</v>
          </cell>
          <cell r="Q496" t="str">
            <v>SSP</v>
          </cell>
          <cell r="R496" t="str">
            <v>SAO VICENTE</v>
          </cell>
        </row>
        <row r="497">
          <cell r="A497" t="str">
            <v>ALEXANDRE LUIZ MOREIRA</v>
          </cell>
          <cell r="B497" t="str">
            <v>União Estável</v>
          </cell>
          <cell r="C497" t="str">
            <v>AV Conselheiro Nébias</v>
          </cell>
          <cell r="D497" t="str">
            <v>Vila Mathias</v>
          </cell>
          <cell r="E497" t="str">
            <v>SANTOS</v>
          </cell>
          <cell r="F497" t="str">
            <v>SP</v>
          </cell>
          <cell r="G497" t="str">
            <v>336</v>
          </cell>
          <cell r="H497" t="str">
            <v>Ap 43 bloco A</v>
          </cell>
          <cell r="I497" t="str">
            <v>11015-002</v>
          </cell>
          <cell r="J497" t="str">
            <v>32235623</v>
          </cell>
          <cell r="K497" t="str">
            <v>991586864</v>
          </cell>
          <cell r="L497" t="str">
            <v>Masculino</v>
          </cell>
          <cell r="M497" t="str">
            <v>Preta/Negra</v>
          </cell>
          <cell r="N497">
            <v>30476</v>
          </cell>
          <cell r="O497" t="str">
            <v>42439965</v>
          </cell>
          <cell r="P497" t="str">
            <v>SP</v>
          </cell>
          <cell r="Q497" t="str">
            <v>SSP</v>
          </cell>
          <cell r="R497" t="str">
            <v>SANTOS</v>
          </cell>
        </row>
        <row r="498">
          <cell r="A498" t="str">
            <v>ARMANDO GAUDENCIO BORGES NETO</v>
          </cell>
          <cell r="B498" t="str">
            <v>Casado</v>
          </cell>
          <cell r="C498" t="str">
            <v>AV Affonso Penna</v>
          </cell>
          <cell r="D498" t="str">
            <v>Boqueirao</v>
          </cell>
          <cell r="E498" t="str">
            <v>SANTOS</v>
          </cell>
          <cell r="F498" t="str">
            <v>SP</v>
          </cell>
          <cell r="G498" t="str">
            <v>198</v>
          </cell>
          <cell r="H498" t="str">
            <v>APTO 3 BL B</v>
          </cell>
          <cell r="I498" t="str">
            <v>11020-000</v>
          </cell>
          <cell r="J498" t="str">
            <v>33026915</v>
          </cell>
          <cell r="K498" t="str">
            <v/>
          </cell>
          <cell r="L498" t="str">
            <v>Masculino</v>
          </cell>
          <cell r="M498" t="str">
            <v>Parda</v>
          </cell>
          <cell r="N498">
            <v>26517</v>
          </cell>
          <cell r="O498" t="str">
            <v>230350276</v>
          </cell>
          <cell r="P498" t="str">
            <v>SP</v>
          </cell>
          <cell r="Q498" t="str">
            <v>SSP</v>
          </cell>
          <cell r="R498" t="str">
            <v>SANTOS</v>
          </cell>
        </row>
        <row r="499">
          <cell r="A499" t="str">
            <v>NELSON VALENTIM DE SOUZA</v>
          </cell>
          <cell r="B499" t="str">
            <v>Casado</v>
          </cell>
          <cell r="C499" t="str">
            <v>R Alberico Robillard de Marigny</v>
          </cell>
          <cell r="D499" t="str">
            <v>Vila Cascatinha</v>
          </cell>
          <cell r="E499" t="str">
            <v>SAO VICENTE</v>
          </cell>
          <cell r="F499" t="str">
            <v>SP</v>
          </cell>
          <cell r="G499" t="str">
            <v>513</v>
          </cell>
          <cell r="H499" t="str">
            <v/>
          </cell>
          <cell r="I499" t="str">
            <v>11370-010</v>
          </cell>
          <cell r="J499" t="str">
            <v>35613434</v>
          </cell>
          <cell r="K499" t="str">
            <v/>
          </cell>
          <cell r="L499" t="str">
            <v>Masculino</v>
          </cell>
          <cell r="M499" t="str">
            <v>Parda</v>
          </cell>
          <cell r="N499">
            <v>23027</v>
          </cell>
          <cell r="O499" t="str">
            <v>15742754</v>
          </cell>
          <cell r="P499" t="str">
            <v>SP</v>
          </cell>
          <cell r="Q499" t="str">
            <v>SSP</v>
          </cell>
          <cell r="R499" t="str">
            <v>SANTOS</v>
          </cell>
        </row>
        <row r="500">
          <cell r="A500" t="str">
            <v>HUMBERTO REINALDO</v>
          </cell>
          <cell r="B500" t="str">
            <v>Solteiro</v>
          </cell>
          <cell r="C500" t="str">
            <v>R Liberdade</v>
          </cell>
          <cell r="D500" t="str">
            <v>Embare</v>
          </cell>
          <cell r="E500" t="str">
            <v>SANTOS</v>
          </cell>
          <cell r="F500" t="str">
            <v>SP</v>
          </cell>
          <cell r="G500" t="str">
            <v>529</v>
          </cell>
          <cell r="H500" t="str">
            <v>AP 32</v>
          </cell>
          <cell r="I500" t="str">
            <v>11025-031</v>
          </cell>
          <cell r="J500" t="str">
            <v>981291744</v>
          </cell>
          <cell r="K500" t="str">
            <v/>
          </cell>
          <cell r="L500" t="str">
            <v>Masculino</v>
          </cell>
          <cell r="M500" t="str">
            <v>Parda</v>
          </cell>
          <cell r="N500">
            <v>28948</v>
          </cell>
          <cell r="O500" t="str">
            <v>272946667</v>
          </cell>
          <cell r="P500" t="str">
            <v>SP</v>
          </cell>
          <cell r="Q500" t="str">
            <v>SSP</v>
          </cell>
          <cell r="R500" t="str">
            <v>SANTOS</v>
          </cell>
        </row>
        <row r="501">
          <cell r="A501" t="str">
            <v>EDIRLEY DA SILVA FERNANDES</v>
          </cell>
          <cell r="B501" t="str">
            <v>Solteiro</v>
          </cell>
          <cell r="C501" t="str">
            <v>R Frei Francisco Sampaio</v>
          </cell>
          <cell r="D501" t="str">
            <v>Aparecida</v>
          </cell>
          <cell r="E501" t="str">
            <v>SANTOS</v>
          </cell>
          <cell r="F501" t="str">
            <v>SP</v>
          </cell>
          <cell r="G501" t="str">
            <v>388</v>
          </cell>
          <cell r="H501" t="str">
            <v>Porta 5 Apto 110</v>
          </cell>
          <cell r="I501" t="str">
            <v>11035-105</v>
          </cell>
          <cell r="J501" t="str">
            <v>992104410</v>
          </cell>
          <cell r="K501" t="str">
            <v/>
          </cell>
          <cell r="L501" t="str">
            <v>Masculino</v>
          </cell>
          <cell r="M501" t="str">
            <v>Parda</v>
          </cell>
          <cell r="N501">
            <v>28528</v>
          </cell>
          <cell r="O501" t="str">
            <v>238682110</v>
          </cell>
          <cell r="P501" t="str">
            <v>SP</v>
          </cell>
          <cell r="Q501" t="str">
            <v>SSP</v>
          </cell>
          <cell r="R501" t="str">
            <v>SANTOS</v>
          </cell>
        </row>
        <row r="502">
          <cell r="A502" t="str">
            <v>VICENTE PEDRO LOUZANO</v>
          </cell>
          <cell r="B502" t="str">
            <v>União Estável</v>
          </cell>
          <cell r="C502" t="str">
            <v>R José Lourenço Guerra</v>
          </cell>
          <cell r="D502" t="str">
            <v>Jardim Boa Esperança</v>
          </cell>
          <cell r="E502" t="str">
            <v>GUARUJA</v>
          </cell>
          <cell r="F502" t="str">
            <v>SP</v>
          </cell>
          <cell r="G502" t="str">
            <v>45</v>
          </cell>
          <cell r="H502" t="str">
            <v>CASA A</v>
          </cell>
          <cell r="I502" t="str">
            <v>11471-040</v>
          </cell>
          <cell r="J502" t="str">
            <v>996922723</v>
          </cell>
          <cell r="K502" t="str">
            <v/>
          </cell>
          <cell r="L502" t="str">
            <v>Masculino</v>
          </cell>
          <cell r="M502" t="str">
            <v>Parda</v>
          </cell>
          <cell r="N502">
            <v>26196</v>
          </cell>
          <cell r="O502" t="str">
            <v>244025733</v>
          </cell>
          <cell r="P502" t="str">
            <v>SP</v>
          </cell>
          <cell r="Q502" t="str">
            <v>SSP</v>
          </cell>
          <cell r="R502" t="str">
            <v>GUARUJA</v>
          </cell>
        </row>
        <row r="503">
          <cell r="A503" t="str">
            <v>OSVALDO MARQUES DOS SANTOS</v>
          </cell>
          <cell r="B503" t="str">
            <v>Casado</v>
          </cell>
          <cell r="C503" t="str">
            <v>AV CLODOALDO AMARAL</v>
          </cell>
          <cell r="D503" t="str">
            <v>Ribeirópolis</v>
          </cell>
          <cell r="E503" t="str">
            <v>PRAIA GRANDE</v>
          </cell>
          <cell r="F503" t="str">
            <v>SP</v>
          </cell>
          <cell r="G503" t="str">
            <v>881</v>
          </cell>
          <cell r="H503" t="str">
            <v>CS 5</v>
          </cell>
          <cell r="I503" t="str">
            <v>11714-040</v>
          </cell>
          <cell r="J503" t="str">
            <v>988527338</v>
          </cell>
          <cell r="K503" t="str">
            <v/>
          </cell>
          <cell r="L503" t="str">
            <v>Masculino</v>
          </cell>
          <cell r="M503" t="str">
            <v>Parda</v>
          </cell>
          <cell r="N503">
            <v>31594</v>
          </cell>
          <cell r="O503" t="str">
            <v>2047501</v>
          </cell>
          <cell r="P503" t="str">
            <v>SP</v>
          </cell>
          <cell r="Q503" t="str">
            <v>SSP</v>
          </cell>
          <cell r="R503" t="str">
            <v>NOSSA SENHORA DE LOURDES</v>
          </cell>
        </row>
        <row r="504">
          <cell r="A504" t="str">
            <v>RODRIGO CASTANHA MONTEIRO</v>
          </cell>
          <cell r="B504" t="str">
            <v>Casado</v>
          </cell>
          <cell r="C504" t="str">
            <v>R Machado de Assis</v>
          </cell>
          <cell r="D504" t="str">
            <v>Boqueirão</v>
          </cell>
          <cell r="E504" t="str">
            <v>SANTOS</v>
          </cell>
          <cell r="F504" t="str">
            <v>SP</v>
          </cell>
          <cell r="G504" t="str">
            <v>76</v>
          </cell>
          <cell r="H504" t="str">
            <v>Ap 32</v>
          </cell>
          <cell r="I504" t="str">
            <v>11050-060</v>
          </cell>
          <cell r="J504" t="str">
            <v>974141386</v>
          </cell>
          <cell r="K504" t="str">
            <v/>
          </cell>
          <cell r="L504" t="str">
            <v>Masculino</v>
          </cell>
          <cell r="M504" t="str">
            <v>Parda</v>
          </cell>
          <cell r="N504">
            <v>29077</v>
          </cell>
          <cell r="O504" t="str">
            <v>327677946</v>
          </cell>
          <cell r="P504" t="str">
            <v>SP</v>
          </cell>
          <cell r="Q504" t="str">
            <v>SSP</v>
          </cell>
          <cell r="R504" t="str">
            <v>SANTOS</v>
          </cell>
        </row>
        <row r="505">
          <cell r="A505" t="str">
            <v>ALEXANDRO SOUSA SILVA</v>
          </cell>
          <cell r="B505" t="str">
            <v>União Estável</v>
          </cell>
          <cell r="C505" t="str">
            <v>AL Jundiaí</v>
          </cell>
          <cell r="D505" t="str">
            <v>Vila Áurea (Vicente</v>
          </cell>
          <cell r="E505" t="str">
            <v>GUARUJA</v>
          </cell>
          <cell r="F505" t="str">
            <v>SP</v>
          </cell>
          <cell r="G505" t="str">
            <v>246</v>
          </cell>
          <cell r="H505" t="str">
            <v/>
          </cell>
          <cell r="I505" t="str">
            <v>11454-530</v>
          </cell>
          <cell r="J505" t="str">
            <v>988717899</v>
          </cell>
          <cell r="K505" t="str">
            <v/>
          </cell>
          <cell r="L505" t="str">
            <v>Masculino</v>
          </cell>
          <cell r="M505" t="str">
            <v>Parda</v>
          </cell>
          <cell r="N505">
            <v>25773</v>
          </cell>
          <cell r="O505" t="str">
            <v>35677535</v>
          </cell>
          <cell r="P505" t="str">
            <v>SP</v>
          </cell>
          <cell r="Q505" t="str">
            <v>SSP</v>
          </cell>
          <cell r="R505" t="str">
            <v>CAMPINA GRANDE</v>
          </cell>
        </row>
        <row r="506">
          <cell r="A506" t="str">
            <v>ROGERIO FONSECA DE JESUS</v>
          </cell>
          <cell r="B506" t="str">
            <v>Casado</v>
          </cell>
          <cell r="C506" t="str">
            <v>AV Coronel Joaquim Montenegro</v>
          </cell>
          <cell r="D506" t="str">
            <v>Ponta da Praia</v>
          </cell>
          <cell r="E506" t="str">
            <v>SANTOS</v>
          </cell>
          <cell r="F506" t="str">
            <v>SP</v>
          </cell>
          <cell r="G506" t="str">
            <v>340</v>
          </cell>
          <cell r="H506" t="str">
            <v>apt. 14</v>
          </cell>
          <cell r="I506" t="str">
            <v>11035-002</v>
          </cell>
          <cell r="J506" t="str">
            <v>974014491</v>
          </cell>
          <cell r="K506" t="str">
            <v/>
          </cell>
          <cell r="L506" t="str">
            <v>Masculino</v>
          </cell>
          <cell r="M506" t="str">
            <v>Preta/Negra</v>
          </cell>
          <cell r="N506">
            <v>26855</v>
          </cell>
          <cell r="O506" t="str">
            <v>221156057</v>
          </cell>
          <cell r="P506" t="str">
            <v>SP</v>
          </cell>
          <cell r="Q506" t="str">
            <v>SSP</v>
          </cell>
          <cell r="R506" t="str">
            <v>SANTOS</v>
          </cell>
        </row>
        <row r="507">
          <cell r="A507" t="str">
            <v>NEILTON NUNES DE OLIVEIRA</v>
          </cell>
          <cell r="B507" t="str">
            <v>Casado</v>
          </cell>
          <cell r="C507" t="str">
            <v>R Robson Correia</v>
          </cell>
          <cell r="D507" t="str">
            <v>Sítio Paecara (Vicen</v>
          </cell>
          <cell r="E507" t="str">
            <v>GUARUJA</v>
          </cell>
          <cell r="F507" t="str">
            <v>SP</v>
          </cell>
          <cell r="G507" t="str">
            <v>31</v>
          </cell>
          <cell r="H507" t="str">
            <v/>
          </cell>
          <cell r="I507" t="str">
            <v>11462-190</v>
          </cell>
          <cell r="J507" t="str">
            <v>974052993</v>
          </cell>
          <cell r="K507" t="str">
            <v/>
          </cell>
          <cell r="L507" t="str">
            <v>Masculino</v>
          </cell>
          <cell r="M507" t="str">
            <v>Parda</v>
          </cell>
          <cell r="N507">
            <v>23650</v>
          </cell>
          <cell r="O507" t="str">
            <v>18184607X</v>
          </cell>
          <cell r="P507" t="str">
            <v>SP</v>
          </cell>
          <cell r="Q507" t="str">
            <v>SSP</v>
          </cell>
          <cell r="R507" t="str">
            <v>ANDARAI</v>
          </cell>
        </row>
        <row r="508">
          <cell r="A508" t="str">
            <v>ROGERIO MARTINEZ</v>
          </cell>
          <cell r="B508" t="str">
            <v>Divorciado</v>
          </cell>
          <cell r="C508" t="str">
            <v>R BARAO PARANAPIACABA</v>
          </cell>
          <cell r="D508" t="str">
            <v>Encruzilhada</v>
          </cell>
          <cell r="E508" t="str">
            <v>SANTOS</v>
          </cell>
          <cell r="F508" t="str">
            <v>SP</v>
          </cell>
          <cell r="G508" t="str">
            <v>214</v>
          </cell>
          <cell r="H508" t="str">
            <v>AP 12</v>
          </cell>
          <cell r="I508" t="str">
            <v>11050-251</v>
          </cell>
          <cell r="J508" t="str">
            <v>991314161</v>
          </cell>
          <cell r="K508" t="str">
            <v/>
          </cell>
          <cell r="L508" t="str">
            <v>Masculino</v>
          </cell>
          <cell r="M508" t="str">
            <v>Parda</v>
          </cell>
          <cell r="N508">
            <v>25744</v>
          </cell>
          <cell r="O508" t="str">
            <v>20460552</v>
          </cell>
          <cell r="P508" t="str">
            <v>SP</v>
          </cell>
          <cell r="Q508" t="str">
            <v>SSP</v>
          </cell>
          <cell r="R508" t="str">
            <v>SANTOS</v>
          </cell>
        </row>
        <row r="509">
          <cell r="A509" t="str">
            <v>WALTER DOS SANTOS JUNIOR</v>
          </cell>
          <cell r="B509" t="str">
            <v>Casado</v>
          </cell>
          <cell r="C509" t="str">
            <v>R Silva Jardim</v>
          </cell>
          <cell r="D509" t="str">
            <v>Vila Mathias</v>
          </cell>
          <cell r="E509" t="str">
            <v>SANTOS</v>
          </cell>
          <cell r="F509" t="str">
            <v>SP</v>
          </cell>
          <cell r="G509" t="str">
            <v>244</v>
          </cell>
          <cell r="H509" t="str">
            <v>AP 22</v>
          </cell>
          <cell r="I509" t="str">
            <v>11015-020</v>
          </cell>
          <cell r="J509" t="str">
            <v>974074522</v>
          </cell>
          <cell r="K509" t="str">
            <v/>
          </cell>
          <cell r="L509" t="str">
            <v>Masculino</v>
          </cell>
          <cell r="M509" t="str">
            <v>Parda</v>
          </cell>
          <cell r="N509">
            <v>26882</v>
          </cell>
          <cell r="O509" t="str">
            <v>227784881</v>
          </cell>
          <cell r="P509" t="str">
            <v>SP</v>
          </cell>
          <cell r="Q509" t="str">
            <v>SSP</v>
          </cell>
          <cell r="R509" t="str">
            <v>SANTOS</v>
          </cell>
        </row>
        <row r="510">
          <cell r="A510" t="str">
            <v>MICHEL RODRIGUES BATISTA</v>
          </cell>
          <cell r="B510" t="str">
            <v>União Estável</v>
          </cell>
          <cell r="C510" t="str">
            <v>R Jorge Shammass</v>
          </cell>
          <cell r="D510" t="str">
            <v>Castelo</v>
          </cell>
          <cell r="E510" t="str">
            <v>SANTOS</v>
          </cell>
          <cell r="F510" t="str">
            <v>SP</v>
          </cell>
          <cell r="G510" t="str">
            <v>37</v>
          </cell>
          <cell r="H510" t="str">
            <v/>
          </cell>
          <cell r="I510" t="str">
            <v>11087-420</v>
          </cell>
          <cell r="J510" t="str">
            <v>32333716</v>
          </cell>
          <cell r="K510" t="str">
            <v/>
          </cell>
          <cell r="L510" t="str">
            <v>Masculino</v>
          </cell>
          <cell r="M510" t="str">
            <v>Parda</v>
          </cell>
          <cell r="N510">
            <v>30563</v>
          </cell>
          <cell r="O510" t="str">
            <v>436441986</v>
          </cell>
          <cell r="P510" t="str">
            <v>SP</v>
          </cell>
          <cell r="Q510" t="str">
            <v>SSP</v>
          </cell>
          <cell r="R510" t="str">
            <v>SANTOS</v>
          </cell>
        </row>
        <row r="511">
          <cell r="A511" t="str">
            <v>ROBSON XAVIER DE SOUZA</v>
          </cell>
          <cell r="B511" t="str">
            <v>Casado</v>
          </cell>
          <cell r="C511" t="str">
            <v>FAV do Dique do Jardim Pompeba</v>
          </cell>
          <cell r="D511" t="str">
            <v>Cidade Nautica</v>
          </cell>
          <cell r="E511" t="str">
            <v>SAO VICENTE</v>
          </cell>
          <cell r="F511" t="str">
            <v>SP</v>
          </cell>
          <cell r="G511" t="str">
            <v>3</v>
          </cell>
          <cell r="H511" t="str">
            <v/>
          </cell>
          <cell r="I511" t="str">
            <v>11355-280</v>
          </cell>
          <cell r="J511" t="str">
            <v>974139432</v>
          </cell>
          <cell r="K511" t="str">
            <v>988278368</v>
          </cell>
          <cell r="L511" t="str">
            <v>Masculino</v>
          </cell>
          <cell r="M511" t="str">
            <v>Parda</v>
          </cell>
          <cell r="N511">
            <v>29697</v>
          </cell>
          <cell r="O511" t="str">
            <v>331730078</v>
          </cell>
          <cell r="P511" t="str">
            <v>SP</v>
          </cell>
          <cell r="Q511" t="str">
            <v>SSP</v>
          </cell>
          <cell r="R511" t="str">
            <v>CUBATAO</v>
          </cell>
        </row>
        <row r="512">
          <cell r="A512" t="str">
            <v>SERGIO FERNANDO FABIANO JUNIOR</v>
          </cell>
          <cell r="B512" t="str">
            <v>Casado</v>
          </cell>
          <cell r="C512" t="str">
            <v>R Fumio Miyazi</v>
          </cell>
          <cell r="D512" t="str">
            <v>Boqueirão</v>
          </cell>
          <cell r="E512" t="str">
            <v>PRAIA GRANDE</v>
          </cell>
          <cell r="F512" t="str">
            <v>SP</v>
          </cell>
          <cell r="G512" t="str">
            <v>207</v>
          </cell>
          <cell r="H512" t="str">
            <v>Ap.21</v>
          </cell>
          <cell r="I512" t="str">
            <v>11701-160</v>
          </cell>
          <cell r="J512" t="str">
            <v>991210141</v>
          </cell>
          <cell r="K512" t="str">
            <v/>
          </cell>
          <cell r="L512" t="str">
            <v>Masculino</v>
          </cell>
          <cell r="M512" t="str">
            <v>Parda</v>
          </cell>
          <cell r="N512">
            <v>29644</v>
          </cell>
          <cell r="O512" t="str">
            <v>335762177</v>
          </cell>
          <cell r="P512" t="str">
            <v>SP</v>
          </cell>
          <cell r="Q512" t="str">
            <v>SSP</v>
          </cell>
          <cell r="R512" t="str">
            <v>GUARUJA</v>
          </cell>
        </row>
        <row r="513">
          <cell r="A513" t="str">
            <v>ED CARLOS LEITE BARBOSA</v>
          </cell>
          <cell r="B513" t="str">
            <v>Casado</v>
          </cell>
          <cell r="C513" t="str">
            <v>R Roberto Cock</v>
          </cell>
          <cell r="D513" t="str">
            <v>Vila Jockei Clube</v>
          </cell>
          <cell r="E513" t="str">
            <v>SAO VICENTE</v>
          </cell>
          <cell r="F513" t="str">
            <v>SP</v>
          </cell>
          <cell r="G513" t="str">
            <v>75</v>
          </cell>
          <cell r="H513" t="str">
            <v>FD - CASA 2</v>
          </cell>
          <cell r="I513" t="str">
            <v>11360-190</v>
          </cell>
          <cell r="J513" t="str">
            <v>988309370</v>
          </cell>
          <cell r="K513" t="str">
            <v>988309370</v>
          </cell>
          <cell r="L513" t="str">
            <v>Masculino</v>
          </cell>
          <cell r="M513" t="str">
            <v>Parda</v>
          </cell>
          <cell r="N513">
            <v>28899</v>
          </cell>
          <cell r="O513" t="str">
            <v>214332962</v>
          </cell>
          <cell r="P513" t="str">
            <v>SP</v>
          </cell>
          <cell r="Q513" t="str">
            <v>SSP</v>
          </cell>
          <cell r="R513" t="str">
            <v>SAO VICENTE</v>
          </cell>
        </row>
        <row r="514">
          <cell r="A514" t="str">
            <v>FABIO LUIS DA SILVA</v>
          </cell>
          <cell r="B514" t="str">
            <v>Casado</v>
          </cell>
          <cell r="C514" t="str">
            <v>R Alexandre Martins</v>
          </cell>
          <cell r="D514" t="str">
            <v>Aparecida</v>
          </cell>
          <cell r="E514" t="str">
            <v>SANTOS</v>
          </cell>
          <cell r="F514" t="str">
            <v>SP</v>
          </cell>
          <cell r="G514" t="str">
            <v>305</v>
          </cell>
          <cell r="H514" t="str">
            <v>BL A- AP 22</v>
          </cell>
          <cell r="I514" t="str">
            <v>11025-203</v>
          </cell>
          <cell r="J514" t="str">
            <v>32386012</v>
          </cell>
          <cell r="K514" t="str">
            <v>988448013</v>
          </cell>
          <cell r="L514" t="str">
            <v>Masculino</v>
          </cell>
          <cell r="M514" t="str">
            <v>Parda</v>
          </cell>
          <cell r="N514">
            <v>28583</v>
          </cell>
          <cell r="O514" t="str">
            <v>277724958</v>
          </cell>
          <cell r="P514" t="str">
            <v>SP</v>
          </cell>
          <cell r="Q514" t="str">
            <v>SSP</v>
          </cell>
          <cell r="R514" t="str">
            <v>SANTOS</v>
          </cell>
        </row>
        <row r="515">
          <cell r="A515" t="str">
            <v>ANDERSON ASSIS DE LIMA</v>
          </cell>
          <cell r="B515" t="str">
            <v>Solteiro</v>
          </cell>
          <cell r="C515" t="str">
            <v>R General San Martin</v>
          </cell>
          <cell r="D515" t="str">
            <v>Jardim Independência</v>
          </cell>
          <cell r="E515" t="str">
            <v>SAO VICENTE</v>
          </cell>
          <cell r="F515" t="str">
            <v>SP</v>
          </cell>
          <cell r="G515" t="str">
            <v>336</v>
          </cell>
          <cell r="H515" t="str">
            <v>Casa 1</v>
          </cell>
          <cell r="I515" t="str">
            <v>11380-480</v>
          </cell>
          <cell r="J515" t="str">
            <v>32995770</v>
          </cell>
          <cell r="K515" t="str">
            <v/>
          </cell>
          <cell r="L515" t="str">
            <v>Masculino</v>
          </cell>
          <cell r="M515" t="str">
            <v>Parda</v>
          </cell>
          <cell r="N515">
            <v>30220</v>
          </cell>
          <cell r="O515" t="str">
            <v>438530548</v>
          </cell>
          <cell r="P515" t="str">
            <v>SP</v>
          </cell>
          <cell r="Q515" t="str">
            <v>SSP</v>
          </cell>
          <cell r="R515" t="str">
            <v>SANTOS</v>
          </cell>
        </row>
        <row r="516">
          <cell r="A516" t="str">
            <v>MOISES SIMPLICIO BEZERRA</v>
          </cell>
          <cell r="B516" t="str">
            <v>Casado</v>
          </cell>
          <cell r="C516" t="str">
            <v>R MARCILIO DIAS</v>
          </cell>
          <cell r="D516" t="str">
            <v>Canto do Forte</v>
          </cell>
          <cell r="E516" t="str">
            <v>PRAIA GRANDE</v>
          </cell>
          <cell r="F516" t="str">
            <v>SP</v>
          </cell>
          <cell r="G516" t="str">
            <v>620</v>
          </cell>
          <cell r="H516" t="str">
            <v>AP66</v>
          </cell>
          <cell r="I516" t="str">
            <v>11700-420</v>
          </cell>
          <cell r="J516" t="str">
            <v>974165474</v>
          </cell>
          <cell r="K516" t="str">
            <v/>
          </cell>
          <cell r="L516" t="str">
            <v>Masculino</v>
          </cell>
          <cell r="M516" t="str">
            <v>Parda</v>
          </cell>
          <cell r="N516">
            <v>28987</v>
          </cell>
          <cell r="O516" t="str">
            <v>309126026</v>
          </cell>
          <cell r="P516" t="str">
            <v>SP</v>
          </cell>
          <cell r="Q516" t="str">
            <v>SSP</v>
          </cell>
          <cell r="R516" t="str">
            <v>GUARUJA</v>
          </cell>
        </row>
        <row r="517">
          <cell r="A517" t="str">
            <v>PEDRO ANTONIO DE LIMA FILHO</v>
          </cell>
          <cell r="B517" t="str">
            <v>Casado</v>
          </cell>
          <cell r="C517" t="str">
            <v>R Solon de Oliveira</v>
          </cell>
          <cell r="D517" t="str">
            <v>Vila Matias</v>
          </cell>
          <cell r="E517" t="str">
            <v>SAO VICENTE</v>
          </cell>
          <cell r="F517" t="str">
            <v>SP</v>
          </cell>
          <cell r="G517" t="str">
            <v>21</v>
          </cell>
          <cell r="H517" t="str">
            <v/>
          </cell>
          <cell r="I517" t="str">
            <v>11345-270</v>
          </cell>
          <cell r="J517" t="str">
            <v>974042125</v>
          </cell>
          <cell r="K517" t="str">
            <v/>
          </cell>
          <cell r="L517" t="str">
            <v>Masculino</v>
          </cell>
          <cell r="M517" t="str">
            <v>Parda</v>
          </cell>
          <cell r="N517">
            <v>28575</v>
          </cell>
          <cell r="O517" t="str">
            <v>309759183</v>
          </cell>
          <cell r="P517" t="str">
            <v>SP</v>
          </cell>
          <cell r="Q517" t="str">
            <v>SSP</v>
          </cell>
          <cell r="R517" t="str">
            <v>CUBATAO</v>
          </cell>
        </row>
        <row r="518">
          <cell r="A518" t="str">
            <v>MARCO AURELIO BALTAZAR MINHOTO</v>
          </cell>
          <cell r="B518" t="str">
            <v>União Estável</v>
          </cell>
          <cell r="C518" t="str">
            <v>R Guadalajara</v>
          </cell>
          <cell r="D518" t="str">
            <v>Balneário Cidade Atl</v>
          </cell>
          <cell r="E518" t="str">
            <v>GUARUJA</v>
          </cell>
          <cell r="F518" t="str">
            <v>SP</v>
          </cell>
          <cell r="G518" t="str">
            <v>755</v>
          </cell>
          <cell r="H518" t="str">
            <v>LT 7 Q 18</v>
          </cell>
          <cell r="I518" t="str">
            <v>11441-190</v>
          </cell>
          <cell r="J518" t="str">
            <v>33513330</v>
          </cell>
          <cell r="K518" t="str">
            <v/>
          </cell>
          <cell r="L518" t="str">
            <v>Masculino</v>
          </cell>
          <cell r="M518" t="str">
            <v>Parda</v>
          </cell>
          <cell r="N518">
            <v>23738</v>
          </cell>
          <cell r="O518" t="str">
            <v>175086011</v>
          </cell>
          <cell r="P518" t="str">
            <v>SP</v>
          </cell>
          <cell r="Q518" t="str">
            <v>SSP</v>
          </cell>
          <cell r="R518" t="str">
            <v>SAO VICENTE</v>
          </cell>
        </row>
        <row r="519">
          <cell r="A519" t="str">
            <v>GILIARD ALVES DOS SANTOS</v>
          </cell>
          <cell r="B519" t="str">
            <v>Casado</v>
          </cell>
          <cell r="C519" t="str">
            <v>R Alberto Martins de Oliveira</v>
          </cell>
          <cell r="D519" t="str">
            <v>Vila Mateo Bei</v>
          </cell>
          <cell r="E519" t="str">
            <v>SAO VICENTE</v>
          </cell>
          <cell r="F519" t="str">
            <v>SP</v>
          </cell>
          <cell r="G519" t="str">
            <v>25</v>
          </cell>
          <cell r="H519" t="str">
            <v>CASA</v>
          </cell>
          <cell r="I519" t="str">
            <v>11335-170</v>
          </cell>
          <cell r="J519" t="str">
            <v>33799162</v>
          </cell>
          <cell r="K519" t="str">
            <v/>
          </cell>
          <cell r="L519" t="str">
            <v>Masculino</v>
          </cell>
          <cell r="M519" t="str">
            <v>Parda</v>
          </cell>
          <cell r="N519">
            <v>30832</v>
          </cell>
          <cell r="O519" t="str">
            <v>34506480X</v>
          </cell>
          <cell r="P519" t="str">
            <v>SP</v>
          </cell>
          <cell r="Q519" t="str">
            <v>SSP</v>
          </cell>
          <cell r="R519" t="str">
            <v>SANTOS</v>
          </cell>
        </row>
        <row r="520">
          <cell r="A520" t="str">
            <v>DANIEL CORREA MACHADO</v>
          </cell>
          <cell r="B520" t="str">
            <v>União Estável</v>
          </cell>
          <cell r="C520" t="str">
            <v>R Brigadeiro José Vicente de Faria Lima</v>
          </cell>
          <cell r="D520" t="str">
            <v>Vila Nova</v>
          </cell>
          <cell r="E520" t="str">
            <v>CUBATAO</v>
          </cell>
          <cell r="F520" t="str">
            <v>SP</v>
          </cell>
          <cell r="G520" t="str">
            <v>171</v>
          </cell>
          <cell r="H520" t="str">
            <v>Casa 4</v>
          </cell>
          <cell r="I520" t="str">
            <v>11525-030</v>
          </cell>
          <cell r="J520" t="str">
            <v>997145120</v>
          </cell>
          <cell r="K520" t="str">
            <v>997140396</v>
          </cell>
          <cell r="L520" t="str">
            <v>Masculino</v>
          </cell>
          <cell r="M520" t="str">
            <v>Parda</v>
          </cell>
          <cell r="N520">
            <v>30022</v>
          </cell>
          <cell r="O520" t="str">
            <v>225467045</v>
          </cell>
          <cell r="P520" t="str">
            <v>SP</v>
          </cell>
          <cell r="Q520" t="str">
            <v>SSP</v>
          </cell>
          <cell r="R520" t="str">
            <v>CUBATAO</v>
          </cell>
        </row>
        <row r="521">
          <cell r="A521" t="str">
            <v>THIAGO GOMES DOS SANTOS</v>
          </cell>
          <cell r="B521" t="str">
            <v>Casado</v>
          </cell>
          <cell r="C521" t="str">
            <v>R Guilherme Raposo de Almeida</v>
          </cell>
          <cell r="D521" t="str">
            <v>Cidade Nautica</v>
          </cell>
          <cell r="E521" t="str">
            <v>SAO VICENTE</v>
          </cell>
          <cell r="F521" t="str">
            <v>SP</v>
          </cell>
          <cell r="G521" t="str">
            <v>773</v>
          </cell>
          <cell r="H521" t="str">
            <v>Casa</v>
          </cell>
          <cell r="I521" t="str">
            <v>11350-200</v>
          </cell>
          <cell r="J521" t="str">
            <v>991720980</v>
          </cell>
          <cell r="K521" t="str">
            <v/>
          </cell>
          <cell r="L521" t="str">
            <v>Masculino</v>
          </cell>
          <cell r="M521" t="str">
            <v>Parda</v>
          </cell>
          <cell r="N521">
            <v>32808</v>
          </cell>
          <cell r="O521" t="str">
            <v>467459903</v>
          </cell>
          <cell r="P521" t="str">
            <v>SP</v>
          </cell>
          <cell r="Q521" t="str">
            <v>SSP</v>
          </cell>
          <cell r="R521" t="str">
            <v>SAO VICENTE</v>
          </cell>
        </row>
        <row r="522">
          <cell r="A522" t="str">
            <v>MARCIO ALBERTO</v>
          </cell>
          <cell r="B522" t="str">
            <v>Casado</v>
          </cell>
          <cell r="C522" t="str">
            <v>R Benedito Ernesto Guimarães</v>
          </cell>
          <cell r="D522" t="str">
            <v>Marapé</v>
          </cell>
          <cell r="E522" t="str">
            <v>SANTOS</v>
          </cell>
          <cell r="F522" t="str">
            <v>SP</v>
          </cell>
          <cell r="G522" t="str">
            <v>82</v>
          </cell>
          <cell r="H522" t="str">
            <v>Casa 3</v>
          </cell>
          <cell r="I522" t="str">
            <v>11070-020</v>
          </cell>
          <cell r="J522" t="str">
            <v>974032322</v>
          </cell>
          <cell r="K522" t="str">
            <v/>
          </cell>
          <cell r="L522" t="str">
            <v>Masculino</v>
          </cell>
          <cell r="M522" t="str">
            <v>Parda</v>
          </cell>
          <cell r="N522">
            <v>29515</v>
          </cell>
          <cell r="O522" t="str">
            <v>294070813</v>
          </cell>
          <cell r="P522" t="str">
            <v>SP</v>
          </cell>
          <cell r="Q522" t="str">
            <v>SSP</v>
          </cell>
          <cell r="R522" t="str">
            <v>SANTOS</v>
          </cell>
        </row>
        <row r="523">
          <cell r="A523" t="str">
            <v>ANDRE DAVID LOURENCO</v>
          </cell>
          <cell r="B523" t="str">
            <v>Casado</v>
          </cell>
          <cell r="C523" t="str">
            <v>TV Duzentos e Oitenta e Cinco</v>
          </cell>
          <cell r="D523" t="str">
            <v>Morrinhos</v>
          </cell>
          <cell r="E523" t="str">
            <v>GUARUJA</v>
          </cell>
          <cell r="F523" t="str">
            <v>SP</v>
          </cell>
          <cell r="G523" t="str">
            <v>72</v>
          </cell>
          <cell r="H523" t="str">
            <v>MORRINHOS II</v>
          </cell>
          <cell r="I523" t="str">
            <v>11495-150</v>
          </cell>
          <cell r="J523" t="str">
            <v>974076334</v>
          </cell>
          <cell r="K523" t="str">
            <v/>
          </cell>
          <cell r="L523" t="str">
            <v>Masculino</v>
          </cell>
          <cell r="M523" t="str">
            <v>Parda</v>
          </cell>
          <cell r="N523">
            <v>30080</v>
          </cell>
          <cell r="O523" t="str">
            <v>344503100</v>
          </cell>
          <cell r="P523" t="str">
            <v>SP</v>
          </cell>
          <cell r="Q523" t="str">
            <v>SSP</v>
          </cell>
          <cell r="R523" t="str">
            <v>GUARUJA</v>
          </cell>
        </row>
        <row r="524">
          <cell r="A524" t="str">
            <v>CARLOS ALBERTO DE JESUS</v>
          </cell>
          <cell r="B524" t="str">
            <v>Casado</v>
          </cell>
          <cell r="C524" t="str">
            <v>AV Doutor Moura Ribeiro</v>
          </cell>
          <cell r="D524" t="str">
            <v>Marapé</v>
          </cell>
          <cell r="E524" t="str">
            <v>SANTOS</v>
          </cell>
          <cell r="F524" t="str">
            <v>SP</v>
          </cell>
          <cell r="G524" t="str">
            <v>125</v>
          </cell>
          <cell r="H524" t="str">
            <v>106 C</v>
          </cell>
          <cell r="I524" t="str">
            <v>11070-061</v>
          </cell>
          <cell r="J524" t="str">
            <v>38780869</v>
          </cell>
          <cell r="K524" t="str">
            <v/>
          </cell>
          <cell r="L524" t="str">
            <v>Masculino</v>
          </cell>
          <cell r="M524" t="str">
            <v>Parda</v>
          </cell>
          <cell r="N524">
            <v>26862</v>
          </cell>
          <cell r="O524" t="str">
            <v>24206798</v>
          </cell>
          <cell r="P524" t="str">
            <v>SP</v>
          </cell>
          <cell r="Q524" t="str">
            <v>SSP</v>
          </cell>
          <cell r="R524" t="str">
            <v>SANTOS</v>
          </cell>
        </row>
        <row r="525">
          <cell r="A525" t="str">
            <v>VANESSA ESTEVES RIBEIRO</v>
          </cell>
          <cell r="B525" t="str">
            <v>Casado</v>
          </cell>
          <cell r="C525" t="str">
            <v>AV Doutor Haroldo de Camargo</v>
          </cell>
          <cell r="D525" t="str">
            <v>Castelo</v>
          </cell>
          <cell r="E525" t="str">
            <v>SANTOS</v>
          </cell>
          <cell r="F525" t="str">
            <v>SP</v>
          </cell>
          <cell r="G525" t="str">
            <v>60</v>
          </cell>
          <cell r="H525" t="str">
            <v>APTO 162 A</v>
          </cell>
          <cell r="I525" t="str">
            <v>11087-500</v>
          </cell>
          <cell r="J525" t="str">
            <v>997671930</v>
          </cell>
          <cell r="K525" t="str">
            <v/>
          </cell>
          <cell r="L525" t="str">
            <v>Feminino</v>
          </cell>
          <cell r="M525" t="str">
            <v>Parda</v>
          </cell>
          <cell r="N525">
            <v>32926</v>
          </cell>
          <cell r="O525" t="str">
            <v>46410961</v>
          </cell>
          <cell r="P525" t="str">
            <v>SP</v>
          </cell>
          <cell r="Q525" t="str">
            <v>SSP</v>
          </cell>
          <cell r="R525" t="str">
            <v>SANTOS</v>
          </cell>
        </row>
        <row r="526">
          <cell r="A526" t="str">
            <v>HELIO FELIX BRAGA JUNIOR</v>
          </cell>
          <cell r="B526" t="str">
            <v>Casado</v>
          </cell>
          <cell r="C526" t="str">
            <v>AV Oswaldo Cruz</v>
          </cell>
          <cell r="D526" t="str">
            <v>Sítio Paecara (Vicente de Carvalho)</v>
          </cell>
          <cell r="E526" t="str">
            <v>GUARUJA</v>
          </cell>
          <cell r="F526" t="str">
            <v>SP</v>
          </cell>
          <cell r="G526" t="str">
            <v>811</v>
          </cell>
          <cell r="H526" t="str">
            <v>CS</v>
          </cell>
          <cell r="I526" t="str">
            <v>11460-102</v>
          </cell>
          <cell r="J526" t="str">
            <v>988532405</v>
          </cell>
          <cell r="K526" t="str">
            <v/>
          </cell>
          <cell r="L526" t="str">
            <v>Masculino</v>
          </cell>
          <cell r="M526" t="str">
            <v>Parda</v>
          </cell>
          <cell r="N526">
            <v>27291</v>
          </cell>
          <cell r="O526" t="str">
            <v>25686926</v>
          </cell>
          <cell r="P526" t="str">
            <v>SP</v>
          </cell>
          <cell r="Q526" t="str">
            <v>SSP</v>
          </cell>
          <cell r="R526" t="str">
            <v>SANTOS</v>
          </cell>
        </row>
        <row r="527">
          <cell r="A527" t="str">
            <v>JAIR FRANCISCO FERREIRA DOS SANTOS</v>
          </cell>
          <cell r="B527" t="str">
            <v>Solteiro</v>
          </cell>
          <cell r="C527" t="str">
            <v>R São José</v>
          </cell>
          <cell r="D527" t="str">
            <v>Embare</v>
          </cell>
          <cell r="E527" t="str">
            <v>SANTOS</v>
          </cell>
          <cell r="F527" t="str">
            <v>SP</v>
          </cell>
          <cell r="G527" t="str">
            <v>131</v>
          </cell>
          <cell r="H527" t="str">
            <v/>
          </cell>
          <cell r="I527" t="str">
            <v>11040-201</v>
          </cell>
          <cell r="J527" t="str">
            <v>33013318</v>
          </cell>
          <cell r="K527" t="str">
            <v/>
          </cell>
          <cell r="L527" t="str">
            <v>Masculino</v>
          </cell>
          <cell r="M527" t="str">
            <v>Parda</v>
          </cell>
          <cell r="N527">
            <v>28917</v>
          </cell>
          <cell r="O527" t="str">
            <v>286012789</v>
          </cell>
          <cell r="P527" t="str">
            <v>SP</v>
          </cell>
          <cell r="Q527" t="str">
            <v>SSP</v>
          </cell>
          <cell r="R527" t="str">
            <v>SANTOS</v>
          </cell>
        </row>
        <row r="528">
          <cell r="A528" t="str">
            <v>SERGIO FERNANDO DE SOUZA</v>
          </cell>
          <cell r="B528" t="str">
            <v>Divorciado</v>
          </cell>
          <cell r="C528" t="str">
            <v>R Paulo Moutinho</v>
          </cell>
          <cell r="D528" t="str">
            <v>Vila Mathias</v>
          </cell>
          <cell r="E528" t="str">
            <v>SANTOS</v>
          </cell>
          <cell r="F528" t="str">
            <v>SP</v>
          </cell>
          <cell r="G528" t="str">
            <v>27</v>
          </cell>
          <cell r="H528" t="str">
            <v>BA BX</v>
          </cell>
          <cell r="I528" t="str">
            <v>11013-480</v>
          </cell>
          <cell r="J528" t="str">
            <v>974081863</v>
          </cell>
          <cell r="K528" t="str">
            <v/>
          </cell>
          <cell r="L528" t="str">
            <v>Masculino</v>
          </cell>
          <cell r="M528" t="str">
            <v>Parda</v>
          </cell>
          <cell r="N528">
            <v>26714</v>
          </cell>
          <cell r="O528" t="str">
            <v>24819575</v>
          </cell>
          <cell r="P528" t="str">
            <v>SP</v>
          </cell>
          <cell r="Q528" t="str">
            <v>SSP</v>
          </cell>
          <cell r="R528" t="str">
            <v>SANTOS</v>
          </cell>
        </row>
        <row r="529">
          <cell r="A529" t="str">
            <v>LEANDRO DA SILVA</v>
          </cell>
          <cell r="B529" t="str">
            <v>Casado</v>
          </cell>
          <cell r="C529" t="str">
            <v>TV Arquiteto Lúcio Costa</v>
          </cell>
          <cell r="D529" t="str">
            <v>Bom Retiro</v>
          </cell>
          <cell r="E529" t="str">
            <v>SANTOS</v>
          </cell>
          <cell r="F529" t="str">
            <v>SP</v>
          </cell>
          <cell r="G529" t="str">
            <v>86</v>
          </cell>
          <cell r="H529" t="str">
            <v>casa 2</v>
          </cell>
          <cell r="I529" t="str">
            <v>11090-200</v>
          </cell>
          <cell r="J529" t="str">
            <v>32999954</v>
          </cell>
          <cell r="K529" t="str">
            <v/>
          </cell>
          <cell r="L529" t="str">
            <v>Masculino</v>
          </cell>
          <cell r="M529" t="str">
            <v>Parda</v>
          </cell>
          <cell r="N529">
            <v>31455</v>
          </cell>
          <cell r="O529" t="str">
            <v>372777764</v>
          </cell>
          <cell r="P529" t="str">
            <v>SP</v>
          </cell>
          <cell r="Q529" t="str">
            <v>SSP</v>
          </cell>
          <cell r="R529" t="str">
            <v>SANTOS</v>
          </cell>
        </row>
        <row r="530">
          <cell r="A530" t="str">
            <v>FRANCISCO LORENZO PEREZ</v>
          </cell>
          <cell r="B530" t="str">
            <v>Divorciado</v>
          </cell>
          <cell r="C530" t="str">
            <v>R Senador Lacerda Franco</v>
          </cell>
          <cell r="D530" t="str">
            <v>Aparecida</v>
          </cell>
          <cell r="E530" t="str">
            <v>SANTOS</v>
          </cell>
          <cell r="F530" t="str">
            <v>SP</v>
          </cell>
          <cell r="G530" t="str">
            <v>104</v>
          </cell>
          <cell r="H530" t="str">
            <v>Casa 5</v>
          </cell>
          <cell r="I530" t="str">
            <v>11025-180</v>
          </cell>
          <cell r="J530" t="str">
            <v>991119344</v>
          </cell>
          <cell r="K530" t="str">
            <v/>
          </cell>
          <cell r="L530" t="str">
            <v>Masculino</v>
          </cell>
          <cell r="M530" t="str">
            <v>Parda</v>
          </cell>
          <cell r="N530">
            <v>24232</v>
          </cell>
          <cell r="O530" t="str">
            <v>18060084</v>
          </cell>
          <cell r="P530" t="str">
            <v>SP</v>
          </cell>
          <cell r="Q530" t="str">
            <v>SSP</v>
          </cell>
          <cell r="R530" t="str">
            <v>SANTOS</v>
          </cell>
        </row>
        <row r="531">
          <cell r="A531" t="str">
            <v>ANDERSON COELHO DE JESUS</v>
          </cell>
          <cell r="B531" t="str">
            <v>Casado</v>
          </cell>
          <cell r="C531" t="str">
            <v>R Joaquim Távora</v>
          </cell>
          <cell r="D531" t="str">
            <v>Vila Mathias</v>
          </cell>
          <cell r="E531" t="str">
            <v>SANTOS</v>
          </cell>
          <cell r="F531" t="str">
            <v>SP</v>
          </cell>
          <cell r="G531" t="str">
            <v>175</v>
          </cell>
          <cell r="H531" t="str">
            <v>Apt 64</v>
          </cell>
          <cell r="I531" t="str">
            <v>11075-300</v>
          </cell>
          <cell r="J531" t="str">
            <v>997489797</v>
          </cell>
          <cell r="K531" t="str">
            <v>997489797</v>
          </cell>
          <cell r="L531" t="str">
            <v>Masculino</v>
          </cell>
          <cell r="M531" t="str">
            <v>Parda</v>
          </cell>
          <cell r="N531">
            <v>27196</v>
          </cell>
          <cell r="O531" t="str">
            <v>238340302</v>
          </cell>
          <cell r="P531" t="str">
            <v>SP</v>
          </cell>
          <cell r="Q531" t="str">
            <v>SSP</v>
          </cell>
          <cell r="R531" t="str">
            <v>SANTOS</v>
          </cell>
        </row>
        <row r="532">
          <cell r="A532" t="str">
            <v>RODRIGO CUNHA DO NASCIMENTO</v>
          </cell>
          <cell r="B532" t="str">
            <v>União Estável</v>
          </cell>
          <cell r="C532" t="str">
            <v>R JOSE CLEMENTE PEREIRA</v>
          </cell>
          <cell r="D532" t="str">
            <v>Campo Grande</v>
          </cell>
          <cell r="E532" t="str">
            <v>SANTOS</v>
          </cell>
          <cell r="F532" t="str">
            <v>SP</v>
          </cell>
          <cell r="G532" t="str">
            <v>36</v>
          </cell>
          <cell r="H532" t="str">
            <v>13</v>
          </cell>
          <cell r="I532" t="str">
            <v>11070-320</v>
          </cell>
          <cell r="J532" t="str">
            <v>997734741</v>
          </cell>
          <cell r="K532" t="str">
            <v/>
          </cell>
          <cell r="L532" t="str">
            <v>Masculino</v>
          </cell>
          <cell r="M532" t="str">
            <v>Parda</v>
          </cell>
          <cell r="N532">
            <v>31381</v>
          </cell>
          <cell r="O532" t="str">
            <v>444544689</v>
          </cell>
          <cell r="P532" t="str">
            <v>SP</v>
          </cell>
          <cell r="Q532" t="str">
            <v>SSP</v>
          </cell>
          <cell r="R532" t="str">
            <v>SANTOS</v>
          </cell>
        </row>
        <row r="533">
          <cell r="A533" t="str">
            <v>LEANDRO MACIEL DOS SANTOS</v>
          </cell>
          <cell r="B533" t="str">
            <v>União Estável</v>
          </cell>
          <cell r="C533" t="str">
            <v>R Franca</v>
          </cell>
          <cell r="D533" t="str">
            <v>Vila Áurea (Vicente de Carvalho)</v>
          </cell>
          <cell r="E533" t="str">
            <v>GUARUJA</v>
          </cell>
          <cell r="F533" t="str">
            <v>SP</v>
          </cell>
          <cell r="G533" t="str">
            <v>60b</v>
          </cell>
          <cell r="H533" t="str">
            <v>Altos</v>
          </cell>
          <cell r="I533" t="str">
            <v>11454-380</v>
          </cell>
          <cell r="J533" t="str">
            <v>99190006</v>
          </cell>
          <cell r="K533" t="str">
            <v>91900006</v>
          </cell>
          <cell r="L533" t="str">
            <v>Masculino</v>
          </cell>
          <cell r="M533" t="str">
            <v>Parda</v>
          </cell>
          <cell r="N533">
            <v>31538</v>
          </cell>
          <cell r="O533" t="str">
            <v>445313195</v>
          </cell>
          <cell r="P533" t="str">
            <v>SP</v>
          </cell>
          <cell r="Q533" t="str">
            <v>SSP</v>
          </cell>
          <cell r="R533" t="str">
            <v>GUARUJA</v>
          </cell>
        </row>
        <row r="534">
          <cell r="A534" t="str">
            <v>YURI DE MEDEIROS VIANNA</v>
          </cell>
          <cell r="B534" t="str">
            <v>Solteiro</v>
          </cell>
          <cell r="C534" t="str">
            <v>R Emílio Ribas</v>
          </cell>
          <cell r="D534" t="str">
            <v>Vila Mathias</v>
          </cell>
          <cell r="E534" t="str">
            <v>SANTOS</v>
          </cell>
          <cell r="F534" t="str">
            <v>SP</v>
          </cell>
          <cell r="G534" t="str">
            <v>49</v>
          </cell>
          <cell r="H534" t="str">
            <v/>
          </cell>
          <cell r="I534" t="str">
            <v>11015-070</v>
          </cell>
          <cell r="J534" t="str">
            <v>21389270</v>
          </cell>
          <cell r="K534" t="str">
            <v/>
          </cell>
          <cell r="L534" t="str">
            <v>Masculino</v>
          </cell>
          <cell r="M534" t="str">
            <v>Parda</v>
          </cell>
          <cell r="N534">
            <v>32440</v>
          </cell>
          <cell r="O534" t="str">
            <v>437724748</v>
          </cell>
          <cell r="P534" t="str">
            <v>SP</v>
          </cell>
          <cell r="Q534" t="str">
            <v>SSP</v>
          </cell>
          <cell r="R534" t="str">
            <v>SANTOS</v>
          </cell>
        </row>
        <row r="535">
          <cell r="A535" t="str">
            <v>EVANDRO SILVA VALASQUE</v>
          </cell>
          <cell r="B535" t="str">
            <v>Casado</v>
          </cell>
          <cell r="C535" t="str">
            <v>R Rodrigo Silva</v>
          </cell>
          <cell r="D535" t="str">
            <v>Macuco</v>
          </cell>
          <cell r="E535" t="str">
            <v>SANTOS</v>
          </cell>
          <cell r="F535" t="str">
            <v>SP</v>
          </cell>
          <cell r="G535" t="str">
            <v>191</v>
          </cell>
          <cell r="H535" t="str">
            <v>AP 34</v>
          </cell>
          <cell r="I535" t="str">
            <v>11015-240</v>
          </cell>
          <cell r="J535" t="str">
            <v>981427602</v>
          </cell>
          <cell r="K535" t="str">
            <v/>
          </cell>
          <cell r="L535" t="str">
            <v>Masculino</v>
          </cell>
          <cell r="M535" t="str">
            <v>Parda</v>
          </cell>
          <cell r="N535">
            <v>26957</v>
          </cell>
          <cell r="O535" t="str">
            <v>27559150</v>
          </cell>
          <cell r="P535" t="str">
            <v>SP</v>
          </cell>
          <cell r="Q535" t="str">
            <v>SSP</v>
          </cell>
          <cell r="R535" t="str">
            <v>JAGUAQUARA</v>
          </cell>
        </row>
        <row r="536">
          <cell r="A536" t="str">
            <v>ANTONIO EDSON TAVARES SANTOS</v>
          </cell>
          <cell r="B536" t="str">
            <v>União Estável</v>
          </cell>
          <cell r="C536" t="str">
            <v>R Vinte e Oito de Setembro</v>
          </cell>
          <cell r="D536" t="str">
            <v>Macuco</v>
          </cell>
          <cell r="E536" t="str">
            <v>SANTOS</v>
          </cell>
          <cell r="F536" t="str">
            <v>SP</v>
          </cell>
          <cell r="G536" t="str">
            <v>83</v>
          </cell>
          <cell r="H536" t="str">
            <v>AP 7</v>
          </cell>
          <cell r="I536" t="str">
            <v>11015-110</v>
          </cell>
          <cell r="J536" t="str">
            <v>33076558</v>
          </cell>
          <cell r="K536" t="str">
            <v/>
          </cell>
          <cell r="L536" t="str">
            <v>Masculino</v>
          </cell>
          <cell r="M536" t="str">
            <v>Parda</v>
          </cell>
          <cell r="N536">
            <v>27146</v>
          </cell>
          <cell r="O536" t="str">
            <v>26889016X</v>
          </cell>
          <cell r="P536" t="str">
            <v>SP</v>
          </cell>
          <cell r="Q536" t="str">
            <v>SSP</v>
          </cell>
          <cell r="R536" t="str">
            <v>ITABUNA</v>
          </cell>
        </row>
        <row r="537">
          <cell r="A537" t="str">
            <v>JOSE UBALDO SANTOS</v>
          </cell>
          <cell r="B537" t="str">
            <v>Casado</v>
          </cell>
          <cell r="C537" t="str">
            <v>R Doutor Guedes Coelho</v>
          </cell>
          <cell r="D537" t="str">
            <v>Encruzilhada</v>
          </cell>
          <cell r="E537" t="str">
            <v>SANTOS</v>
          </cell>
          <cell r="F537" t="str">
            <v>SP</v>
          </cell>
          <cell r="G537" t="str">
            <v>85</v>
          </cell>
          <cell r="H537" t="str">
            <v>AP 52</v>
          </cell>
          <cell r="I537" t="str">
            <v>11050-231</v>
          </cell>
          <cell r="J537" t="str">
            <v>988231520</v>
          </cell>
          <cell r="K537" t="str">
            <v/>
          </cell>
          <cell r="L537" t="str">
            <v>Masculino</v>
          </cell>
          <cell r="M537" t="str">
            <v>Parda</v>
          </cell>
          <cell r="N537">
            <v>21794</v>
          </cell>
          <cell r="O537" t="str">
            <v>20323861</v>
          </cell>
          <cell r="P537" t="str">
            <v>SP</v>
          </cell>
          <cell r="Q537" t="str">
            <v>SSP</v>
          </cell>
          <cell r="R537" t="str">
            <v>SANTOS</v>
          </cell>
        </row>
        <row r="538">
          <cell r="A538" t="str">
            <v>GERSON MORAES DA SILVA</v>
          </cell>
          <cell r="B538" t="str">
            <v>Divorciado</v>
          </cell>
          <cell r="C538" t="str">
            <v>AV Affonso Penna</v>
          </cell>
          <cell r="D538" t="str">
            <v>Estuario</v>
          </cell>
          <cell r="E538" t="str">
            <v>SANTOS</v>
          </cell>
          <cell r="F538" t="str">
            <v>SP</v>
          </cell>
          <cell r="G538" t="str">
            <v>683</v>
          </cell>
          <cell r="H538" t="str">
            <v>AP 34 BL B</v>
          </cell>
          <cell r="I538" t="str">
            <v>11020-003</v>
          </cell>
          <cell r="J538" t="str">
            <v>976002032</v>
          </cell>
          <cell r="K538" t="str">
            <v/>
          </cell>
          <cell r="L538" t="str">
            <v>Masculino</v>
          </cell>
          <cell r="M538" t="str">
            <v>Parda</v>
          </cell>
          <cell r="N538">
            <v>24675</v>
          </cell>
          <cell r="O538" t="str">
            <v>172611970</v>
          </cell>
          <cell r="P538" t="str">
            <v>SP</v>
          </cell>
          <cell r="Q538" t="str">
            <v>SSP</v>
          </cell>
          <cell r="R538" t="str">
            <v>SANTOS</v>
          </cell>
        </row>
        <row r="539">
          <cell r="A539" t="str">
            <v>OSVALDO TAVARES JUNIOR</v>
          </cell>
          <cell r="B539" t="str">
            <v>Casado</v>
          </cell>
          <cell r="C539" t="str">
            <v>R Barão de Ramalho</v>
          </cell>
          <cell r="D539" t="str">
            <v>Ponta da Praia</v>
          </cell>
          <cell r="E539" t="str">
            <v>SANTOS</v>
          </cell>
          <cell r="F539" t="str">
            <v>SP</v>
          </cell>
          <cell r="G539" t="str">
            <v>163</v>
          </cell>
          <cell r="H539" t="str">
            <v>casa 3</v>
          </cell>
          <cell r="I539" t="str">
            <v>11030-540</v>
          </cell>
          <cell r="J539" t="str">
            <v>33247136</v>
          </cell>
          <cell r="K539" t="str">
            <v/>
          </cell>
          <cell r="L539" t="str">
            <v>Masculino</v>
          </cell>
          <cell r="M539" t="str">
            <v>Parda</v>
          </cell>
          <cell r="N539">
            <v>26376</v>
          </cell>
          <cell r="O539" t="str">
            <v>21785131</v>
          </cell>
          <cell r="P539" t="str">
            <v>SP</v>
          </cell>
          <cell r="Q539" t="str">
            <v>SSP</v>
          </cell>
          <cell r="R539" t="str">
            <v>SANTOS</v>
          </cell>
        </row>
        <row r="540">
          <cell r="A540" t="str">
            <v>EDVALDO BAPTISTA</v>
          </cell>
          <cell r="B540" t="str">
            <v>Casado</v>
          </cell>
          <cell r="C540" t="str">
            <v>R Valdomiro Macário</v>
          </cell>
          <cell r="D540" t="str">
            <v>Jardim Conceiçãozinh</v>
          </cell>
          <cell r="E540" t="str">
            <v>GUARUJA</v>
          </cell>
          <cell r="F540" t="str">
            <v>SP</v>
          </cell>
          <cell r="G540" t="str">
            <v>275</v>
          </cell>
          <cell r="H540" t="str">
            <v>11C</v>
          </cell>
          <cell r="I540" t="str">
            <v>11472-100</v>
          </cell>
          <cell r="J540" t="str">
            <v>988641998</v>
          </cell>
          <cell r="K540" t="str">
            <v/>
          </cell>
          <cell r="L540" t="str">
            <v>Masculino</v>
          </cell>
          <cell r="M540" t="str">
            <v>Parda</v>
          </cell>
          <cell r="N540">
            <v>26833</v>
          </cell>
          <cell r="O540" t="str">
            <v>254270785</v>
          </cell>
          <cell r="P540" t="str">
            <v>SP</v>
          </cell>
          <cell r="Q540" t="str">
            <v>SSP</v>
          </cell>
          <cell r="R540" t="str">
            <v>GUARUJA</v>
          </cell>
        </row>
        <row r="541">
          <cell r="A541" t="str">
            <v>DIOGO VALENTIM SOARES DE SOUZA</v>
          </cell>
          <cell r="B541" t="str">
            <v>Solteiro</v>
          </cell>
          <cell r="C541" t="str">
            <v>R Alberico Robillard de Marigny</v>
          </cell>
          <cell r="D541" t="str">
            <v>Vila Cascatinha</v>
          </cell>
          <cell r="E541" t="str">
            <v>SAO VICENTE</v>
          </cell>
          <cell r="F541" t="str">
            <v>SP</v>
          </cell>
          <cell r="G541" t="str">
            <v>513</v>
          </cell>
          <cell r="H541" t="str">
            <v/>
          </cell>
          <cell r="I541" t="str">
            <v>11370-010</v>
          </cell>
          <cell r="J541" t="str">
            <v>35613434</v>
          </cell>
          <cell r="K541" t="str">
            <v>974115837</v>
          </cell>
          <cell r="L541" t="str">
            <v>Masculino</v>
          </cell>
          <cell r="M541" t="str">
            <v>Parda</v>
          </cell>
          <cell r="N541">
            <v>33000</v>
          </cell>
          <cell r="O541" t="str">
            <v>467674759</v>
          </cell>
          <cell r="P541" t="str">
            <v>SP</v>
          </cell>
          <cell r="Q541" t="str">
            <v>SSP</v>
          </cell>
          <cell r="R541" t="str">
            <v>SAO VICENTE</v>
          </cell>
        </row>
        <row r="542">
          <cell r="A542" t="str">
            <v>SERGIO ROBERTO DIAS DA SILVA</v>
          </cell>
          <cell r="B542" t="str">
            <v>Casado</v>
          </cell>
          <cell r="C542" t="str">
            <v>R Maria Araújo Correia</v>
          </cell>
          <cell r="D542" t="str">
            <v>Jardim São Miguel</v>
          </cell>
          <cell r="E542" t="str">
            <v>GUARUJA</v>
          </cell>
          <cell r="F542" t="str">
            <v>SP</v>
          </cell>
          <cell r="G542" t="str">
            <v>160</v>
          </cell>
          <cell r="H542" t="str">
            <v/>
          </cell>
          <cell r="I542" t="str">
            <v>11440-230</v>
          </cell>
          <cell r="J542" t="str">
            <v/>
          </cell>
          <cell r="K542" t="str">
            <v/>
          </cell>
          <cell r="L542" t="str">
            <v>Masculino</v>
          </cell>
          <cell r="M542" t="str">
            <v>Parda</v>
          </cell>
          <cell r="N542">
            <v>29663</v>
          </cell>
          <cell r="O542" t="str">
            <v>357981765</v>
          </cell>
          <cell r="P542" t="str">
            <v>SP</v>
          </cell>
          <cell r="Q542" t="str">
            <v>SSP</v>
          </cell>
          <cell r="R542" t="str">
            <v>GUARUJA</v>
          </cell>
        </row>
        <row r="543">
          <cell r="A543" t="str">
            <v>CARLOS ROBERTO ZANELLA MARTINS</v>
          </cell>
          <cell r="B543" t="str">
            <v>Casado</v>
          </cell>
          <cell r="C543" t="str">
            <v>AV Brigadeiro Eduardo Gomes</v>
          </cell>
          <cell r="D543" t="str">
            <v>Balneário ABC</v>
          </cell>
          <cell r="E543" t="str">
            <v>PRAIA GRANDE</v>
          </cell>
          <cell r="F543" t="str">
            <v>SP</v>
          </cell>
          <cell r="G543" t="str">
            <v>582</v>
          </cell>
          <cell r="H543" t="str">
            <v>Q 11 LT 18</v>
          </cell>
          <cell r="I543" t="str">
            <v>11712-020</v>
          </cell>
          <cell r="J543" t="str">
            <v>991269998</v>
          </cell>
          <cell r="K543" t="str">
            <v/>
          </cell>
          <cell r="L543" t="str">
            <v>Masculino</v>
          </cell>
          <cell r="M543" t="str">
            <v>Parda</v>
          </cell>
          <cell r="N543">
            <v>31338</v>
          </cell>
          <cell r="O543" t="str">
            <v>416116188</v>
          </cell>
          <cell r="P543" t="str">
            <v>SP</v>
          </cell>
          <cell r="Q543" t="str">
            <v>SSP</v>
          </cell>
          <cell r="R543" t="str">
            <v>SANTOS</v>
          </cell>
        </row>
        <row r="544">
          <cell r="A544" t="str">
            <v>WILIAM MOTA VENTURA</v>
          </cell>
          <cell r="B544" t="str">
            <v>Casado</v>
          </cell>
          <cell r="C544" t="str">
            <v>R Senador Lacerda Franco</v>
          </cell>
          <cell r="D544" t="str">
            <v>Aparecida</v>
          </cell>
          <cell r="E544" t="str">
            <v>SANTOS</v>
          </cell>
          <cell r="F544" t="str">
            <v>SP</v>
          </cell>
          <cell r="G544" t="str">
            <v>141</v>
          </cell>
          <cell r="H544" t="str">
            <v>Apartamento 34</v>
          </cell>
          <cell r="I544" t="str">
            <v>11025-180</v>
          </cell>
          <cell r="J544" t="str">
            <v>974024363</v>
          </cell>
          <cell r="K544" t="str">
            <v/>
          </cell>
          <cell r="L544" t="str">
            <v>Masculino</v>
          </cell>
          <cell r="M544" t="str">
            <v>Parda</v>
          </cell>
          <cell r="N544">
            <v>26000</v>
          </cell>
          <cell r="O544" t="str">
            <v>188103351</v>
          </cell>
          <cell r="P544" t="str">
            <v>SP</v>
          </cell>
          <cell r="Q544" t="str">
            <v>SSP</v>
          </cell>
          <cell r="R544" t="str">
            <v>SANTOS</v>
          </cell>
        </row>
        <row r="545">
          <cell r="A545" t="str">
            <v>EDUARDO SANTOS CARRELAS</v>
          </cell>
          <cell r="B545" t="str">
            <v>Casado</v>
          </cell>
          <cell r="C545" t="str">
            <v>AV Osasco</v>
          </cell>
          <cell r="D545" t="str">
            <v>Ocian</v>
          </cell>
          <cell r="E545" t="str">
            <v>PRAIA GRANDE</v>
          </cell>
          <cell r="F545" t="str">
            <v>SP</v>
          </cell>
          <cell r="G545" t="str">
            <v>418</v>
          </cell>
          <cell r="H545" t="str">
            <v/>
          </cell>
          <cell r="I545" t="str">
            <v>11704-050</v>
          </cell>
          <cell r="J545" t="str">
            <v>974135240</v>
          </cell>
          <cell r="K545" t="str">
            <v/>
          </cell>
          <cell r="L545" t="str">
            <v>Masculino</v>
          </cell>
          <cell r="M545" t="str">
            <v>Parda</v>
          </cell>
          <cell r="N545">
            <v>27956</v>
          </cell>
          <cell r="O545" t="str">
            <v>264835360</v>
          </cell>
          <cell r="P545" t="str">
            <v>SP</v>
          </cell>
          <cell r="Q545" t="str">
            <v>SSP</v>
          </cell>
          <cell r="R545" t="str">
            <v>SANTOS</v>
          </cell>
        </row>
        <row r="546">
          <cell r="A546" t="str">
            <v>ROBISON DOS SANTOS ROSARIO</v>
          </cell>
          <cell r="B546" t="str">
            <v>Divorciado</v>
          </cell>
          <cell r="C546" t="str">
            <v>R Santos Dumont</v>
          </cell>
          <cell r="D546" t="str">
            <v>Estuário</v>
          </cell>
          <cell r="E546" t="str">
            <v>SANTOS</v>
          </cell>
          <cell r="F546" t="str">
            <v>SP</v>
          </cell>
          <cell r="G546" t="str">
            <v>172</v>
          </cell>
          <cell r="H546" t="str">
            <v>AP 166</v>
          </cell>
          <cell r="I546" t="str">
            <v>11015-230</v>
          </cell>
          <cell r="J546" t="str">
            <v>32919161</v>
          </cell>
          <cell r="K546" t="str">
            <v/>
          </cell>
          <cell r="L546" t="str">
            <v>Masculino</v>
          </cell>
          <cell r="M546" t="str">
            <v>Parda</v>
          </cell>
          <cell r="N546">
            <v>28516</v>
          </cell>
          <cell r="O546" t="str">
            <v>275590422</v>
          </cell>
          <cell r="P546" t="str">
            <v>SP</v>
          </cell>
          <cell r="Q546" t="str">
            <v>SSP</v>
          </cell>
          <cell r="R546" t="str">
            <v>SANTOS</v>
          </cell>
        </row>
        <row r="547">
          <cell r="A547" t="str">
            <v>WILSON DOS SANTOS</v>
          </cell>
          <cell r="B547" t="str">
            <v>Casado</v>
          </cell>
          <cell r="C547" t="str">
            <v>R Álvaro Parente</v>
          </cell>
          <cell r="D547" t="str">
            <v>Parque Estuário (Vic</v>
          </cell>
          <cell r="E547" t="str">
            <v>GUARUJA</v>
          </cell>
          <cell r="F547" t="str">
            <v>SP</v>
          </cell>
          <cell r="G547" t="str">
            <v>604</v>
          </cell>
          <cell r="H547" t="str">
            <v/>
          </cell>
          <cell r="I547" t="str">
            <v>11451-020</v>
          </cell>
          <cell r="J547" t="str">
            <v>33422520</v>
          </cell>
          <cell r="K547" t="str">
            <v/>
          </cell>
          <cell r="L547" t="str">
            <v>Masculino</v>
          </cell>
          <cell r="M547" t="str">
            <v>Parda</v>
          </cell>
          <cell r="N547">
            <v>25545</v>
          </cell>
          <cell r="O547" t="str">
            <v>227751607</v>
          </cell>
          <cell r="P547" t="str">
            <v>SP</v>
          </cell>
          <cell r="Q547" t="str">
            <v>SSP</v>
          </cell>
          <cell r="R547" t="str">
            <v>GUARUJA</v>
          </cell>
        </row>
        <row r="548">
          <cell r="A548" t="str">
            <v>EDVALDO DELGADO DOS SANTOS</v>
          </cell>
          <cell r="B548" t="str">
            <v>Casado</v>
          </cell>
          <cell r="C548" t="str">
            <v>R Augusto Simões</v>
          </cell>
          <cell r="D548" t="str">
            <v>Vila Santo Antonio</v>
          </cell>
          <cell r="E548" t="str">
            <v>GUARUJA</v>
          </cell>
          <cell r="F548" t="str">
            <v>SP</v>
          </cell>
          <cell r="G548" t="str">
            <v>581</v>
          </cell>
          <cell r="H548" t="str">
            <v/>
          </cell>
          <cell r="I548" t="str">
            <v>11432-500</v>
          </cell>
          <cell r="J548" t="str">
            <v>30189830</v>
          </cell>
          <cell r="K548" t="str">
            <v/>
          </cell>
          <cell r="L548" t="str">
            <v>Masculino</v>
          </cell>
          <cell r="M548" t="str">
            <v>Parda</v>
          </cell>
          <cell r="N548">
            <v>23723</v>
          </cell>
          <cell r="O548" t="str">
            <v>17600825</v>
          </cell>
          <cell r="P548" t="str">
            <v>SP</v>
          </cell>
          <cell r="Q548" t="str">
            <v>SSP</v>
          </cell>
          <cell r="R548" t="str">
            <v>GUARUJA</v>
          </cell>
        </row>
        <row r="549">
          <cell r="A549" t="str">
            <v>CARLOS ROBERTO RAFAEL</v>
          </cell>
          <cell r="B549" t="str">
            <v>Casado</v>
          </cell>
          <cell r="C549" t="str">
            <v>FAV do Dique do Jardim Pompeba</v>
          </cell>
          <cell r="D549" t="str">
            <v>Cidade Nautica</v>
          </cell>
          <cell r="E549" t="str">
            <v>SAO VICENTE</v>
          </cell>
          <cell r="F549" t="str">
            <v>SP</v>
          </cell>
          <cell r="G549" t="str">
            <v>627</v>
          </cell>
          <cell r="H549" t="str">
            <v/>
          </cell>
          <cell r="I549" t="str">
            <v>11355-280</v>
          </cell>
          <cell r="J549" t="str">
            <v>974143691</v>
          </cell>
          <cell r="K549" t="str">
            <v/>
          </cell>
          <cell r="L549" t="str">
            <v>Masculino</v>
          </cell>
          <cell r="M549" t="str">
            <v>Parda</v>
          </cell>
          <cell r="N549">
            <v>21424</v>
          </cell>
          <cell r="O549" t="str">
            <v>112463034</v>
          </cell>
          <cell r="P549" t="str">
            <v>SP</v>
          </cell>
          <cell r="Q549" t="str">
            <v>SSP</v>
          </cell>
          <cell r="R549" t="str">
            <v>SABARA</v>
          </cell>
        </row>
        <row r="550">
          <cell r="A550" t="str">
            <v>EDIMILSON FREITAS DO NASCIMENTO</v>
          </cell>
          <cell r="B550" t="str">
            <v>União Estável</v>
          </cell>
          <cell r="C550" t="str">
            <v>R Marechal Aguinaldo Caiado de Castro</v>
          </cell>
          <cell r="D550" t="str">
            <v>Castelo</v>
          </cell>
          <cell r="E550" t="str">
            <v>SANTOS</v>
          </cell>
          <cell r="F550" t="str">
            <v>SP</v>
          </cell>
          <cell r="G550" t="str">
            <v>106</v>
          </cell>
          <cell r="H550" t="str">
            <v/>
          </cell>
          <cell r="I550" t="str">
            <v>11087-040</v>
          </cell>
          <cell r="J550" t="str">
            <v>974161916</v>
          </cell>
          <cell r="K550" t="str">
            <v/>
          </cell>
          <cell r="L550" t="str">
            <v>Masculino</v>
          </cell>
          <cell r="M550" t="str">
            <v>Parda</v>
          </cell>
          <cell r="N550">
            <v>25238</v>
          </cell>
          <cell r="O550" t="str">
            <v>196538932</v>
          </cell>
          <cell r="P550" t="str">
            <v>SP</v>
          </cell>
          <cell r="Q550" t="str">
            <v>SSP</v>
          </cell>
          <cell r="R550" t="str">
            <v>SANTOS</v>
          </cell>
        </row>
        <row r="551">
          <cell r="A551" t="str">
            <v>VALTEMIR COSTA DE MELO</v>
          </cell>
          <cell r="B551" t="str">
            <v>Casado</v>
          </cell>
          <cell r="C551" t="str">
            <v>R Mário Augusto dos Santos Lopes</v>
          </cell>
          <cell r="D551" t="str">
            <v>Conjunto Residencial</v>
          </cell>
          <cell r="E551" t="str">
            <v>SAO VICENTE</v>
          </cell>
          <cell r="F551" t="str">
            <v>SP</v>
          </cell>
          <cell r="G551" t="str">
            <v>1238</v>
          </cell>
          <cell r="H551" t="str">
            <v/>
          </cell>
          <cell r="I551" t="str">
            <v>11349-340</v>
          </cell>
          <cell r="J551" t="str">
            <v>35642404</v>
          </cell>
          <cell r="K551" t="str">
            <v/>
          </cell>
          <cell r="L551" t="str">
            <v>Masculino</v>
          </cell>
          <cell r="M551" t="str">
            <v>Parda</v>
          </cell>
          <cell r="N551">
            <v>27025</v>
          </cell>
          <cell r="O551" t="str">
            <v>230350902</v>
          </cell>
          <cell r="P551" t="str">
            <v>SP</v>
          </cell>
          <cell r="Q551" t="str">
            <v>SSP</v>
          </cell>
          <cell r="R551" t="str">
            <v>SANTOS</v>
          </cell>
        </row>
        <row r="552">
          <cell r="A552" t="str">
            <v>ALEXSANDRO FERREIRA DE GODOY</v>
          </cell>
          <cell r="B552" t="str">
            <v>Casado</v>
          </cell>
          <cell r="C552" t="str">
            <v>AV Quintino Bocaiuva</v>
          </cell>
          <cell r="D552" t="str">
            <v>Centro</v>
          </cell>
          <cell r="E552" t="str">
            <v>SAO VICENTE</v>
          </cell>
          <cell r="F552" t="str">
            <v>SP</v>
          </cell>
          <cell r="G552" t="str">
            <v>1115</v>
          </cell>
          <cell r="H552" t="str">
            <v>AP 34</v>
          </cell>
          <cell r="I552" t="str">
            <v>11320-010</v>
          </cell>
          <cell r="J552" t="str">
            <v>988751451</v>
          </cell>
          <cell r="K552" t="str">
            <v/>
          </cell>
          <cell r="L552" t="str">
            <v>Masculino</v>
          </cell>
          <cell r="M552" t="str">
            <v>Parda</v>
          </cell>
          <cell r="N552">
            <v>29955</v>
          </cell>
          <cell r="O552" t="str">
            <v>300060725</v>
          </cell>
          <cell r="P552" t="str">
            <v>SP</v>
          </cell>
          <cell r="Q552" t="str">
            <v>SSP</v>
          </cell>
          <cell r="R552" t="str">
            <v>SANTO ANDRE</v>
          </cell>
        </row>
        <row r="553">
          <cell r="A553" t="str">
            <v>RODRIGO MOKRESKI PEREIRA DA SILVA</v>
          </cell>
          <cell r="B553" t="str">
            <v>Solteiro</v>
          </cell>
          <cell r="C553" t="str">
            <v>R Xingu</v>
          </cell>
          <cell r="D553" t="str">
            <v>Balneario Praia do P</v>
          </cell>
          <cell r="E553" t="str">
            <v>GUARUJA</v>
          </cell>
          <cell r="F553" t="str">
            <v>SP</v>
          </cell>
          <cell r="G553" t="str">
            <v>200</v>
          </cell>
          <cell r="H553" t="str">
            <v/>
          </cell>
          <cell r="I553" t="str">
            <v>11446-150</v>
          </cell>
          <cell r="J553" t="str">
            <v>982065862</v>
          </cell>
          <cell r="K553" t="str">
            <v/>
          </cell>
          <cell r="L553" t="str">
            <v>Masculino</v>
          </cell>
          <cell r="M553" t="str">
            <v>Parda</v>
          </cell>
          <cell r="N553">
            <v>34805</v>
          </cell>
          <cell r="O553" t="str">
            <v>388688038</v>
          </cell>
          <cell r="P553" t="str">
            <v>SP</v>
          </cell>
          <cell r="Q553" t="str">
            <v>SSP</v>
          </cell>
          <cell r="R553" t="str">
            <v>GUARUJA</v>
          </cell>
        </row>
        <row r="554">
          <cell r="A554" t="str">
            <v>GEOVANE ANDRE SOARES</v>
          </cell>
          <cell r="B554" t="str">
            <v>Solteiro</v>
          </cell>
          <cell r="C554" t="str">
            <v>R Oito (Residencial Victoria Park)</v>
          </cell>
          <cell r="D554" t="str">
            <v>VILA ZILDA</v>
          </cell>
          <cell r="E554" t="str">
            <v>GUARUJA</v>
          </cell>
          <cell r="F554" t="str">
            <v>SP</v>
          </cell>
          <cell r="G554" t="str">
            <v>22</v>
          </cell>
          <cell r="H554" t="str">
            <v>Casa</v>
          </cell>
          <cell r="I554" t="str">
            <v>11436-540</v>
          </cell>
          <cell r="J554" t="str">
            <v>974081041</v>
          </cell>
          <cell r="K554" t="str">
            <v/>
          </cell>
          <cell r="L554" t="str">
            <v>Masculino</v>
          </cell>
          <cell r="M554" t="str">
            <v>Parda</v>
          </cell>
          <cell r="N554">
            <v>34281</v>
          </cell>
          <cell r="O554" t="str">
            <v>359584561</v>
          </cell>
          <cell r="P554" t="str">
            <v>SP</v>
          </cell>
          <cell r="Q554" t="str">
            <v>SSP</v>
          </cell>
          <cell r="R554" t="str">
            <v>LUCENA</v>
          </cell>
        </row>
        <row r="555">
          <cell r="A555" t="str">
            <v>RAFAEL DA FONSECA ALMEIDA</v>
          </cell>
          <cell r="B555" t="str">
            <v>Casado</v>
          </cell>
          <cell r="C555" t="str">
            <v>AV Santa Maria</v>
          </cell>
          <cell r="D555" t="str">
            <v>Enseada</v>
          </cell>
          <cell r="E555" t="str">
            <v>GUARUJA</v>
          </cell>
          <cell r="F555" t="str">
            <v>SP</v>
          </cell>
          <cell r="G555" t="str">
            <v>604</v>
          </cell>
          <cell r="H555" t="str">
            <v>Ap 103</v>
          </cell>
          <cell r="I555" t="str">
            <v>11440-110</v>
          </cell>
          <cell r="J555" t="str">
            <v/>
          </cell>
          <cell r="K555" t="str">
            <v/>
          </cell>
          <cell r="L555" t="str">
            <v>Masculino</v>
          </cell>
          <cell r="M555" t="str">
            <v>Parda</v>
          </cell>
          <cell r="N555">
            <v>34062</v>
          </cell>
          <cell r="O555" t="str">
            <v>490974004</v>
          </cell>
          <cell r="P555" t="str">
            <v>SP</v>
          </cell>
          <cell r="Q555" t="str">
            <v>SSP</v>
          </cell>
          <cell r="R555" t="str">
            <v>GUARUJA</v>
          </cell>
        </row>
        <row r="556">
          <cell r="A556" t="str">
            <v>RODRIGO DOS SANTOS VIANA</v>
          </cell>
          <cell r="B556" t="str">
            <v>União Estável</v>
          </cell>
          <cell r="C556" t="str">
            <v>TV Benedito Fernandes, Hélio Alves Martins</v>
          </cell>
          <cell r="D556" t="str">
            <v>Morrinhos 3</v>
          </cell>
          <cell r="E556" t="str">
            <v>GUARUJA</v>
          </cell>
          <cell r="F556" t="str">
            <v>SP</v>
          </cell>
          <cell r="G556" t="str">
            <v>176</v>
          </cell>
          <cell r="H556" t="str">
            <v>Apartamento 21</v>
          </cell>
          <cell r="I556" t="str">
            <v>11495-157</v>
          </cell>
          <cell r="J556" t="str">
            <v>988309673</v>
          </cell>
          <cell r="K556" t="str">
            <v/>
          </cell>
          <cell r="L556" t="str">
            <v>Masculino</v>
          </cell>
          <cell r="M556" t="str">
            <v>Parda</v>
          </cell>
          <cell r="N556">
            <v>31694</v>
          </cell>
          <cell r="O556" t="str">
            <v>440056275</v>
          </cell>
          <cell r="P556" t="str">
            <v>SP</v>
          </cell>
          <cell r="Q556" t="str">
            <v>SSP</v>
          </cell>
          <cell r="R556" t="str">
            <v>GUARUJA</v>
          </cell>
        </row>
        <row r="557">
          <cell r="A557" t="str">
            <v>MARCELO DE ALMEIDA SENA</v>
          </cell>
          <cell r="B557" t="str">
            <v>Casado</v>
          </cell>
          <cell r="C557" t="str">
            <v>R Flaminio Levy</v>
          </cell>
          <cell r="D557" t="str">
            <v>Saboo</v>
          </cell>
          <cell r="E557" t="str">
            <v>SANTOS</v>
          </cell>
          <cell r="F557" t="str">
            <v>SP</v>
          </cell>
          <cell r="G557" t="str">
            <v>460</v>
          </cell>
          <cell r="H557" t="str">
            <v>94</v>
          </cell>
          <cell r="I557" t="str">
            <v>11085-080</v>
          </cell>
          <cell r="J557" t="str">
            <v/>
          </cell>
          <cell r="K557" t="str">
            <v/>
          </cell>
          <cell r="L557" t="str">
            <v>Masculino</v>
          </cell>
          <cell r="M557" t="str">
            <v>Parda</v>
          </cell>
          <cell r="N557">
            <v>29958</v>
          </cell>
          <cell r="O557" t="str">
            <v>40070481X</v>
          </cell>
          <cell r="P557" t="str">
            <v>SP</v>
          </cell>
          <cell r="Q557" t="str">
            <v>SSP</v>
          </cell>
          <cell r="R557" t="str">
            <v>SANTOS</v>
          </cell>
        </row>
        <row r="558">
          <cell r="A558" t="str">
            <v>GEOVANI JUNIOR ROSSINI MARTINS</v>
          </cell>
          <cell r="B558" t="str">
            <v>Divorciado</v>
          </cell>
          <cell r="C558" t="str">
            <v>R Marechal Mascarenhas de Moraes</v>
          </cell>
          <cell r="D558" t="str">
            <v>Vila Margarida</v>
          </cell>
          <cell r="E558" t="str">
            <v>SAO VICENTE</v>
          </cell>
          <cell r="F558" t="str">
            <v>SP</v>
          </cell>
          <cell r="G558" t="str">
            <v>719</v>
          </cell>
          <cell r="H558" t="str">
            <v>CASA 2</v>
          </cell>
          <cell r="I558" t="str">
            <v>11330-000</v>
          </cell>
          <cell r="J558" t="str">
            <v/>
          </cell>
          <cell r="K558" t="str">
            <v/>
          </cell>
          <cell r="L558" t="str">
            <v>Masculino</v>
          </cell>
          <cell r="M558" t="str">
            <v>Branca</v>
          </cell>
          <cell r="N558">
            <v>31557</v>
          </cell>
          <cell r="O558" t="str">
            <v>418862412</v>
          </cell>
          <cell r="P558" t="str">
            <v>SP</v>
          </cell>
          <cell r="Q558" t="str">
            <v>SSP</v>
          </cell>
          <cell r="R558" t="str">
            <v>JI-PARANA</v>
          </cell>
        </row>
        <row r="559">
          <cell r="A559" t="str">
            <v>DAVI DOS SANTOS DEPIERE</v>
          </cell>
          <cell r="B559" t="str">
            <v>Casado</v>
          </cell>
          <cell r="C559" t="str">
            <v>R Irmã Maria Alberta</v>
          </cell>
          <cell r="D559" t="str">
            <v>Samarita</v>
          </cell>
          <cell r="E559" t="str">
            <v>SAO VICENTE</v>
          </cell>
          <cell r="F559" t="str">
            <v>SP</v>
          </cell>
          <cell r="G559" t="str">
            <v>106</v>
          </cell>
          <cell r="H559" t="str">
            <v>BL 4 AP 403</v>
          </cell>
          <cell r="I559" t="str">
            <v>11345-045</v>
          </cell>
          <cell r="J559" t="str">
            <v/>
          </cell>
          <cell r="K559" t="str">
            <v/>
          </cell>
          <cell r="L559" t="str">
            <v>Masculino</v>
          </cell>
          <cell r="M559" t="str">
            <v>Parda</v>
          </cell>
          <cell r="N559">
            <v>30134</v>
          </cell>
          <cell r="O559" t="str">
            <v>415902848</v>
          </cell>
          <cell r="P559" t="str">
            <v>SP</v>
          </cell>
          <cell r="Q559" t="str">
            <v>SSP</v>
          </cell>
          <cell r="R559" t="str">
            <v>SAO VICENTE</v>
          </cell>
        </row>
        <row r="560">
          <cell r="A560" t="str">
            <v>ALBERTO MARTINS SANTANA</v>
          </cell>
          <cell r="B560" t="str">
            <v>Casado</v>
          </cell>
          <cell r="C560" t="str">
            <v>R Aristóteles Ferreira</v>
          </cell>
          <cell r="D560" t="str">
            <v>Macuco</v>
          </cell>
          <cell r="E560" t="str">
            <v>SANTOS</v>
          </cell>
          <cell r="F560" t="str">
            <v>SP</v>
          </cell>
          <cell r="G560" t="str">
            <v>12</v>
          </cell>
          <cell r="H560" t="str">
            <v>L- VRS</v>
          </cell>
          <cell r="I560" t="str">
            <v>11020-140</v>
          </cell>
          <cell r="J560" t="str">
            <v>33856032</v>
          </cell>
          <cell r="K560" t="str">
            <v/>
          </cell>
          <cell r="L560" t="str">
            <v>Masculino</v>
          </cell>
          <cell r="M560" t="str">
            <v>Parda</v>
          </cell>
          <cell r="N560">
            <v>26360</v>
          </cell>
          <cell r="O560" t="str">
            <v>21743937</v>
          </cell>
          <cell r="P560" t="str">
            <v>SP</v>
          </cell>
          <cell r="Q560" t="str">
            <v>SSP</v>
          </cell>
          <cell r="R560" t="str">
            <v>SANTOS</v>
          </cell>
        </row>
        <row r="561">
          <cell r="A561" t="str">
            <v>EVANDRO DA SILVA TAVARES</v>
          </cell>
          <cell r="B561" t="str">
            <v>União Estável</v>
          </cell>
          <cell r="C561" t="str">
            <v>TV Maria Mercedes Fea</v>
          </cell>
          <cell r="D561" t="str">
            <v>Saboó</v>
          </cell>
          <cell r="E561" t="str">
            <v>SANTOS</v>
          </cell>
          <cell r="F561" t="str">
            <v>SP</v>
          </cell>
          <cell r="G561" t="str">
            <v>130</v>
          </cell>
          <cell r="H561" t="str">
            <v>Trav 3</v>
          </cell>
          <cell r="I561" t="str">
            <v>11085-100</v>
          </cell>
          <cell r="J561" t="str">
            <v>988683958</v>
          </cell>
          <cell r="K561" t="str">
            <v/>
          </cell>
          <cell r="L561" t="str">
            <v>Masculino</v>
          </cell>
          <cell r="M561" t="str">
            <v>Parda</v>
          </cell>
          <cell r="N561">
            <v>30492</v>
          </cell>
          <cell r="O561" t="str">
            <v>327663297</v>
          </cell>
          <cell r="P561" t="str">
            <v>SP</v>
          </cell>
          <cell r="Q561" t="str">
            <v>SSP</v>
          </cell>
          <cell r="R561" t="str">
            <v>SANTOS</v>
          </cell>
        </row>
        <row r="562">
          <cell r="A562" t="str">
            <v>LEONARDO SOARES DOS SANTOS</v>
          </cell>
          <cell r="B562" t="str">
            <v>Casado</v>
          </cell>
          <cell r="C562" t="str">
            <v>R Alan Ciber Pinto</v>
          </cell>
          <cell r="D562" t="str">
            <v>São Jorge</v>
          </cell>
          <cell r="E562" t="str">
            <v>SANTOS</v>
          </cell>
          <cell r="F562" t="str">
            <v>SP</v>
          </cell>
          <cell r="G562" t="str">
            <v>100</v>
          </cell>
          <cell r="H562" t="str">
            <v>BL B5- AP13-PO 7</v>
          </cell>
          <cell r="I562" t="str">
            <v>11085-625</v>
          </cell>
          <cell r="J562" t="str">
            <v>974311009</v>
          </cell>
          <cell r="K562" t="str">
            <v/>
          </cell>
          <cell r="L562" t="str">
            <v>Masculino</v>
          </cell>
          <cell r="M562" t="str">
            <v>Parda</v>
          </cell>
          <cell r="N562">
            <v>30204</v>
          </cell>
          <cell r="O562" t="str">
            <v>444006746</v>
          </cell>
          <cell r="P562" t="str">
            <v>SP</v>
          </cell>
          <cell r="Q562" t="str">
            <v>SSP</v>
          </cell>
          <cell r="R562" t="str">
            <v>SANTOS</v>
          </cell>
        </row>
        <row r="563">
          <cell r="A563" t="str">
            <v>HERISVALDO PORTO DOS SANTOS</v>
          </cell>
          <cell r="B563" t="str">
            <v>Casado</v>
          </cell>
          <cell r="C563" t="str">
            <v>R Tambaú</v>
          </cell>
          <cell r="D563" t="str">
            <v>Vila Nossa Senhora d</v>
          </cell>
          <cell r="E563" t="str">
            <v>SAO VICENTE</v>
          </cell>
          <cell r="F563" t="str">
            <v>SP</v>
          </cell>
          <cell r="G563" t="str">
            <v>915</v>
          </cell>
          <cell r="H563" t="str">
            <v/>
          </cell>
          <cell r="I563" t="str">
            <v>11355-030</v>
          </cell>
          <cell r="J563" t="str">
            <v>34636756</v>
          </cell>
          <cell r="K563" t="str">
            <v>974042617</v>
          </cell>
          <cell r="L563" t="str">
            <v>Masculino</v>
          </cell>
          <cell r="M563" t="str">
            <v>Parda</v>
          </cell>
          <cell r="N563">
            <v>29674</v>
          </cell>
          <cell r="O563" t="str">
            <v>418827813</v>
          </cell>
          <cell r="P563" t="str">
            <v>SP</v>
          </cell>
          <cell r="Q563" t="str">
            <v>SSP</v>
          </cell>
          <cell r="R563" t="str">
            <v>SANTOS</v>
          </cell>
        </row>
        <row r="564">
          <cell r="A564" t="str">
            <v>DANIELA CAETANO DOS SANTOS</v>
          </cell>
          <cell r="B564" t="str">
            <v>Solteiro</v>
          </cell>
          <cell r="C564" t="str">
            <v>R Francisco Maciel dos Santos</v>
          </cell>
          <cell r="D564" t="str">
            <v>Vila Mateo Bei</v>
          </cell>
          <cell r="E564" t="str">
            <v>SAO VICENTE</v>
          </cell>
          <cell r="F564" t="str">
            <v>SP</v>
          </cell>
          <cell r="G564" t="str">
            <v>16</v>
          </cell>
          <cell r="H564" t="str">
            <v/>
          </cell>
          <cell r="I564" t="str">
            <v>11335-370</v>
          </cell>
          <cell r="J564" t="str">
            <v/>
          </cell>
          <cell r="K564" t="str">
            <v/>
          </cell>
          <cell r="L564" t="str">
            <v>Feminino</v>
          </cell>
          <cell r="M564" t="str">
            <v>Parda</v>
          </cell>
          <cell r="N564">
            <v>30090</v>
          </cell>
          <cell r="O564" t="str">
            <v>350435741</v>
          </cell>
          <cell r="P564" t="str">
            <v>SP</v>
          </cell>
          <cell r="Q564" t="str">
            <v>SSP</v>
          </cell>
          <cell r="R564" t="str">
            <v>SAO VICENTE</v>
          </cell>
        </row>
        <row r="565">
          <cell r="A565" t="str">
            <v>ANDRE LUIZ SILVA MOREIRA</v>
          </cell>
          <cell r="B565" t="str">
            <v>Solteiro</v>
          </cell>
          <cell r="C565" t="str">
            <v>R José Gonçalves da Mota Jr.</v>
          </cell>
          <cell r="D565" t="str">
            <v>Marapé</v>
          </cell>
          <cell r="E565" t="str">
            <v>SANTOS</v>
          </cell>
          <cell r="F565" t="str">
            <v>SP</v>
          </cell>
          <cell r="G565" t="str">
            <v>139</v>
          </cell>
          <cell r="H565" t="str">
            <v/>
          </cell>
          <cell r="I565" t="str">
            <v>11070-231</v>
          </cell>
          <cell r="J565" t="str">
            <v>988378569</v>
          </cell>
          <cell r="K565" t="str">
            <v/>
          </cell>
          <cell r="L565" t="str">
            <v>Masculino</v>
          </cell>
          <cell r="M565" t="str">
            <v>Parda</v>
          </cell>
          <cell r="N565">
            <v>31790</v>
          </cell>
          <cell r="O565" t="str">
            <v>441553588</v>
          </cell>
          <cell r="P565" t="str">
            <v>SP</v>
          </cell>
          <cell r="Q565" t="str">
            <v>SSP</v>
          </cell>
          <cell r="R565" t="str">
            <v>SANTOS</v>
          </cell>
        </row>
        <row r="566">
          <cell r="A566" t="str">
            <v>JEFFERSON BARBOSA DOS SANTOS</v>
          </cell>
          <cell r="B566" t="str">
            <v>Divorciado</v>
          </cell>
          <cell r="C566" t="str">
            <v>R Luiz Panzoldo Netto</v>
          </cell>
          <cell r="D566" t="str">
            <v>Catiapoa</v>
          </cell>
          <cell r="E566" t="str">
            <v>SAO VICENTE</v>
          </cell>
          <cell r="F566" t="str">
            <v>SP</v>
          </cell>
          <cell r="G566" t="str">
            <v>133</v>
          </cell>
          <cell r="H566" t="str">
            <v/>
          </cell>
          <cell r="I566" t="str">
            <v>11370-330</v>
          </cell>
          <cell r="J566" t="str">
            <v>33798628</v>
          </cell>
          <cell r="K566" t="str">
            <v/>
          </cell>
          <cell r="L566" t="str">
            <v>Masculino</v>
          </cell>
          <cell r="M566" t="str">
            <v>Parda</v>
          </cell>
          <cell r="N566">
            <v>30399</v>
          </cell>
          <cell r="O566" t="str">
            <v>343502513</v>
          </cell>
          <cell r="P566" t="str">
            <v>SP</v>
          </cell>
          <cell r="Q566" t="str">
            <v>SSP</v>
          </cell>
          <cell r="R566" t="str">
            <v>SAO VICENTE</v>
          </cell>
        </row>
        <row r="567">
          <cell r="A567" t="str">
            <v>FABIO OLIVEIRA PEREIRA</v>
          </cell>
          <cell r="B567" t="str">
            <v>Casado</v>
          </cell>
          <cell r="C567" t="str">
            <v>AV Antônio Emmerick</v>
          </cell>
          <cell r="D567" t="str">
            <v>Vila Cascatinha</v>
          </cell>
          <cell r="E567" t="str">
            <v>SAO VICENTE</v>
          </cell>
          <cell r="F567" t="str">
            <v>SP</v>
          </cell>
          <cell r="G567" t="str">
            <v>499</v>
          </cell>
          <cell r="H567" t="str">
            <v>AP 104</v>
          </cell>
          <cell r="I567" t="str">
            <v>11390-001</v>
          </cell>
          <cell r="J567" t="str">
            <v>997440410</v>
          </cell>
          <cell r="K567" t="str">
            <v/>
          </cell>
          <cell r="L567" t="str">
            <v>Masculino</v>
          </cell>
          <cell r="M567" t="str">
            <v>Parda</v>
          </cell>
          <cell r="N567">
            <v>28154</v>
          </cell>
          <cell r="O567" t="str">
            <v>307934305</v>
          </cell>
          <cell r="P567" t="str">
            <v>SP</v>
          </cell>
          <cell r="Q567" t="str">
            <v>SSP</v>
          </cell>
          <cell r="R567" t="str">
            <v>SANTO ANDRE</v>
          </cell>
        </row>
        <row r="568">
          <cell r="A568" t="str">
            <v>RODRIGO PERGENTINO DA SILVA</v>
          </cell>
          <cell r="B568" t="str">
            <v>Casado</v>
          </cell>
          <cell r="C568" t="str">
            <v>R Dona Olga Marques</v>
          </cell>
          <cell r="D568" t="str">
            <v>Vila Mateo Bei</v>
          </cell>
          <cell r="E568" t="str">
            <v>SAO VICENTE</v>
          </cell>
          <cell r="F568" t="str">
            <v>SP</v>
          </cell>
          <cell r="G568" t="str">
            <v>503</v>
          </cell>
          <cell r="H568" t="str">
            <v>CASA 2</v>
          </cell>
          <cell r="I568" t="str">
            <v>11335-320</v>
          </cell>
          <cell r="J568" t="str">
            <v>34634026</v>
          </cell>
          <cell r="K568" t="str">
            <v>337550897</v>
          </cell>
          <cell r="L568" t="str">
            <v>Masculino</v>
          </cell>
          <cell r="M568" t="str">
            <v>Parda</v>
          </cell>
          <cell r="N568">
            <v>29414</v>
          </cell>
          <cell r="O568" t="str">
            <v>325225540</v>
          </cell>
          <cell r="P568" t="str">
            <v>SP</v>
          </cell>
          <cell r="Q568" t="str">
            <v>SSP</v>
          </cell>
          <cell r="R568" t="str">
            <v>SANTOS</v>
          </cell>
        </row>
        <row r="569">
          <cell r="A569" t="str">
            <v>ANUNCIADO JOSE DA SILVA FILHO</v>
          </cell>
          <cell r="B569" t="str">
            <v>União Estável</v>
          </cell>
          <cell r="C569" t="str">
            <v>AV Nossa Senhora de Fátima</v>
          </cell>
          <cell r="D569" t="str">
            <v>Saboo</v>
          </cell>
          <cell r="E569" t="str">
            <v>SANTOS</v>
          </cell>
          <cell r="F569" t="str">
            <v>SP</v>
          </cell>
          <cell r="G569" t="str">
            <v>269</v>
          </cell>
          <cell r="H569" t="str">
            <v>CA5</v>
          </cell>
          <cell r="I569" t="str">
            <v>11085-201</v>
          </cell>
          <cell r="J569" t="str">
            <v>988638205</v>
          </cell>
          <cell r="K569" t="str">
            <v/>
          </cell>
          <cell r="L569" t="str">
            <v>Masculino</v>
          </cell>
          <cell r="M569" t="str">
            <v>Parda</v>
          </cell>
          <cell r="N569">
            <v>26325</v>
          </cell>
          <cell r="O569" t="str">
            <v>4226258</v>
          </cell>
          <cell r="P569" t="str">
            <v>SP</v>
          </cell>
          <cell r="Q569" t="str">
            <v>SSP</v>
          </cell>
          <cell r="R569" t="str">
            <v>JACUIPE</v>
          </cell>
        </row>
        <row r="570">
          <cell r="A570" t="str">
            <v>MOISES MELO FERREIRA</v>
          </cell>
          <cell r="B570" t="str">
            <v>Casado</v>
          </cell>
          <cell r="C570" t="str">
            <v>R Áureo Barbara dos Santos</v>
          </cell>
          <cell r="D570" t="str">
            <v>Jardim Boa Esperança</v>
          </cell>
          <cell r="E570" t="str">
            <v>GUARUJA</v>
          </cell>
          <cell r="F570" t="str">
            <v>SP</v>
          </cell>
          <cell r="G570" t="str">
            <v>436</v>
          </cell>
          <cell r="H570" t="str">
            <v/>
          </cell>
          <cell r="I570" t="str">
            <v>11470-030</v>
          </cell>
          <cell r="J570" t="str">
            <v>988460149</v>
          </cell>
          <cell r="K570" t="str">
            <v/>
          </cell>
          <cell r="L570" t="str">
            <v>Masculino</v>
          </cell>
          <cell r="M570" t="str">
            <v>Parda</v>
          </cell>
          <cell r="N570">
            <v>25507</v>
          </cell>
          <cell r="O570" t="str">
            <v>217458804</v>
          </cell>
          <cell r="P570" t="str">
            <v>SP</v>
          </cell>
          <cell r="Q570" t="str">
            <v>SSP</v>
          </cell>
          <cell r="R570" t="str">
            <v>GUARUJA</v>
          </cell>
        </row>
        <row r="571">
          <cell r="A571" t="str">
            <v>VANDRO NEVES DE ANDRADE</v>
          </cell>
          <cell r="B571" t="str">
            <v>Casado</v>
          </cell>
          <cell r="C571" t="str">
            <v>R Doutor Álvaro Guião</v>
          </cell>
          <cell r="D571" t="str">
            <v>Campo Grande</v>
          </cell>
          <cell r="E571" t="str">
            <v>SANTOS</v>
          </cell>
          <cell r="F571" t="str">
            <v>SP</v>
          </cell>
          <cell r="G571" t="str">
            <v>72</v>
          </cell>
          <cell r="H571" t="str">
            <v>Apto 11</v>
          </cell>
          <cell r="I571" t="str">
            <v>11075-380</v>
          </cell>
          <cell r="J571" t="str">
            <v>988112101</v>
          </cell>
          <cell r="K571" t="str">
            <v/>
          </cell>
          <cell r="L571" t="str">
            <v>Masculino</v>
          </cell>
          <cell r="M571" t="str">
            <v>Parda</v>
          </cell>
          <cell r="N571">
            <v>28466</v>
          </cell>
          <cell r="O571" t="str">
            <v>257003733</v>
          </cell>
          <cell r="P571" t="str">
            <v>SP</v>
          </cell>
          <cell r="Q571" t="str">
            <v>SSP</v>
          </cell>
          <cell r="R571" t="str">
            <v>SANTOS</v>
          </cell>
        </row>
        <row r="572">
          <cell r="A572" t="str">
            <v>GABRIEL WILSON MENDES DOS SANTOS</v>
          </cell>
          <cell r="B572" t="str">
            <v>Divorciado</v>
          </cell>
          <cell r="C572" t="str">
            <v>R Palmeira dos Índios</v>
          </cell>
          <cell r="D572" t="str">
            <v>Catiapoa</v>
          </cell>
          <cell r="E572" t="str">
            <v>SAO VICENTE</v>
          </cell>
          <cell r="F572" t="str">
            <v>SP</v>
          </cell>
          <cell r="G572" t="str">
            <v>251</v>
          </cell>
          <cell r="H572" t="str">
            <v>FRENTE</v>
          </cell>
          <cell r="I572" t="str">
            <v>11370-640</v>
          </cell>
          <cell r="J572" t="str">
            <v/>
          </cell>
          <cell r="K572" t="str">
            <v/>
          </cell>
          <cell r="L572" t="str">
            <v>Masculino</v>
          </cell>
          <cell r="M572" t="str">
            <v>Parda</v>
          </cell>
          <cell r="N572">
            <v>29951</v>
          </cell>
          <cell r="O572" t="str">
            <v>349601562</v>
          </cell>
          <cell r="P572" t="str">
            <v>SP</v>
          </cell>
          <cell r="Q572" t="str">
            <v>SSP</v>
          </cell>
          <cell r="R572" t="str">
            <v>SANTOS</v>
          </cell>
        </row>
        <row r="573">
          <cell r="A573" t="str">
            <v>RICARDO SANTOS DA SILVA PINTO</v>
          </cell>
          <cell r="B573" t="str">
            <v>Casado</v>
          </cell>
          <cell r="C573" t="str">
            <v>R José Gomes dos Santos Neto</v>
          </cell>
          <cell r="D573" t="str">
            <v>Macuco</v>
          </cell>
          <cell r="E573" t="str">
            <v>SANTOS</v>
          </cell>
          <cell r="F573" t="str">
            <v>SP</v>
          </cell>
          <cell r="G573" t="str">
            <v>1</v>
          </cell>
          <cell r="H573" t="str">
            <v>CASA</v>
          </cell>
          <cell r="I573" t="str">
            <v>11020-270</v>
          </cell>
          <cell r="J573" t="str">
            <v/>
          </cell>
          <cell r="K573" t="str">
            <v/>
          </cell>
          <cell r="L573" t="str">
            <v>Masculino</v>
          </cell>
          <cell r="M573" t="str">
            <v>Parda</v>
          </cell>
          <cell r="N573">
            <v>27660</v>
          </cell>
          <cell r="O573" t="str">
            <v>284472645</v>
          </cell>
          <cell r="P573" t="str">
            <v>SP</v>
          </cell>
          <cell r="Q573" t="str">
            <v>SSP</v>
          </cell>
          <cell r="R573" t="str">
            <v>SANTOS</v>
          </cell>
        </row>
        <row r="574">
          <cell r="A574" t="str">
            <v>PHELIPE PINHEIRO DA SILVA COSTA</v>
          </cell>
          <cell r="B574" t="str">
            <v>Casado</v>
          </cell>
          <cell r="C574" t="str">
            <v>R Professor Antônio Pedro de Jesus</v>
          </cell>
          <cell r="D574" t="str">
            <v>Esplanada dos Barreiros</v>
          </cell>
          <cell r="E574" t="str">
            <v>SAO VICENTE</v>
          </cell>
          <cell r="F574" t="str">
            <v>SP</v>
          </cell>
          <cell r="G574" t="str">
            <v>142</v>
          </cell>
          <cell r="H574" t="str">
            <v>Apto 14</v>
          </cell>
          <cell r="I574" t="str">
            <v>11340-230</v>
          </cell>
          <cell r="J574" t="str">
            <v>974051798</v>
          </cell>
          <cell r="K574" t="str">
            <v/>
          </cell>
          <cell r="L574" t="str">
            <v>Masculino</v>
          </cell>
          <cell r="M574" t="str">
            <v>Parda</v>
          </cell>
          <cell r="N574">
            <v>32611</v>
          </cell>
          <cell r="O574" t="str">
            <v>449184148</v>
          </cell>
          <cell r="P574" t="str">
            <v>SP</v>
          </cell>
          <cell r="Q574" t="str">
            <v>SSP</v>
          </cell>
          <cell r="R574" t="str">
            <v>SAO VICENTE</v>
          </cell>
        </row>
        <row r="575">
          <cell r="A575" t="str">
            <v>EMERSON SANTOS GOMES</v>
          </cell>
          <cell r="B575" t="str">
            <v>Casado</v>
          </cell>
          <cell r="C575" t="str">
            <v>MRO Monsenhor Moreira</v>
          </cell>
          <cell r="D575" t="str">
            <v>Morro Monte Serrat</v>
          </cell>
          <cell r="E575" t="str">
            <v>SANTOS</v>
          </cell>
          <cell r="F575" t="str">
            <v>SP</v>
          </cell>
          <cell r="G575" t="str">
            <v>2389</v>
          </cell>
          <cell r="H575" t="str">
            <v>Casa</v>
          </cell>
          <cell r="I575" t="str">
            <v>11013-760</v>
          </cell>
          <cell r="J575" t="str">
            <v>988812721</v>
          </cell>
          <cell r="K575" t="str">
            <v/>
          </cell>
          <cell r="L575" t="str">
            <v>Masculino</v>
          </cell>
          <cell r="M575" t="str">
            <v>Parda</v>
          </cell>
          <cell r="N575">
            <v>31618</v>
          </cell>
          <cell r="O575" t="str">
            <v>406869807</v>
          </cell>
          <cell r="P575" t="str">
            <v>SP</v>
          </cell>
          <cell r="Q575" t="str">
            <v>SSP</v>
          </cell>
          <cell r="R575" t="str">
            <v>SANTOS</v>
          </cell>
        </row>
        <row r="576">
          <cell r="A576" t="str">
            <v>CARLOS HENRIQUE ANGELO ALVES</v>
          </cell>
          <cell r="B576" t="str">
            <v>Solteiro</v>
          </cell>
          <cell r="C576" t="str">
            <v>R Xixová</v>
          </cell>
          <cell r="D576" t="str">
            <v>Canto do Forte</v>
          </cell>
          <cell r="E576" t="str">
            <v>PRAIA GRANDE</v>
          </cell>
          <cell r="F576" t="str">
            <v>SP</v>
          </cell>
          <cell r="G576" t="str">
            <v>200</v>
          </cell>
          <cell r="H576" t="str">
            <v>Ap. 148</v>
          </cell>
          <cell r="I576" t="str">
            <v>11700-430</v>
          </cell>
          <cell r="J576" t="str">
            <v>991390561</v>
          </cell>
          <cell r="K576" t="str">
            <v/>
          </cell>
          <cell r="L576" t="str">
            <v>Masculino</v>
          </cell>
          <cell r="M576" t="str">
            <v>Parda</v>
          </cell>
          <cell r="N576">
            <v>30173</v>
          </cell>
          <cell r="O576" t="str">
            <v>330870993</v>
          </cell>
          <cell r="P576" t="str">
            <v>SP</v>
          </cell>
          <cell r="Q576" t="str">
            <v>SSP</v>
          </cell>
          <cell r="R576" t="str">
            <v>SANTOS</v>
          </cell>
        </row>
        <row r="577">
          <cell r="A577" t="str">
            <v>IVAMBERTO MARINHO DA SILVA</v>
          </cell>
          <cell r="B577" t="str">
            <v>Viúvo</v>
          </cell>
          <cell r="C577" t="str">
            <v>R Indalício de Souza Tavares</v>
          </cell>
          <cell r="D577" t="str">
            <v>Jardim Rio Negro</v>
          </cell>
          <cell r="E577" t="str">
            <v>SAO VICENTE</v>
          </cell>
          <cell r="F577" t="str">
            <v>SP</v>
          </cell>
          <cell r="G577" t="str">
            <v>261</v>
          </cell>
          <cell r="H577" t="str">
            <v>Casa</v>
          </cell>
          <cell r="I577" t="str">
            <v>11347-449</v>
          </cell>
          <cell r="J577" t="str">
            <v>974074238</v>
          </cell>
          <cell r="K577" t="str">
            <v/>
          </cell>
          <cell r="L577" t="str">
            <v>Masculino</v>
          </cell>
          <cell r="M577" t="str">
            <v>Branca</v>
          </cell>
          <cell r="N577">
            <v>27580</v>
          </cell>
          <cell r="O577" t="str">
            <v>25816184</v>
          </cell>
          <cell r="P577" t="str">
            <v>SP</v>
          </cell>
          <cell r="Q577" t="str">
            <v>SSP</v>
          </cell>
          <cell r="R577" t="str">
            <v>CABEDELO</v>
          </cell>
        </row>
        <row r="578">
          <cell r="A578" t="str">
            <v>ALEX JESUS DE ALMEIDA</v>
          </cell>
          <cell r="B578" t="str">
            <v>Solteiro</v>
          </cell>
          <cell r="C578" t="str">
            <v>AV Almeida Junior</v>
          </cell>
          <cell r="D578" t="str">
            <v>Parque das Américas</v>
          </cell>
          <cell r="E578" t="str">
            <v>PRAIA GRANDE</v>
          </cell>
          <cell r="F578" t="str">
            <v>SP</v>
          </cell>
          <cell r="G578" t="str">
            <v>1040</v>
          </cell>
          <cell r="H578" t="str">
            <v>Casa 4</v>
          </cell>
          <cell r="I578" t="str">
            <v>11713-050</v>
          </cell>
          <cell r="J578" t="str">
            <v/>
          </cell>
          <cell r="K578" t="str">
            <v/>
          </cell>
          <cell r="L578" t="str">
            <v>Masculino</v>
          </cell>
          <cell r="M578" t="str">
            <v>Parda</v>
          </cell>
          <cell r="N578">
            <v>34996</v>
          </cell>
          <cell r="O578" t="str">
            <v>444035424</v>
          </cell>
          <cell r="P578" t="str">
            <v>SP</v>
          </cell>
          <cell r="Q578" t="str">
            <v>SSP</v>
          </cell>
          <cell r="R578" t="str">
            <v>JACOBINA</v>
          </cell>
        </row>
        <row r="579">
          <cell r="A579" t="str">
            <v>FABIO GASPAR</v>
          </cell>
          <cell r="B579" t="str">
            <v>Casado</v>
          </cell>
          <cell r="C579" t="str">
            <v>AV Mota Lima</v>
          </cell>
          <cell r="D579" t="str">
            <v>Vila Cascatinha</v>
          </cell>
          <cell r="E579" t="str">
            <v>SAO VICENTE</v>
          </cell>
          <cell r="F579" t="str">
            <v>SP</v>
          </cell>
          <cell r="G579" t="str">
            <v>496</v>
          </cell>
          <cell r="H579" t="str">
            <v>Casa 02</v>
          </cell>
          <cell r="I579" t="str">
            <v>11370-100</v>
          </cell>
          <cell r="J579" t="str">
            <v/>
          </cell>
          <cell r="K579" t="str">
            <v/>
          </cell>
          <cell r="L579" t="str">
            <v>Masculino</v>
          </cell>
          <cell r="M579" t="str">
            <v>Parda</v>
          </cell>
          <cell r="N579">
            <v>29071</v>
          </cell>
          <cell r="O579" t="str">
            <v>30347221</v>
          </cell>
          <cell r="P579" t="str">
            <v>SP</v>
          </cell>
          <cell r="Q579" t="str">
            <v>SSP</v>
          </cell>
          <cell r="R579" t="str">
            <v>SAO VICENTE</v>
          </cell>
        </row>
        <row r="580">
          <cell r="A580" t="str">
            <v>MICHEL MENDES DA SILVA</v>
          </cell>
          <cell r="B580" t="str">
            <v>Casado</v>
          </cell>
          <cell r="C580" t="str">
            <v>R João de Barros</v>
          </cell>
          <cell r="D580" t="str">
            <v>Estuário</v>
          </cell>
          <cell r="E580" t="str">
            <v>SANTOS</v>
          </cell>
          <cell r="F580" t="str">
            <v>SP</v>
          </cell>
          <cell r="G580" t="str">
            <v>86</v>
          </cell>
          <cell r="H580" t="str">
            <v>Ap33</v>
          </cell>
          <cell r="I580" t="str">
            <v>11025-260</v>
          </cell>
          <cell r="J580" t="str">
            <v>997551979</v>
          </cell>
          <cell r="K580" t="str">
            <v/>
          </cell>
          <cell r="L580" t="str">
            <v>Masculino</v>
          </cell>
          <cell r="M580" t="str">
            <v>Branca</v>
          </cell>
          <cell r="N580">
            <v>29077</v>
          </cell>
          <cell r="O580" t="str">
            <v>289205487</v>
          </cell>
          <cell r="P580" t="str">
            <v>SP</v>
          </cell>
          <cell r="Q580" t="str">
            <v>SSP</v>
          </cell>
          <cell r="R580" t="str">
            <v>SANTOS</v>
          </cell>
        </row>
        <row r="581">
          <cell r="A581" t="str">
            <v>JOAO PAULO SAO FELIX SANCHEZ</v>
          </cell>
          <cell r="B581" t="str">
            <v>Solteiro</v>
          </cell>
          <cell r="C581" t="str">
            <v>R Professor Francisco De Domênico</v>
          </cell>
          <cell r="D581" t="str">
            <v>Rádio Clube</v>
          </cell>
          <cell r="E581" t="str">
            <v>SANTOS</v>
          </cell>
          <cell r="F581" t="str">
            <v>SP</v>
          </cell>
          <cell r="G581" t="str">
            <v>1201</v>
          </cell>
          <cell r="H581" t="str">
            <v>Bloco 11 AP 14</v>
          </cell>
          <cell r="I581" t="str">
            <v>11086-001</v>
          </cell>
          <cell r="J581" t="str">
            <v>981287310</v>
          </cell>
          <cell r="K581" t="str">
            <v/>
          </cell>
          <cell r="L581" t="str">
            <v>Masculino</v>
          </cell>
          <cell r="M581" t="str">
            <v>Parda</v>
          </cell>
          <cell r="N581">
            <v>35443</v>
          </cell>
          <cell r="O581" t="str">
            <v>382642557</v>
          </cell>
          <cell r="P581" t="str">
            <v>SP</v>
          </cell>
          <cell r="Q581" t="str">
            <v>SSP</v>
          </cell>
          <cell r="R581" t="str">
            <v>SAO PAULO</v>
          </cell>
        </row>
        <row r="582">
          <cell r="A582" t="str">
            <v>EUDES SIMAO SATIRO</v>
          </cell>
          <cell r="B582" t="str">
            <v>Solteiro</v>
          </cell>
          <cell r="C582" t="str">
            <v>AV ANTENOR PIMENTEL</v>
          </cell>
          <cell r="D582" t="str">
            <v>Morrinhos</v>
          </cell>
          <cell r="E582" t="str">
            <v>GUARUJA</v>
          </cell>
          <cell r="F582" t="str">
            <v>SP</v>
          </cell>
          <cell r="G582" t="str">
            <v>842</v>
          </cell>
          <cell r="H582" t="str">
            <v>APARTAMENTO B18-24</v>
          </cell>
          <cell r="I582" t="str">
            <v>11495-000</v>
          </cell>
          <cell r="J582" t="str">
            <v>974053507</v>
          </cell>
          <cell r="K582" t="str">
            <v/>
          </cell>
          <cell r="L582" t="str">
            <v>Masculino</v>
          </cell>
          <cell r="M582" t="str">
            <v>Parda</v>
          </cell>
          <cell r="N582">
            <v>30053</v>
          </cell>
          <cell r="O582" t="str">
            <v>430801713</v>
          </cell>
          <cell r="P582" t="str">
            <v>SP</v>
          </cell>
          <cell r="Q582" t="str">
            <v>SSP</v>
          </cell>
          <cell r="R582" t="str">
            <v>GUARUJA</v>
          </cell>
        </row>
        <row r="583">
          <cell r="A583" t="str">
            <v>MOACIR FIGUEIREDO DA SILVA</v>
          </cell>
          <cell r="B583" t="str">
            <v>Casado</v>
          </cell>
          <cell r="C583" t="str">
            <v>R VALDOMIRO MACARIO</v>
          </cell>
          <cell r="D583" t="str">
            <v>Jardim Conceiçãozinh</v>
          </cell>
          <cell r="E583" t="str">
            <v>GUARUJA</v>
          </cell>
          <cell r="F583" t="str">
            <v>SP</v>
          </cell>
          <cell r="G583" t="str">
            <v>185</v>
          </cell>
          <cell r="H583" t="str">
            <v>APTO 33</v>
          </cell>
          <cell r="I583" t="str">
            <v>11472-100</v>
          </cell>
          <cell r="J583" t="str">
            <v>981524765</v>
          </cell>
          <cell r="K583" t="str">
            <v>981662686</v>
          </cell>
          <cell r="L583" t="str">
            <v>Masculino</v>
          </cell>
          <cell r="M583" t="str">
            <v>Parda</v>
          </cell>
          <cell r="N583">
            <v>22800</v>
          </cell>
          <cell r="O583" t="str">
            <v>136218866</v>
          </cell>
          <cell r="P583" t="str">
            <v>SP</v>
          </cell>
          <cell r="Q583" t="str">
            <v>SSP</v>
          </cell>
          <cell r="R583" t="str">
            <v>GUARUJA</v>
          </cell>
        </row>
        <row r="584">
          <cell r="A584" t="str">
            <v>JAIRO RODRIGUES GATTO JUNIOR</v>
          </cell>
          <cell r="B584" t="str">
            <v>União Estável</v>
          </cell>
          <cell r="C584" t="str">
            <v>R Godofredo Fraga</v>
          </cell>
          <cell r="D584" t="str">
            <v>Marapé</v>
          </cell>
          <cell r="E584" t="str">
            <v>SANTOS</v>
          </cell>
          <cell r="F584" t="str">
            <v>SP</v>
          </cell>
          <cell r="G584" t="str">
            <v>10</v>
          </cell>
          <cell r="H584" t="str">
            <v>Apto 58 bloco Dalia</v>
          </cell>
          <cell r="I584" t="str">
            <v>11070-400</v>
          </cell>
          <cell r="J584" t="str">
            <v>997628458</v>
          </cell>
          <cell r="K584" t="str">
            <v/>
          </cell>
          <cell r="L584" t="str">
            <v>Masculino</v>
          </cell>
          <cell r="M584" t="str">
            <v>Parda</v>
          </cell>
          <cell r="N584">
            <v>29676</v>
          </cell>
          <cell r="O584" t="str">
            <v>296084992</v>
          </cell>
          <cell r="P584" t="str">
            <v>SP</v>
          </cell>
          <cell r="Q584" t="str">
            <v>SSP</v>
          </cell>
          <cell r="R584" t="str">
            <v>SANTOS</v>
          </cell>
        </row>
        <row r="585">
          <cell r="A585" t="str">
            <v>ROSIVALDO ALVES DA SILVA</v>
          </cell>
          <cell r="B585" t="str">
            <v>Solteiro</v>
          </cell>
          <cell r="C585" t="str">
            <v>R João Carlos da Silva</v>
          </cell>
          <cell r="D585" t="str">
            <v>São Manoel</v>
          </cell>
          <cell r="E585" t="str">
            <v>SANTOS</v>
          </cell>
          <cell r="F585" t="str">
            <v>SP</v>
          </cell>
          <cell r="G585" t="str">
            <v>2</v>
          </cell>
          <cell r="H585" t="str">
            <v/>
          </cell>
          <cell r="I585" t="str">
            <v>11095-130</v>
          </cell>
          <cell r="J585" t="str">
            <v>32998113</v>
          </cell>
          <cell r="K585" t="str">
            <v/>
          </cell>
          <cell r="L585" t="str">
            <v>Masculino</v>
          </cell>
          <cell r="M585" t="str">
            <v>Parda</v>
          </cell>
          <cell r="N585">
            <v>27085</v>
          </cell>
          <cell r="O585" t="str">
            <v>245729045</v>
          </cell>
          <cell r="P585" t="str">
            <v>SP</v>
          </cell>
          <cell r="Q585" t="str">
            <v>SSP</v>
          </cell>
          <cell r="R585" t="str">
            <v>CUBATAO</v>
          </cell>
        </row>
        <row r="586">
          <cell r="A586" t="str">
            <v>ANGELO APARECIDO FERNANDES</v>
          </cell>
          <cell r="B586" t="str">
            <v>Casado</v>
          </cell>
          <cell r="C586" t="str">
            <v>R Jurema</v>
          </cell>
          <cell r="D586" t="str">
            <v>Sítio Paecara (Vicen</v>
          </cell>
          <cell r="E586" t="str">
            <v>GUARUJA</v>
          </cell>
          <cell r="F586" t="str">
            <v>SP</v>
          </cell>
          <cell r="G586" t="str">
            <v>88</v>
          </cell>
          <cell r="H586" t="str">
            <v/>
          </cell>
          <cell r="I586" t="str">
            <v>11450-500</v>
          </cell>
          <cell r="J586" t="str">
            <v/>
          </cell>
          <cell r="K586" t="str">
            <v/>
          </cell>
          <cell r="L586" t="str">
            <v>Masculino</v>
          </cell>
          <cell r="M586" t="str">
            <v>Parda</v>
          </cell>
          <cell r="N586">
            <v>28646</v>
          </cell>
          <cell r="O586" t="str">
            <v>295311137</v>
          </cell>
          <cell r="P586" t="str">
            <v>SP</v>
          </cell>
          <cell r="Q586" t="str">
            <v>SSP</v>
          </cell>
          <cell r="R586" t="str">
            <v>GUARUJA</v>
          </cell>
        </row>
        <row r="587">
          <cell r="A587" t="str">
            <v>LUIZ FERNANDO OLIVEIRA FERRAZ</v>
          </cell>
          <cell r="B587" t="str">
            <v>Divorciado</v>
          </cell>
          <cell r="C587" t="str">
            <v>AV Engenheiro Manoel Ferramenta Júnior</v>
          </cell>
          <cell r="D587" t="str">
            <v>Areia Branca</v>
          </cell>
          <cell r="E587" t="str">
            <v>SANTOS</v>
          </cell>
          <cell r="F587" t="str">
            <v>SP</v>
          </cell>
          <cell r="G587" t="str">
            <v>505</v>
          </cell>
          <cell r="H587" t="str">
            <v>BLOCO D AP 24</v>
          </cell>
          <cell r="I587" t="str">
            <v>11086-400</v>
          </cell>
          <cell r="J587" t="str">
            <v>991664435</v>
          </cell>
          <cell r="K587" t="str">
            <v/>
          </cell>
          <cell r="L587" t="str">
            <v>Masculino</v>
          </cell>
          <cell r="M587" t="str">
            <v>Parda</v>
          </cell>
          <cell r="N587">
            <v>27267</v>
          </cell>
          <cell r="O587" t="str">
            <v>226797120</v>
          </cell>
          <cell r="P587" t="str">
            <v>SP</v>
          </cell>
          <cell r="Q587" t="str">
            <v>SSP</v>
          </cell>
          <cell r="R587" t="str">
            <v>SANTOS</v>
          </cell>
        </row>
        <row r="588">
          <cell r="A588" t="str">
            <v>MAXIMILIANO DE BRITO DA SILVA</v>
          </cell>
          <cell r="B588" t="str">
            <v>Casado</v>
          </cell>
          <cell r="C588" t="str">
            <v>R Luiz Gama</v>
          </cell>
          <cell r="D588" t="str">
            <v>Macuco</v>
          </cell>
          <cell r="E588" t="str">
            <v>SANTOS</v>
          </cell>
          <cell r="F588" t="str">
            <v>SP</v>
          </cell>
          <cell r="G588" t="str">
            <v>145</v>
          </cell>
          <cell r="H588" t="str">
            <v>AP 14</v>
          </cell>
          <cell r="I588" t="str">
            <v>11015-151</v>
          </cell>
          <cell r="J588" t="str">
            <v>991052765</v>
          </cell>
          <cell r="K588" t="str">
            <v>33070035</v>
          </cell>
          <cell r="L588" t="str">
            <v>Masculino</v>
          </cell>
          <cell r="M588" t="str">
            <v>Parda</v>
          </cell>
          <cell r="N588">
            <v>27015</v>
          </cell>
          <cell r="O588" t="str">
            <v>272135379</v>
          </cell>
          <cell r="P588" t="str">
            <v>SP</v>
          </cell>
          <cell r="Q588" t="str">
            <v>SSP</v>
          </cell>
          <cell r="R588" t="str">
            <v>SANTOS</v>
          </cell>
        </row>
        <row r="589">
          <cell r="A589" t="str">
            <v>LEONARDO DE MORAIS PINHEIRO</v>
          </cell>
          <cell r="B589" t="str">
            <v>Casado</v>
          </cell>
          <cell r="C589" t="str">
            <v>R Álvaro Parente</v>
          </cell>
          <cell r="D589" t="str">
            <v>Parque Estuário (Vic</v>
          </cell>
          <cell r="E589" t="str">
            <v>GUARUJA</v>
          </cell>
          <cell r="F589" t="str">
            <v>SP</v>
          </cell>
          <cell r="G589" t="str">
            <v>830</v>
          </cell>
          <cell r="H589" t="str">
            <v/>
          </cell>
          <cell r="I589" t="str">
            <v>11451-020</v>
          </cell>
          <cell r="J589" t="str">
            <v>988395329</v>
          </cell>
          <cell r="K589" t="str">
            <v/>
          </cell>
          <cell r="L589" t="str">
            <v>Masculino</v>
          </cell>
          <cell r="M589" t="str">
            <v>Parda</v>
          </cell>
          <cell r="N589">
            <v>30415</v>
          </cell>
          <cell r="O589" t="str">
            <v>407243793</v>
          </cell>
          <cell r="P589" t="str">
            <v>SP</v>
          </cell>
          <cell r="Q589" t="str">
            <v>SSP</v>
          </cell>
          <cell r="R589" t="str">
            <v>GUARUJA</v>
          </cell>
        </row>
        <row r="590">
          <cell r="A590" t="str">
            <v>ANTONIO CARLOS JORGE JUNIOR</v>
          </cell>
          <cell r="B590" t="str">
            <v>Casado</v>
          </cell>
          <cell r="C590" t="str">
            <v>R Jurubatuba</v>
          </cell>
          <cell r="D590" t="str">
            <v>Aparecida</v>
          </cell>
          <cell r="E590" t="str">
            <v>SANTOS</v>
          </cell>
          <cell r="F590" t="str">
            <v>SP</v>
          </cell>
          <cell r="G590" t="str">
            <v>27</v>
          </cell>
          <cell r="H590" t="str">
            <v>AP 103- PORTA 2</v>
          </cell>
          <cell r="I590" t="str">
            <v>11035-101</v>
          </cell>
          <cell r="J590" t="str">
            <v>985992244</v>
          </cell>
          <cell r="K590" t="str">
            <v/>
          </cell>
          <cell r="L590" t="str">
            <v>Masculino</v>
          </cell>
          <cell r="M590" t="str">
            <v>Parda</v>
          </cell>
          <cell r="N590">
            <v>28777</v>
          </cell>
          <cell r="O590" t="str">
            <v>267551150</v>
          </cell>
          <cell r="P590" t="str">
            <v>SP</v>
          </cell>
          <cell r="Q590" t="str">
            <v>SSP</v>
          </cell>
          <cell r="R590" t="str">
            <v>SANTOS</v>
          </cell>
        </row>
        <row r="591">
          <cell r="A591" t="str">
            <v>LEANDRO SOUZA OLIVEIRA</v>
          </cell>
          <cell r="B591" t="str">
            <v>Solteiro</v>
          </cell>
          <cell r="C591" t="str">
            <v>R Benedito Ernesto Guimarães</v>
          </cell>
          <cell r="D591" t="str">
            <v>Marapé</v>
          </cell>
          <cell r="E591" t="str">
            <v>SANTOS</v>
          </cell>
          <cell r="F591" t="str">
            <v>SP</v>
          </cell>
          <cell r="G591" t="str">
            <v>27</v>
          </cell>
          <cell r="H591" t="str">
            <v>APTO 25</v>
          </cell>
          <cell r="I591" t="str">
            <v>11070-020</v>
          </cell>
          <cell r="J591" t="str">
            <v>33851013</v>
          </cell>
          <cell r="K591" t="str">
            <v/>
          </cell>
          <cell r="L591" t="str">
            <v>Masculino</v>
          </cell>
          <cell r="M591" t="str">
            <v>Parda</v>
          </cell>
          <cell r="N591">
            <v>28654</v>
          </cell>
          <cell r="O591" t="str">
            <v>330842687</v>
          </cell>
          <cell r="P591" t="str">
            <v>SP</v>
          </cell>
          <cell r="Q591" t="str">
            <v>SSP</v>
          </cell>
          <cell r="R591" t="str">
            <v>SANTOS</v>
          </cell>
        </row>
        <row r="592">
          <cell r="A592" t="str">
            <v>FLAVIO VICENTE FERREIRA</v>
          </cell>
          <cell r="B592" t="str">
            <v>Casado</v>
          </cell>
          <cell r="C592" t="str">
            <v>R Luiz Marques Gaspar</v>
          </cell>
          <cell r="D592" t="str">
            <v>Aparecida</v>
          </cell>
          <cell r="E592" t="str">
            <v>SANTOS</v>
          </cell>
          <cell r="F592" t="str">
            <v>SP</v>
          </cell>
          <cell r="G592" t="str">
            <v>23</v>
          </cell>
          <cell r="H592" t="str">
            <v>AP 405</v>
          </cell>
          <cell r="I592" t="str">
            <v>11040-040</v>
          </cell>
          <cell r="J592" t="str">
            <v>991220085</v>
          </cell>
          <cell r="K592" t="str">
            <v/>
          </cell>
          <cell r="L592" t="str">
            <v>Masculino</v>
          </cell>
          <cell r="M592" t="str">
            <v>Preta/Negra</v>
          </cell>
          <cell r="N592">
            <v>26330</v>
          </cell>
          <cell r="O592" t="str">
            <v>233193716</v>
          </cell>
          <cell r="P592" t="str">
            <v>SP</v>
          </cell>
          <cell r="Q592" t="str">
            <v>SSP</v>
          </cell>
          <cell r="R592" t="str">
            <v>SANTOS</v>
          </cell>
        </row>
        <row r="593">
          <cell r="A593" t="str">
            <v>ADRIANO MARTINS RODRIGUES</v>
          </cell>
          <cell r="B593" t="str">
            <v>Casado</v>
          </cell>
          <cell r="C593" t="str">
            <v>R Espírito Santo</v>
          </cell>
          <cell r="D593" t="str">
            <v>Campo Grande</v>
          </cell>
          <cell r="E593" t="str">
            <v>SANTOS</v>
          </cell>
          <cell r="F593" t="str">
            <v>SP</v>
          </cell>
          <cell r="G593" t="str">
            <v>80</v>
          </cell>
          <cell r="H593" t="str">
            <v>AP 143</v>
          </cell>
          <cell r="I593" t="str">
            <v>11075-390</v>
          </cell>
          <cell r="J593" t="str">
            <v/>
          </cell>
          <cell r="K593" t="str">
            <v>32222835</v>
          </cell>
          <cell r="L593" t="str">
            <v>Masculino</v>
          </cell>
          <cell r="M593" t="str">
            <v>Parda</v>
          </cell>
          <cell r="N593">
            <v>26472</v>
          </cell>
          <cell r="O593" t="str">
            <v>197578706</v>
          </cell>
          <cell r="P593" t="str">
            <v>SP</v>
          </cell>
          <cell r="Q593" t="str">
            <v>SSP</v>
          </cell>
          <cell r="R593" t="str">
            <v>SANTOS</v>
          </cell>
        </row>
        <row r="594">
          <cell r="A594" t="str">
            <v>ANDRE SANTOS DA SILVA</v>
          </cell>
          <cell r="B594" t="str">
            <v>Casado</v>
          </cell>
          <cell r="C594" t="str">
            <v>R Vereador Sônio Célio (Rubens Lara)</v>
          </cell>
          <cell r="D594" t="str">
            <v>Parque São Luis</v>
          </cell>
          <cell r="E594" t="str">
            <v>CUBATAO</v>
          </cell>
          <cell r="F594" t="str">
            <v>SP</v>
          </cell>
          <cell r="G594" t="str">
            <v>193</v>
          </cell>
          <cell r="H594" t="str">
            <v>Bl. 01 Apto 42</v>
          </cell>
          <cell r="I594" t="str">
            <v>11533-550</v>
          </cell>
          <cell r="J594" t="str">
            <v>997015416</v>
          </cell>
          <cell r="K594" t="str">
            <v/>
          </cell>
          <cell r="L594" t="str">
            <v>Masculino</v>
          </cell>
          <cell r="M594" t="str">
            <v>Parda</v>
          </cell>
          <cell r="N594">
            <v>29907</v>
          </cell>
          <cell r="O594" t="str">
            <v>433907356</v>
          </cell>
          <cell r="P594" t="str">
            <v>SP</v>
          </cell>
          <cell r="Q594" t="str">
            <v>SSP</v>
          </cell>
          <cell r="R594" t="str">
            <v>CUBATAO</v>
          </cell>
        </row>
        <row r="595">
          <cell r="A595" t="str">
            <v>IRANILDO SANTANA PAIVA GALDINO</v>
          </cell>
          <cell r="B595" t="str">
            <v>Casado</v>
          </cell>
          <cell r="C595" t="str">
            <v>AV PEDRO TAQUES</v>
          </cell>
          <cell r="D595" t="str">
            <v>Ribeirópolis</v>
          </cell>
          <cell r="E595" t="str">
            <v>PRAIA GRANDE</v>
          </cell>
          <cell r="F595" t="str">
            <v>SP</v>
          </cell>
          <cell r="G595" t="str">
            <v>823</v>
          </cell>
          <cell r="H595" t="str">
            <v/>
          </cell>
          <cell r="I595" t="str">
            <v>11714-430</v>
          </cell>
          <cell r="J595" t="str">
            <v>996151273</v>
          </cell>
          <cell r="K595" t="str">
            <v>996151273</v>
          </cell>
          <cell r="L595" t="str">
            <v>Masculino</v>
          </cell>
          <cell r="M595" t="str">
            <v>Parda</v>
          </cell>
          <cell r="N595">
            <v>30309</v>
          </cell>
          <cell r="O595" t="str">
            <v>424395587</v>
          </cell>
          <cell r="P595" t="str">
            <v>SP</v>
          </cell>
          <cell r="Q595" t="str">
            <v>SSP</v>
          </cell>
          <cell r="R595" t="str">
            <v>SANTOS</v>
          </cell>
        </row>
        <row r="596">
          <cell r="A596" t="str">
            <v>RICHARD ANDRADE DE OLIVEIRA</v>
          </cell>
          <cell r="B596" t="str">
            <v>Casado</v>
          </cell>
          <cell r="C596" t="str">
            <v>R Cuiabá</v>
          </cell>
          <cell r="D596" t="str">
            <v>Vila Nossa Senhora d</v>
          </cell>
          <cell r="E596" t="str">
            <v>SAO VICENTE</v>
          </cell>
          <cell r="F596" t="str">
            <v>SP</v>
          </cell>
          <cell r="G596" t="str">
            <v>969</v>
          </cell>
          <cell r="H596" t="str">
            <v/>
          </cell>
          <cell r="I596" t="str">
            <v>11355-250</v>
          </cell>
          <cell r="J596" t="str">
            <v/>
          </cell>
          <cell r="K596" t="str">
            <v/>
          </cell>
          <cell r="L596" t="str">
            <v>Masculino</v>
          </cell>
          <cell r="M596" t="str">
            <v>Parda</v>
          </cell>
          <cell r="N596">
            <v>35137</v>
          </cell>
          <cell r="O596" t="str">
            <v>4100468236</v>
          </cell>
          <cell r="P596" t="str">
            <v>SP</v>
          </cell>
          <cell r="Q596" t="str">
            <v>SSP</v>
          </cell>
          <cell r="R596" t="str">
            <v>SANTOS</v>
          </cell>
        </row>
        <row r="597">
          <cell r="A597" t="str">
            <v>DANIEL PAULA PEREIRA</v>
          </cell>
          <cell r="B597" t="str">
            <v>Casado</v>
          </cell>
          <cell r="C597" t="str">
            <v>R Vinte e Três de Maio</v>
          </cell>
          <cell r="D597" t="str">
            <v>Mirim</v>
          </cell>
          <cell r="E597" t="str">
            <v>PRAIA GRANDE</v>
          </cell>
          <cell r="F597" t="str">
            <v>SP</v>
          </cell>
          <cell r="G597" t="str">
            <v>410</v>
          </cell>
          <cell r="H597" t="str">
            <v>apto 14</v>
          </cell>
          <cell r="I597" t="str">
            <v>11704-690</v>
          </cell>
          <cell r="J597" t="str">
            <v>974106176</v>
          </cell>
          <cell r="K597" t="str">
            <v/>
          </cell>
          <cell r="L597" t="str">
            <v>Masculino</v>
          </cell>
          <cell r="M597" t="str">
            <v>Parda</v>
          </cell>
          <cell r="N597">
            <v>28215</v>
          </cell>
          <cell r="O597" t="str">
            <v>278434186</v>
          </cell>
          <cell r="P597" t="str">
            <v>SP</v>
          </cell>
          <cell r="Q597" t="str">
            <v>SSP</v>
          </cell>
          <cell r="R597" t="str">
            <v>SANTOS</v>
          </cell>
        </row>
        <row r="598">
          <cell r="A598" t="str">
            <v>LUCIANO DIONISIO DE JESUS</v>
          </cell>
          <cell r="B598" t="str">
            <v>Casado</v>
          </cell>
          <cell r="C598" t="str">
            <v>R Valdomiro Macário</v>
          </cell>
          <cell r="D598" t="str">
            <v>Jardim Conceiçãozinh</v>
          </cell>
          <cell r="E598" t="str">
            <v>GUARUJA</v>
          </cell>
          <cell r="F598" t="str">
            <v>SP</v>
          </cell>
          <cell r="G598" t="str">
            <v>351</v>
          </cell>
          <cell r="H598" t="str">
            <v>APTO 32 B</v>
          </cell>
          <cell r="I598" t="str">
            <v>11472-100</v>
          </cell>
          <cell r="J598" t="str">
            <v>988028481</v>
          </cell>
          <cell r="K598" t="str">
            <v/>
          </cell>
          <cell r="L598" t="str">
            <v>Masculino</v>
          </cell>
          <cell r="M598" t="str">
            <v>Parda</v>
          </cell>
          <cell r="N598">
            <v>26058</v>
          </cell>
          <cell r="O598" t="str">
            <v>22549131X</v>
          </cell>
          <cell r="P598" t="str">
            <v>SP</v>
          </cell>
          <cell r="Q598" t="str">
            <v>SSP</v>
          </cell>
          <cell r="R598" t="str">
            <v>GUARUJA</v>
          </cell>
        </row>
        <row r="599">
          <cell r="A599" t="str">
            <v>GUILHERME DE ALMEIDA SILVA</v>
          </cell>
          <cell r="B599" t="str">
            <v>Casado</v>
          </cell>
          <cell r="C599" t="str">
            <v>R Doutor Guilherme Guinle</v>
          </cell>
          <cell r="D599" t="str">
            <v>Sítio Paecara (Vicen</v>
          </cell>
          <cell r="E599" t="str">
            <v>GUARUJA</v>
          </cell>
          <cell r="F599" t="str">
            <v>SP</v>
          </cell>
          <cell r="G599" t="str">
            <v>180</v>
          </cell>
          <cell r="H599" t="str">
            <v>CS A</v>
          </cell>
          <cell r="I599" t="str">
            <v>11450-260</v>
          </cell>
          <cell r="J599" t="str">
            <v>33416294</v>
          </cell>
          <cell r="K599" t="str">
            <v/>
          </cell>
          <cell r="L599" t="str">
            <v>Masculino</v>
          </cell>
          <cell r="M599" t="str">
            <v>Parda</v>
          </cell>
          <cell r="N599">
            <v>30147</v>
          </cell>
          <cell r="O599" t="str">
            <v>359103637</v>
          </cell>
          <cell r="P599" t="str">
            <v>SP</v>
          </cell>
          <cell r="Q599" t="str">
            <v>SSP</v>
          </cell>
          <cell r="R599" t="str">
            <v>GUARUJA</v>
          </cell>
        </row>
        <row r="600">
          <cell r="A600" t="str">
            <v>ELISANGELO DA SILVA FERREIRA</v>
          </cell>
          <cell r="B600" t="str">
            <v>Solteiro</v>
          </cell>
          <cell r="C600" t="str">
            <v>R CAMINHO MARANHÃO</v>
          </cell>
          <cell r="D600" t="str">
            <v>VILA ESPERANÇA</v>
          </cell>
          <cell r="E600" t="str">
            <v>CUBATAO</v>
          </cell>
          <cell r="F600" t="str">
            <v>SP</v>
          </cell>
          <cell r="G600" t="str">
            <v>942</v>
          </cell>
          <cell r="H600" t="str">
            <v/>
          </cell>
          <cell r="I600" t="str">
            <v>11540-200</v>
          </cell>
          <cell r="J600" t="str">
            <v>988381868</v>
          </cell>
          <cell r="K600" t="str">
            <v/>
          </cell>
          <cell r="L600" t="str">
            <v>Masculino</v>
          </cell>
          <cell r="M600" t="str">
            <v>Parda</v>
          </cell>
          <cell r="N600">
            <v>30373</v>
          </cell>
          <cell r="O600" t="str">
            <v>358611702</v>
          </cell>
          <cell r="P600" t="str">
            <v>SP</v>
          </cell>
          <cell r="Q600" t="str">
            <v>SSP</v>
          </cell>
          <cell r="R600" t="str">
            <v>AMARAJI</v>
          </cell>
        </row>
        <row r="601">
          <cell r="A601" t="str">
            <v>CLEYTON DE JESUS ALVES</v>
          </cell>
          <cell r="B601" t="str">
            <v>Casado</v>
          </cell>
          <cell r="C601" t="str">
            <v>R Mil Novecentos e Noventa e Três</v>
          </cell>
          <cell r="D601" t="str">
            <v>Vila Margarida</v>
          </cell>
          <cell r="E601" t="str">
            <v>SAO VICENTE</v>
          </cell>
          <cell r="F601" t="str">
            <v>SP</v>
          </cell>
          <cell r="G601" t="str">
            <v>115</v>
          </cell>
          <cell r="H601" t="str">
            <v>Casa 16</v>
          </cell>
          <cell r="I601" t="str">
            <v>11330-558</v>
          </cell>
          <cell r="J601" t="str">
            <v>982018274</v>
          </cell>
          <cell r="K601" t="str">
            <v/>
          </cell>
          <cell r="L601" t="str">
            <v>Masculino</v>
          </cell>
          <cell r="M601" t="str">
            <v>Parda</v>
          </cell>
          <cell r="N601">
            <v>30789</v>
          </cell>
          <cell r="O601" t="str">
            <v>463530202</v>
          </cell>
          <cell r="P601" t="str">
            <v>SP</v>
          </cell>
          <cell r="Q601" t="str">
            <v>SSP</v>
          </cell>
          <cell r="R601" t="str">
            <v>ILHEUS</v>
          </cell>
        </row>
        <row r="602">
          <cell r="A602" t="str">
            <v>ANDERSON TAMAIO AZEVEDO</v>
          </cell>
          <cell r="B602" t="str">
            <v>Casado</v>
          </cell>
          <cell r="C602" t="str">
            <v>R Engenheiro Antônio Freire</v>
          </cell>
          <cell r="D602" t="str">
            <v>Santa Maria</v>
          </cell>
          <cell r="E602" t="str">
            <v>SANTOS</v>
          </cell>
          <cell r="F602" t="str">
            <v>SP</v>
          </cell>
          <cell r="G602" t="str">
            <v>450</v>
          </cell>
          <cell r="H602" t="str">
            <v/>
          </cell>
          <cell r="I602" t="str">
            <v>11089-050</v>
          </cell>
          <cell r="J602" t="str">
            <v>997253345</v>
          </cell>
          <cell r="K602" t="str">
            <v>997253345</v>
          </cell>
          <cell r="L602" t="str">
            <v>Masculino</v>
          </cell>
          <cell r="M602" t="str">
            <v>Parda</v>
          </cell>
          <cell r="N602">
            <v>28235</v>
          </cell>
          <cell r="O602" t="str">
            <v>294878713</v>
          </cell>
          <cell r="P602" t="str">
            <v>SP</v>
          </cell>
          <cell r="Q602" t="str">
            <v>SSP</v>
          </cell>
          <cell r="R602" t="str">
            <v>SANTOS</v>
          </cell>
        </row>
        <row r="603">
          <cell r="A603" t="str">
            <v>VICTOR VINICIUS DE FRANCA PINTO</v>
          </cell>
          <cell r="B603" t="str">
            <v>Casado</v>
          </cell>
          <cell r="C603" t="str">
            <v>R Benício de Castro</v>
          </cell>
          <cell r="D603" t="str">
            <v>Castelo</v>
          </cell>
          <cell r="E603" t="str">
            <v>SANTOS</v>
          </cell>
          <cell r="F603" t="str">
            <v>SP</v>
          </cell>
          <cell r="G603" t="str">
            <v>140</v>
          </cell>
          <cell r="H603" t="str">
            <v/>
          </cell>
          <cell r="I603" t="str">
            <v>11087-370</v>
          </cell>
          <cell r="J603" t="str">
            <v>997241919</v>
          </cell>
          <cell r="K603" t="str">
            <v/>
          </cell>
          <cell r="L603" t="str">
            <v>Masculino</v>
          </cell>
          <cell r="M603" t="str">
            <v>Parda</v>
          </cell>
          <cell r="N603">
            <v>32398</v>
          </cell>
          <cell r="O603" t="str">
            <v>402506595</v>
          </cell>
          <cell r="P603" t="str">
            <v>SP</v>
          </cell>
          <cell r="Q603" t="str">
            <v>SSP</v>
          </cell>
          <cell r="R603" t="str">
            <v>SAO BERNARDO DO CAMPO</v>
          </cell>
        </row>
        <row r="604">
          <cell r="A604" t="str">
            <v>DENILSON BARBOSA DE CASTRO</v>
          </cell>
          <cell r="B604" t="str">
            <v>União Estável</v>
          </cell>
          <cell r="C604" t="str">
            <v>R Hugo Ventura</v>
          </cell>
          <cell r="D604" t="str">
            <v>Parque Continental</v>
          </cell>
          <cell r="E604" t="str">
            <v>SAO VICENTE</v>
          </cell>
          <cell r="F604" t="str">
            <v>SP</v>
          </cell>
          <cell r="G604" t="str">
            <v>845</v>
          </cell>
          <cell r="H604" t="str">
            <v/>
          </cell>
          <cell r="I604" t="str">
            <v>11348-200</v>
          </cell>
          <cell r="J604" t="str">
            <v>996533451</v>
          </cell>
          <cell r="K604" t="str">
            <v>34062988</v>
          </cell>
          <cell r="L604" t="str">
            <v>Masculino</v>
          </cell>
          <cell r="M604" t="str">
            <v>Parda</v>
          </cell>
          <cell r="N604">
            <v>31765</v>
          </cell>
          <cell r="O604" t="str">
            <v>413094868</v>
          </cell>
          <cell r="P604" t="str">
            <v>SP</v>
          </cell>
          <cell r="Q604" t="str">
            <v>SSP</v>
          </cell>
          <cell r="R604" t="str">
            <v>SANTOS</v>
          </cell>
        </row>
        <row r="605">
          <cell r="A605" t="str">
            <v>HENRIQUE FONSECA</v>
          </cell>
          <cell r="B605" t="str">
            <v>Casado</v>
          </cell>
          <cell r="C605" t="str">
            <v>R Caiamoré</v>
          </cell>
          <cell r="D605" t="str">
            <v>Vila Margarida</v>
          </cell>
          <cell r="E605" t="str">
            <v>SAO VICENTE</v>
          </cell>
          <cell r="F605" t="str">
            <v>SP</v>
          </cell>
          <cell r="G605" t="str">
            <v>33</v>
          </cell>
          <cell r="H605" t="str">
            <v/>
          </cell>
          <cell r="I605" t="str">
            <v>11335-010</v>
          </cell>
          <cell r="J605" t="str">
            <v>974184898</v>
          </cell>
          <cell r="K605" t="str">
            <v/>
          </cell>
          <cell r="L605" t="str">
            <v>Masculino</v>
          </cell>
          <cell r="M605" t="str">
            <v>Parda</v>
          </cell>
          <cell r="N605">
            <v>25855</v>
          </cell>
          <cell r="O605" t="str">
            <v>1899926004</v>
          </cell>
          <cell r="P605" t="str">
            <v>SP</v>
          </cell>
          <cell r="Q605" t="str">
            <v>SSP</v>
          </cell>
          <cell r="R605" t="str">
            <v>SANTOS</v>
          </cell>
        </row>
        <row r="606">
          <cell r="A606" t="str">
            <v>RIVALDO SANTOS VALLE</v>
          </cell>
          <cell r="B606" t="str">
            <v>Casado</v>
          </cell>
          <cell r="C606" t="str">
            <v>R Visconde de Cayru</v>
          </cell>
          <cell r="D606" t="str">
            <v>Campo Grande</v>
          </cell>
          <cell r="E606" t="str">
            <v>SANTOS</v>
          </cell>
          <cell r="F606" t="str">
            <v>SP</v>
          </cell>
          <cell r="G606" t="str">
            <v>128</v>
          </cell>
          <cell r="H606" t="str">
            <v/>
          </cell>
          <cell r="I606" t="str">
            <v>11075-700</v>
          </cell>
          <cell r="J606" t="str">
            <v>976703761</v>
          </cell>
          <cell r="K606" t="str">
            <v/>
          </cell>
          <cell r="L606" t="str">
            <v>Masculino</v>
          </cell>
          <cell r="M606" t="str">
            <v>Parda</v>
          </cell>
          <cell r="N606">
            <v>26823</v>
          </cell>
          <cell r="O606" t="str">
            <v>245450300</v>
          </cell>
          <cell r="P606" t="str">
            <v>SP</v>
          </cell>
          <cell r="Q606" t="str">
            <v>SSP</v>
          </cell>
          <cell r="R606" t="str">
            <v>SANTOS</v>
          </cell>
        </row>
        <row r="607">
          <cell r="A607" t="str">
            <v>ANDERSON SANTANA DE ALMEIDA</v>
          </cell>
          <cell r="B607" t="str">
            <v>Casado</v>
          </cell>
          <cell r="C607" t="str">
            <v>PC Infante Dom Henrique</v>
          </cell>
          <cell r="D607" t="str">
            <v>Parque Bitaru</v>
          </cell>
          <cell r="E607" t="str">
            <v>SAO VICENTE</v>
          </cell>
          <cell r="F607" t="str">
            <v>SP</v>
          </cell>
          <cell r="G607" t="str">
            <v>13</v>
          </cell>
          <cell r="H607" t="str">
            <v>CA 2</v>
          </cell>
          <cell r="I607" t="str">
            <v>11330-205</v>
          </cell>
          <cell r="J607" t="str">
            <v>991748988</v>
          </cell>
          <cell r="K607" t="str">
            <v/>
          </cell>
          <cell r="L607" t="str">
            <v>Masculino</v>
          </cell>
          <cell r="M607" t="str">
            <v>Parda</v>
          </cell>
          <cell r="N607">
            <v>31522</v>
          </cell>
          <cell r="O607" t="str">
            <v>44412231X</v>
          </cell>
          <cell r="P607" t="str">
            <v>SP</v>
          </cell>
          <cell r="Q607" t="str">
            <v>SSP</v>
          </cell>
          <cell r="R607" t="str">
            <v>SAO VICENTE</v>
          </cell>
        </row>
        <row r="608">
          <cell r="A608" t="str">
            <v>MURILLO SILVA PEREIRA</v>
          </cell>
          <cell r="B608" t="str">
            <v>Casado</v>
          </cell>
          <cell r="C608" t="str">
            <v>R São Luís</v>
          </cell>
          <cell r="D608" t="str">
            <v>Morro Sao Bento</v>
          </cell>
          <cell r="E608" t="str">
            <v>SANTOS</v>
          </cell>
          <cell r="F608" t="str">
            <v>SP</v>
          </cell>
          <cell r="G608" t="str">
            <v>481</v>
          </cell>
          <cell r="H608" t="str">
            <v>AL</v>
          </cell>
          <cell r="I608" t="str">
            <v>11082-560</v>
          </cell>
          <cell r="J608" t="str">
            <v>996292349</v>
          </cell>
          <cell r="K608" t="str">
            <v/>
          </cell>
          <cell r="L608" t="str">
            <v>Masculino</v>
          </cell>
          <cell r="M608" t="str">
            <v>Parda</v>
          </cell>
          <cell r="N608">
            <v>32635</v>
          </cell>
          <cell r="O608" t="str">
            <v>44778108X</v>
          </cell>
          <cell r="P608" t="str">
            <v>SP</v>
          </cell>
          <cell r="Q608" t="str">
            <v>SSP</v>
          </cell>
          <cell r="R608" t="str">
            <v>SANTOS</v>
          </cell>
        </row>
        <row r="609">
          <cell r="A609" t="str">
            <v>GUSTAVO PIRES DO NASCIMENTO</v>
          </cell>
          <cell r="B609" t="str">
            <v>Solteiro</v>
          </cell>
          <cell r="C609" t="str">
            <v>R DOUTOR CARVALHO DE MENDONCA</v>
          </cell>
          <cell r="D609" t="str">
            <v>MARAPE</v>
          </cell>
          <cell r="E609" t="str">
            <v>SANTOS</v>
          </cell>
          <cell r="F609" t="str">
            <v>SP</v>
          </cell>
          <cell r="G609" t="str">
            <v>711</v>
          </cell>
          <cell r="H609" t="str">
            <v>14</v>
          </cell>
          <cell r="I609" t="str">
            <v>11070-103</v>
          </cell>
          <cell r="J609" t="str">
            <v>991236103</v>
          </cell>
          <cell r="K609" t="str">
            <v/>
          </cell>
          <cell r="L609" t="str">
            <v>Masculino</v>
          </cell>
          <cell r="M609" t="str">
            <v>Parda</v>
          </cell>
          <cell r="N609">
            <v>31847</v>
          </cell>
          <cell r="O609" t="str">
            <v>427822403</v>
          </cell>
          <cell r="P609" t="str">
            <v>SP</v>
          </cell>
          <cell r="Q609" t="str">
            <v>SSP</v>
          </cell>
          <cell r="R609" t="str">
            <v>SANTOS</v>
          </cell>
        </row>
        <row r="610">
          <cell r="A610" t="str">
            <v>MAGDA FAVERO</v>
          </cell>
          <cell r="B610" t="str">
            <v>Divorciado</v>
          </cell>
          <cell r="C610" t="str">
            <v>R Euclides da Cunha</v>
          </cell>
          <cell r="D610" t="str">
            <v>Gonzaga</v>
          </cell>
          <cell r="E610" t="str">
            <v>SANTOS</v>
          </cell>
          <cell r="F610" t="str">
            <v>SP</v>
          </cell>
          <cell r="G610" t="str">
            <v>138</v>
          </cell>
          <cell r="H610" t="str">
            <v>AP 31</v>
          </cell>
          <cell r="I610" t="str">
            <v>11065-100</v>
          </cell>
          <cell r="J610" t="str">
            <v>33274182</v>
          </cell>
          <cell r="K610" t="str">
            <v/>
          </cell>
          <cell r="L610" t="str">
            <v>Feminino</v>
          </cell>
          <cell r="M610" t="str">
            <v>Branca</v>
          </cell>
          <cell r="N610">
            <v>24733</v>
          </cell>
          <cell r="O610" t="str">
            <v>18273724</v>
          </cell>
          <cell r="P610" t="str">
            <v>SP</v>
          </cell>
          <cell r="Q610" t="str">
            <v>SSP</v>
          </cell>
          <cell r="R610" t="str">
            <v>SANTOS</v>
          </cell>
        </row>
        <row r="611">
          <cell r="A611" t="str">
            <v>RENATO GOMES DA SILVA</v>
          </cell>
          <cell r="B611" t="str">
            <v>União Estável</v>
          </cell>
          <cell r="C611" t="str">
            <v>R Pará</v>
          </cell>
          <cell r="D611" t="str">
            <v>Vila Alice (Vicente de Carvalho)</v>
          </cell>
          <cell r="E611" t="str">
            <v>GUARUJA</v>
          </cell>
          <cell r="F611" t="str">
            <v>SP</v>
          </cell>
          <cell r="G611" t="str">
            <v>236</v>
          </cell>
          <cell r="H611" t="str">
            <v>casa 08</v>
          </cell>
          <cell r="I611" t="str">
            <v>11450-200</v>
          </cell>
          <cell r="J611" t="str">
            <v>974188678</v>
          </cell>
          <cell r="K611" t="str">
            <v/>
          </cell>
          <cell r="L611" t="str">
            <v>Masculino</v>
          </cell>
          <cell r="M611" t="str">
            <v>Parda</v>
          </cell>
          <cell r="N611">
            <v>23496</v>
          </cell>
          <cell r="O611" t="str">
            <v>504923249</v>
          </cell>
          <cell r="P611" t="str">
            <v>SP</v>
          </cell>
          <cell r="Q611" t="str">
            <v>SSP</v>
          </cell>
          <cell r="R611" t="str">
            <v>RIO DE JANEIRO</v>
          </cell>
        </row>
        <row r="612">
          <cell r="A612" t="str">
            <v>JOAO PAULO CRUZ ABITE</v>
          </cell>
          <cell r="B612" t="str">
            <v>Casado</v>
          </cell>
          <cell r="C612" t="str">
            <v>R C</v>
          </cell>
          <cell r="D612" t="str">
            <v>Vila Santa Clara</v>
          </cell>
          <cell r="E612" t="str">
            <v>GUARUJA</v>
          </cell>
          <cell r="F612" t="str">
            <v>SP</v>
          </cell>
          <cell r="G612" t="str">
            <v>74</v>
          </cell>
          <cell r="H612" t="str">
            <v>CS</v>
          </cell>
          <cell r="I612" t="str">
            <v>11435-060</v>
          </cell>
          <cell r="J612" t="str">
            <v>997686519</v>
          </cell>
          <cell r="K612" t="str">
            <v/>
          </cell>
          <cell r="L612" t="str">
            <v>Masculino</v>
          </cell>
          <cell r="M612" t="str">
            <v>Parda</v>
          </cell>
          <cell r="N612">
            <v>32333</v>
          </cell>
          <cell r="O612" t="str">
            <v>284848864</v>
          </cell>
          <cell r="P612" t="str">
            <v>SP</v>
          </cell>
          <cell r="Q612" t="str">
            <v>SSP</v>
          </cell>
          <cell r="R612" t="str">
            <v>GUARUJA</v>
          </cell>
        </row>
        <row r="613">
          <cell r="A613" t="str">
            <v>CARLOS ANDRE DO NASCIMENTO MATHIAS</v>
          </cell>
          <cell r="B613" t="str">
            <v>Casado</v>
          </cell>
          <cell r="C613" t="str">
            <v>R Panaiotis Musculis</v>
          </cell>
          <cell r="D613" t="str">
            <v>Vila Ligya</v>
          </cell>
          <cell r="E613" t="str">
            <v>GUARUJA</v>
          </cell>
          <cell r="F613" t="str">
            <v>SP</v>
          </cell>
          <cell r="G613" t="str">
            <v>546</v>
          </cell>
          <cell r="H613" t="str">
            <v>CS</v>
          </cell>
          <cell r="I613" t="str">
            <v>11430-220</v>
          </cell>
          <cell r="J613" t="str">
            <v>33481041</v>
          </cell>
          <cell r="K613" t="str">
            <v/>
          </cell>
          <cell r="L613" t="str">
            <v>Masculino</v>
          </cell>
          <cell r="M613" t="str">
            <v>Parda</v>
          </cell>
          <cell r="N613">
            <v>27173</v>
          </cell>
          <cell r="O613" t="str">
            <v>244022884</v>
          </cell>
          <cell r="P613" t="str">
            <v>SP</v>
          </cell>
          <cell r="Q613" t="str">
            <v>SSP</v>
          </cell>
          <cell r="R613" t="str">
            <v>GUARUJA</v>
          </cell>
        </row>
        <row r="614">
          <cell r="A614" t="str">
            <v>ALEXANDRE NEVES HERNANDEZ JUNIOR</v>
          </cell>
          <cell r="B614" t="str">
            <v>União Estável</v>
          </cell>
          <cell r="C614" t="str">
            <v>R Japão</v>
          </cell>
          <cell r="D614" t="str">
            <v>Parque Bitaru</v>
          </cell>
          <cell r="E614" t="str">
            <v>SAO VICENTE</v>
          </cell>
          <cell r="F614" t="str">
            <v>SP</v>
          </cell>
          <cell r="G614" t="str">
            <v>05</v>
          </cell>
          <cell r="H614" t="str">
            <v>Fundos</v>
          </cell>
          <cell r="I614" t="str">
            <v>11330-210</v>
          </cell>
          <cell r="J614" t="str">
            <v>997131354</v>
          </cell>
          <cell r="K614" t="str">
            <v/>
          </cell>
          <cell r="L614" t="str">
            <v>Masculino</v>
          </cell>
          <cell r="M614" t="str">
            <v>Parda</v>
          </cell>
          <cell r="N614">
            <v>32533</v>
          </cell>
          <cell r="O614" t="str">
            <v>336892159</v>
          </cell>
          <cell r="P614" t="str">
            <v>SP</v>
          </cell>
          <cell r="Q614" t="str">
            <v>SSP</v>
          </cell>
          <cell r="R614" t="str">
            <v>SAO PAULO</v>
          </cell>
        </row>
        <row r="615">
          <cell r="A615" t="str">
            <v>RONALDO SANTOS DA CONCEICAO</v>
          </cell>
          <cell r="B615" t="str">
            <v>Solteiro</v>
          </cell>
          <cell r="C615" t="str">
            <v>R Nova Esperança</v>
          </cell>
          <cell r="D615" t="str">
            <v>Sitio Conceiçãozinha</v>
          </cell>
          <cell r="E615" t="str">
            <v>GUARUJA</v>
          </cell>
          <cell r="F615" t="str">
            <v>SP</v>
          </cell>
          <cell r="G615" t="str">
            <v>176</v>
          </cell>
          <cell r="H615" t="str">
            <v/>
          </cell>
          <cell r="I615" t="str">
            <v>11472-130</v>
          </cell>
          <cell r="J615" t="str">
            <v>33835589</v>
          </cell>
          <cell r="K615" t="str">
            <v/>
          </cell>
          <cell r="L615" t="str">
            <v>Masculino</v>
          </cell>
          <cell r="M615" t="str">
            <v>Parda</v>
          </cell>
          <cell r="N615">
            <v>30838</v>
          </cell>
          <cell r="O615" t="str">
            <v>338257020</v>
          </cell>
          <cell r="P615" t="str">
            <v>SP</v>
          </cell>
          <cell r="Q615" t="str">
            <v>SSP</v>
          </cell>
          <cell r="R615" t="str">
            <v>SANTOS</v>
          </cell>
        </row>
        <row r="616">
          <cell r="A616" t="str">
            <v>MOISES FELIPE SACRAMENTO DOS SANTOS</v>
          </cell>
          <cell r="B616" t="str">
            <v>União Estável</v>
          </cell>
          <cell r="C616" t="str">
            <v>R Sete</v>
          </cell>
          <cell r="D616" t="str">
            <v>Vila Santa Rosa</v>
          </cell>
          <cell r="E616" t="str">
            <v>GUARUJA</v>
          </cell>
          <cell r="F616" t="str">
            <v>SP</v>
          </cell>
          <cell r="G616" t="str">
            <v>06</v>
          </cell>
          <cell r="H616" t="str">
            <v>Casa</v>
          </cell>
          <cell r="I616" t="str">
            <v>11431-340</v>
          </cell>
          <cell r="J616" t="str">
            <v>991230947</v>
          </cell>
          <cell r="K616" t="str">
            <v>98802381</v>
          </cell>
          <cell r="L616" t="str">
            <v>Masculino</v>
          </cell>
          <cell r="M616" t="str">
            <v>Parda</v>
          </cell>
          <cell r="N616">
            <v>32502</v>
          </cell>
          <cell r="O616" t="str">
            <v>44820065</v>
          </cell>
          <cell r="P616" t="str">
            <v>SP</v>
          </cell>
          <cell r="Q616" t="str">
            <v>SSP</v>
          </cell>
          <cell r="R616" t="str">
            <v>SANTOS</v>
          </cell>
        </row>
        <row r="617">
          <cell r="A617" t="str">
            <v>MARCELO NASCIMENTO PINHEIRO</v>
          </cell>
          <cell r="B617" t="str">
            <v>Casado</v>
          </cell>
          <cell r="C617" t="str">
            <v>AV Oswaldo Cruz</v>
          </cell>
          <cell r="D617" t="str">
            <v>Sítio Paecara (Vicen</v>
          </cell>
          <cell r="E617" t="str">
            <v>GUARUJA</v>
          </cell>
          <cell r="F617" t="str">
            <v>SP</v>
          </cell>
          <cell r="G617" t="str">
            <v>608</v>
          </cell>
          <cell r="H617" t="str">
            <v>CA 2</v>
          </cell>
          <cell r="I617" t="str">
            <v>11460-101</v>
          </cell>
          <cell r="J617" t="str">
            <v>33425277</v>
          </cell>
          <cell r="K617" t="str">
            <v/>
          </cell>
          <cell r="L617" t="str">
            <v>Masculino</v>
          </cell>
          <cell r="M617" t="str">
            <v>Parda</v>
          </cell>
          <cell r="N617">
            <v>26441</v>
          </cell>
          <cell r="O617" t="str">
            <v>248198555</v>
          </cell>
          <cell r="P617" t="str">
            <v>SP</v>
          </cell>
          <cell r="Q617" t="str">
            <v>SSP</v>
          </cell>
          <cell r="R617" t="str">
            <v>GUARUJA</v>
          </cell>
        </row>
        <row r="618">
          <cell r="A618" t="str">
            <v>WELLINGTON LIMA FERNANDES</v>
          </cell>
          <cell r="B618" t="str">
            <v>Solteiro</v>
          </cell>
          <cell r="C618" t="str">
            <v>R Érico Veríssimo</v>
          </cell>
          <cell r="D618" t="str">
            <v>Vila Jockei Clube</v>
          </cell>
          <cell r="E618" t="str">
            <v>SAO VICENTE</v>
          </cell>
          <cell r="F618" t="str">
            <v>SP</v>
          </cell>
          <cell r="G618" t="str">
            <v>709</v>
          </cell>
          <cell r="H618" t="str">
            <v>APTO 64</v>
          </cell>
          <cell r="I618" t="str">
            <v>11360-380</v>
          </cell>
          <cell r="J618" t="str">
            <v>32993297</v>
          </cell>
          <cell r="K618" t="str">
            <v/>
          </cell>
          <cell r="L618" t="str">
            <v>Masculino</v>
          </cell>
          <cell r="M618" t="str">
            <v>Parda</v>
          </cell>
          <cell r="N618">
            <v>34573</v>
          </cell>
          <cell r="O618" t="str">
            <v>495688562</v>
          </cell>
          <cell r="P618" t="str">
            <v>SP</v>
          </cell>
          <cell r="Q618" t="str">
            <v>SSP</v>
          </cell>
          <cell r="R618" t="str">
            <v>SANTOS</v>
          </cell>
        </row>
        <row r="619">
          <cell r="A619" t="str">
            <v>IGOR CESAR LOPES DE OLIVEIRA</v>
          </cell>
          <cell r="B619" t="str">
            <v>Casado</v>
          </cell>
          <cell r="C619" t="str">
            <v>R Pero Vaz de Caminha</v>
          </cell>
          <cell r="D619" t="str">
            <v>Vila Valença</v>
          </cell>
          <cell r="E619" t="str">
            <v>SAO VICENTE</v>
          </cell>
          <cell r="F619" t="str">
            <v>SP</v>
          </cell>
          <cell r="G619" t="str">
            <v>47</v>
          </cell>
          <cell r="H619" t="str">
            <v>02</v>
          </cell>
          <cell r="I619" t="str">
            <v>11390-040</v>
          </cell>
          <cell r="J619" t="str">
            <v>981158762</v>
          </cell>
          <cell r="K619" t="str">
            <v/>
          </cell>
          <cell r="L619" t="str">
            <v>Masculino</v>
          </cell>
          <cell r="M619" t="str">
            <v>Parda</v>
          </cell>
          <cell r="N619">
            <v>29384</v>
          </cell>
          <cell r="O619" t="str">
            <v>33085372</v>
          </cell>
          <cell r="P619" t="str">
            <v>SP</v>
          </cell>
          <cell r="Q619" t="str">
            <v>SSP</v>
          </cell>
          <cell r="R619" t="str">
            <v>SANTOS</v>
          </cell>
        </row>
        <row r="620">
          <cell r="A620" t="str">
            <v>ADRIANO SILVANO DA SILVA</v>
          </cell>
          <cell r="B620" t="str">
            <v>Casado</v>
          </cell>
          <cell r="C620" t="str">
            <v>R Senador Lúcio Bittencourt</v>
          </cell>
          <cell r="D620" t="str">
            <v>Esplanada dos Barrei</v>
          </cell>
          <cell r="E620" t="str">
            <v>SAO VICENTE</v>
          </cell>
          <cell r="F620" t="str">
            <v>SP</v>
          </cell>
          <cell r="G620" t="str">
            <v>39</v>
          </cell>
          <cell r="H620" t="str">
            <v>CASA 3</v>
          </cell>
          <cell r="I620" t="str">
            <v>11340-200</v>
          </cell>
          <cell r="J620" t="str">
            <v>992083373</v>
          </cell>
          <cell r="K620" t="str">
            <v/>
          </cell>
          <cell r="L620" t="str">
            <v>Masculino</v>
          </cell>
          <cell r="M620" t="str">
            <v>Parda</v>
          </cell>
          <cell r="N620">
            <v>32143</v>
          </cell>
          <cell r="O620" t="str">
            <v>417481974</v>
          </cell>
          <cell r="P620" t="str">
            <v>SP</v>
          </cell>
          <cell r="Q620" t="str">
            <v>SSP</v>
          </cell>
          <cell r="R620" t="str">
            <v>SANTOS</v>
          </cell>
        </row>
        <row r="621">
          <cell r="A621" t="str">
            <v>LILIANE PRISCILA SANTOS</v>
          </cell>
          <cell r="B621" t="str">
            <v>Divorciado</v>
          </cell>
          <cell r="C621" t="str">
            <v>R Viriato Corrêa da Costa</v>
          </cell>
          <cell r="D621" t="str">
            <v>Santa Maria</v>
          </cell>
          <cell r="E621" t="str">
            <v>SANTOS</v>
          </cell>
          <cell r="F621" t="str">
            <v>SP</v>
          </cell>
          <cell r="G621" t="str">
            <v>202</v>
          </cell>
          <cell r="H621" t="str">
            <v>Altos</v>
          </cell>
          <cell r="I621" t="str">
            <v>11089-020</v>
          </cell>
          <cell r="J621" t="str">
            <v/>
          </cell>
          <cell r="K621" t="str">
            <v/>
          </cell>
          <cell r="L621" t="str">
            <v>Feminino</v>
          </cell>
          <cell r="M621" t="str">
            <v>Parda</v>
          </cell>
          <cell r="N621">
            <v>30778</v>
          </cell>
          <cell r="O621" t="str">
            <v>343493032</v>
          </cell>
          <cell r="P621" t="str">
            <v>SP</v>
          </cell>
          <cell r="Q621" t="str">
            <v>SSP</v>
          </cell>
          <cell r="R621" t="str">
            <v>SANTOS</v>
          </cell>
        </row>
        <row r="622">
          <cell r="A622" t="str">
            <v>FELIPE PINHEIRO HESPANHOL</v>
          </cell>
          <cell r="B622" t="str">
            <v>União Estável</v>
          </cell>
          <cell r="C622" t="str">
            <v>R MARANHAO</v>
          </cell>
          <cell r="D622" t="str">
            <v>Pompéia</v>
          </cell>
          <cell r="E622" t="str">
            <v>SANTOS</v>
          </cell>
          <cell r="F622" t="str">
            <v>SP</v>
          </cell>
          <cell r="G622" t="str">
            <v>61</v>
          </cell>
          <cell r="H622" t="str">
            <v>APTO 41</v>
          </cell>
          <cell r="I622" t="str">
            <v>11065-410</v>
          </cell>
          <cell r="J622" t="str">
            <v>997596219</v>
          </cell>
          <cell r="K622" t="str">
            <v/>
          </cell>
          <cell r="L622" t="str">
            <v>Masculino</v>
          </cell>
          <cell r="M622" t="str">
            <v>Parda</v>
          </cell>
          <cell r="N622">
            <v>31178</v>
          </cell>
          <cell r="O622" t="str">
            <v>306869883</v>
          </cell>
          <cell r="P622" t="str">
            <v>SP</v>
          </cell>
          <cell r="Q622" t="str">
            <v>SSP</v>
          </cell>
          <cell r="R622" t="str">
            <v>SAO PAULO</v>
          </cell>
        </row>
        <row r="623">
          <cell r="A623" t="str">
            <v>KARINA CECCO MINOSSO FERREIRA</v>
          </cell>
          <cell r="B623" t="str">
            <v>Casado</v>
          </cell>
          <cell r="C623" t="str">
            <v>R Paraíba</v>
          </cell>
          <cell r="D623" t="str">
            <v>Pompéia</v>
          </cell>
          <cell r="E623" t="str">
            <v>SANTOS</v>
          </cell>
          <cell r="F623" t="str">
            <v>SP</v>
          </cell>
          <cell r="G623" t="str">
            <v>71</v>
          </cell>
          <cell r="H623" t="str">
            <v>AP 63</v>
          </cell>
          <cell r="I623" t="str">
            <v>11065-470</v>
          </cell>
          <cell r="J623" t="str">
            <v>33261407</v>
          </cell>
          <cell r="K623" t="str">
            <v/>
          </cell>
          <cell r="L623" t="str">
            <v>Feminino</v>
          </cell>
          <cell r="M623" t="str">
            <v>Parda</v>
          </cell>
          <cell r="N623">
            <v>29425</v>
          </cell>
          <cell r="O623" t="str">
            <v>307730049</v>
          </cell>
          <cell r="P623" t="str">
            <v>SP</v>
          </cell>
          <cell r="Q623" t="str">
            <v>SSP</v>
          </cell>
          <cell r="R623" t="str">
            <v>SANTOS</v>
          </cell>
        </row>
        <row r="624">
          <cell r="A624" t="str">
            <v>SAYLAH PEREIRA ORENGA</v>
          </cell>
          <cell r="B624" t="str">
            <v>Divorciado</v>
          </cell>
          <cell r="C624" t="str">
            <v>AV Rei Alberto I</v>
          </cell>
          <cell r="D624" t="str">
            <v>Ponta da Praia</v>
          </cell>
          <cell r="E624" t="str">
            <v>SANTOS</v>
          </cell>
          <cell r="F624" t="str">
            <v>SP</v>
          </cell>
          <cell r="G624" t="str">
            <v>341</v>
          </cell>
          <cell r="H624" t="str">
            <v>Apto 32 Bloco Gaivota</v>
          </cell>
          <cell r="I624" t="str">
            <v>11030-290</v>
          </cell>
          <cell r="J624" t="str">
            <v>33219150</v>
          </cell>
          <cell r="K624" t="str">
            <v/>
          </cell>
          <cell r="L624" t="str">
            <v>Feminino</v>
          </cell>
          <cell r="M624" t="str">
            <v>Parda</v>
          </cell>
          <cell r="N624">
            <v>27935</v>
          </cell>
          <cell r="O624" t="str">
            <v>6333965</v>
          </cell>
          <cell r="P624" t="str">
            <v>SP</v>
          </cell>
          <cell r="Q624" t="str">
            <v>SSP</v>
          </cell>
          <cell r="R624" t="str">
            <v>LAMBARI</v>
          </cell>
        </row>
        <row r="625">
          <cell r="A625" t="str">
            <v>CLEBER CORREIA RIBEIRO DOS SANTOS</v>
          </cell>
          <cell r="B625" t="str">
            <v>Casado</v>
          </cell>
          <cell r="C625" t="str">
            <v>R General Vicente de Paulo Dale Coutinho</v>
          </cell>
          <cell r="D625" t="str">
            <v>Cidade Nautica</v>
          </cell>
          <cell r="E625" t="str">
            <v>SAO VICENTE</v>
          </cell>
          <cell r="F625" t="str">
            <v>SP</v>
          </cell>
          <cell r="G625" t="str">
            <v>703</v>
          </cell>
          <cell r="H625" t="str">
            <v>CA 2</v>
          </cell>
          <cell r="I625" t="str">
            <v>11350-190</v>
          </cell>
          <cell r="J625" t="str">
            <v>991503465</v>
          </cell>
          <cell r="K625" t="str">
            <v/>
          </cell>
          <cell r="L625" t="str">
            <v>Masculino</v>
          </cell>
          <cell r="M625" t="str">
            <v>Parda</v>
          </cell>
          <cell r="N625">
            <v>32043</v>
          </cell>
          <cell r="O625" t="str">
            <v>426399511</v>
          </cell>
          <cell r="P625" t="str">
            <v>SP</v>
          </cell>
          <cell r="Q625" t="str">
            <v>SSP</v>
          </cell>
          <cell r="R625" t="str">
            <v>SAO VICENTE</v>
          </cell>
        </row>
        <row r="626">
          <cell r="A626" t="str">
            <v>FABIO OLIVEIRA DA SILVA</v>
          </cell>
          <cell r="B626" t="str">
            <v>Casado</v>
          </cell>
          <cell r="C626" t="str">
            <v>AV Eleonor Roosevelt</v>
          </cell>
          <cell r="D626" t="str">
            <v>São Jorge</v>
          </cell>
          <cell r="E626" t="str">
            <v>SANTOS</v>
          </cell>
          <cell r="F626" t="str">
            <v>SP</v>
          </cell>
          <cell r="G626" t="str">
            <v>313</v>
          </cell>
          <cell r="H626" t="str">
            <v/>
          </cell>
          <cell r="I626" t="str">
            <v>11085-691</v>
          </cell>
          <cell r="J626" t="str">
            <v>981146255</v>
          </cell>
          <cell r="K626" t="str">
            <v/>
          </cell>
          <cell r="L626" t="str">
            <v>Masculino</v>
          </cell>
          <cell r="M626" t="str">
            <v>Parda</v>
          </cell>
          <cell r="N626">
            <v>29671</v>
          </cell>
          <cell r="O626" t="str">
            <v>339309271</v>
          </cell>
          <cell r="P626" t="str">
            <v>SP</v>
          </cell>
          <cell r="Q626" t="str">
            <v>SSP</v>
          </cell>
          <cell r="R626" t="str">
            <v>SANTOS</v>
          </cell>
        </row>
        <row r="627">
          <cell r="A627" t="str">
            <v>ROBSON CELSO COSTA</v>
          </cell>
          <cell r="B627" t="str">
            <v>Casado</v>
          </cell>
          <cell r="C627" t="str">
            <v>AV Eleonor Roosevelt</v>
          </cell>
          <cell r="D627" t="str">
            <v>São Jorge</v>
          </cell>
          <cell r="E627" t="str">
            <v>SANTOS</v>
          </cell>
          <cell r="F627" t="str">
            <v>SP</v>
          </cell>
          <cell r="G627" t="str">
            <v>155</v>
          </cell>
          <cell r="H627" t="str">
            <v/>
          </cell>
          <cell r="I627" t="str">
            <v>11085-691</v>
          </cell>
          <cell r="J627" t="str">
            <v>33076236</v>
          </cell>
          <cell r="K627" t="str">
            <v>991315288</v>
          </cell>
          <cell r="L627" t="str">
            <v>Masculino</v>
          </cell>
          <cell r="M627" t="str">
            <v>Parda</v>
          </cell>
          <cell r="N627">
            <v>30172</v>
          </cell>
          <cell r="O627" t="str">
            <v>354874093</v>
          </cell>
          <cell r="P627" t="str">
            <v>SP</v>
          </cell>
          <cell r="Q627" t="str">
            <v>SSP</v>
          </cell>
          <cell r="R627" t="str">
            <v>SANTOS</v>
          </cell>
        </row>
        <row r="628">
          <cell r="A628" t="str">
            <v>ORLANDO OLIVEIRA SILVA JUNIOR</v>
          </cell>
          <cell r="B628" t="str">
            <v>Casado</v>
          </cell>
          <cell r="C628" t="str">
            <v>R Ofélia Chaves de Meireles</v>
          </cell>
          <cell r="D628" t="str">
            <v>Vila Jockei Clube</v>
          </cell>
          <cell r="E628" t="str">
            <v>SAO VICENTE</v>
          </cell>
          <cell r="F628" t="str">
            <v>SP</v>
          </cell>
          <cell r="G628" t="str">
            <v>300</v>
          </cell>
          <cell r="H628" t="str">
            <v/>
          </cell>
          <cell r="I628" t="str">
            <v>11360-210</v>
          </cell>
          <cell r="J628" t="str">
            <v>988594967</v>
          </cell>
          <cell r="K628" t="str">
            <v/>
          </cell>
          <cell r="L628" t="str">
            <v>Masculino</v>
          </cell>
          <cell r="M628" t="str">
            <v>Parda</v>
          </cell>
          <cell r="N628">
            <v>27977</v>
          </cell>
          <cell r="O628" t="str">
            <v>283639702</v>
          </cell>
          <cell r="P628" t="str">
            <v>SP</v>
          </cell>
          <cell r="Q628" t="str">
            <v>SSP</v>
          </cell>
          <cell r="R628" t="str">
            <v>SANTOS</v>
          </cell>
        </row>
        <row r="629">
          <cell r="A629" t="str">
            <v>WANDO DE SOUSA PEREIRA</v>
          </cell>
          <cell r="B629" t="str">
            <v>União Estável</v>
          </cell>
          <cell r="C629" t="str">
            <v>R G</v>
          </cell>
          <cell r="D629" t="str">
            <v>Jardim Rio Negro</v>
          </cell>
          <cell r="E629" t="str">
            <v>SAO VICENTE</v>
          </cell>
          <cell r="F629" t="str">
            <v>SP</v>
          </cell>
          <cell r="G629" t="str">
            <v>1180</v>
          </cell>
          <cell r="H629" t="str">
            <v/>
          </cell>
          <cell r="I629" t="str">
            <v>11347-440</v>
          </cell>
          <cell r="J629" t="str">
            <v>996516192</v>
          </cell>
          <cell r="K629" t="str">
            <v/>
          </cell>
          <cell r="L629" t="str">
            <v>Masculino</v>
          </cell>
          <cell r="M629" t="str">
            <v>Parda</v>
          </cell>
          <cell r="N629">
            <v>32484</v>
          </cell>
          <cell r="O629" t="str">
            <v>448425841</v>
          </cell>
          <cell r="P629" t="str">
            <v>SP</v>
          </cell>
          <cell r="Q629" t="str">
            <v>SSP</v>
          </cell>
          <cell r="R629" t="str">
            <v>SANTOS</v>
          </cell>
        </row>
        <row r="630">
          <cell r="A630" t="str">
            <v>RONALDO RAMOS DA SILVA</v>
          </cell>
          <cell r="B630" t="str">
            <v>Solteiro</v>
          </cell>
          <cell r="C630" t="str">
            <v>AV Marechal Deodoro</v>
          </cell>
          <cell r="D630" t="str">
            <v>Vila Valença</v>
          </cell>
          <cell r="E630" t="str">
            <v>SAO VICENTE</v>
          </cell>
          <cell r="F630" t="str">
            <v>SP</v>
          </cell>
          <cell r="G630" t="str">
            <v>1241</v>
          </cell>
          <cell r="H630" t="str">
            <v>AP 01</v>
          </cell>
          <cell r="I630" t="str">
            <v>11390-100</v>
          </cell>
          <cell r="J630" t="str">
            <v>33560555</v>
          </cell>
          <cell r="K630" t="str">
            <v/>
          </cell>
          <cell r="L630" t="str">
            <v>Masculino</v>
          </cell>
          <cell r="M630" t="str">
            <v>Parda</v>
          </cell>
          <cell r="N630">
            <v>29607</v>
          </cell>
          <cell r="O630" t="str">
            <v>529407619</v>
          </cell>
          <cell r="P630" t="str">
            <v>SP</v>
          </cell>
          <cell r="Q630" t="str">
            <v>SSP</v>
          </cell>
          <cell r="R630" t="str">
            <v>COLONIA LEOPOLDINA</v>
          </cell>
        </row>
        <row r="631">
          <cell r="A631" t="str">
            <v>LEONARDO PRETO DE GODOY BARBOSA</v>
          </cell>
          <cell r="B631" t="str">
            <v>Casado</v>
          </cell>
          <cell r="C631" t="str">
            <v>AV Doutor Moura Ribeiro</v>
          </cell>
          <cell r="D631" t="str">
            <v>Marapé</v>
          </cell>
          <cell r="E631" t="str">
            <v>SANTOS</v>
          </cell>
          <cell r="F631" t="str">
            <v>SP</v>
          </cell>
          <cell r="G631" t="str">
            <v>125</v>
          </cell>
          <cell r="H631" t="str">
            <v>Apt 117 B</v>
          </cell>
          <cell r="I631" t="str">
            <v>11070-061</v>
          </cell>
          <cell r="J631" t="str">
            <v>974112950</v>
          </cell>
          <cell r="K631" t="str">
            <v/>
          </cell>
          <cell r="L631" t="str">
            <v>Masculino</v>
          </cell>
          <cell r="M631" t="str">
            <v>Parda</v>
          </cell>
          <cell r="N631">
            <v>30066</v>
          </cell>
          <cell r="O631" t="str">
            <v>43896914</v>
          </cell>
          <cell r="P631" t="str">
            <v>SP</v>
          </cell>
          <cell r="Q631" t="str">
            <v>SSP</v>
          </cell>
          <cell r="R631" t="str">
            <v>CAMPINAS</v>
          </cell>
        </row>
        <row r="632">
          <cell r="A632" t="str">
            <v>SIDNEI PEREIRA DE SOUZA</v>
          </cell>
          <cell r="B632" t="str">
            <v>Casado</v>
          </cell>
          <cell r="C632" t="str">
            <v>R DONA JOANA DE MENESES FARO</v>
          </cell>
          <cell r="D632" t="str">
            <v>Sítio Paecara (Vicen</v>
          </cell>
          <cell r="E632" t="str">
            <v>GUARUJA</v>
          </cell>
          <cell r="F632" t="str">
            <v>SP</v>
          </cell>
          <cell r="G632" t="str">
            <v>516</v>
          </cell>
          <cell r="H632" t="str">
            <v/>
          </cell>
          <cell r="I632" t="str">
            <v>11462-000</v>
          </cell>
          <cell r="J632" t="str">
            <v>33791879</v>
          </cell>
          <cell r="K632" t="str">
            <v/>
          </cell>
          <cell r="L632" t="str">
            <v>Masculino</v>
          </cell>
          <cell r="M632" t="str">
            <v>Parda</v>
          </cell>
          <cell r="N632">
            <v>26656</v>
          </cell>
          <cell r="O632" t="str">
            <v>257375235</v>
          </cell>
          <cell r="P632" t="str">
            <v>SP</v>
          </cell>
          <cell r="Q632" t="str">
            <v>SSP</v>
          </cell>
          <cell r="R632" t="str">
            <v>GUARUJA</v>
          </cell>
        </row>
        <row r="633">
          <cell r="A633" t="str">
            <v>ALEXANDER PANTOJA</v>
          </cell>
          <cell r="B633" t="str">
            <v>Casado</v>
          </cell>
          <cell r="C633" t="str">
            <v>R Padre Anchieta</v>
          </cell>
          <cell r="D633" t="str">
            <v>Macuco</v>
          </cell>
          <cell r="E633" t="str">
            <v>SANTOS</v>
          </cell>
          <cell r="F633" t="str">
            <v>SP</v>
          </cell>
          <cell r="G633" t="str">
            <v>276</v>
          </cell>
          <cell r="H633" t="str">
            <v>CA B</v>
          </cell>
          <cell r="I633" t="str">
            <v>11015-120</v>
          </cell>
          <cell r="J633" t="str">
            <v>974073962</v>
          </cell>
          <cell r="K633" t="str">
            <v/>
          </cell>
          <cell r="L633" t="str">
            <v>Masculino</v>
          </cell>
          <cell r="M633" t="str">
            <v>Parda</v>
          </cell>
          <cell r="N633">
            <v>27144</v>
          </cell>
          <cell r="O633" t="str">
            <v>258161462</v>
          </cell>
          <cell r="P633" t="str">
            <v>SP</v>
          </cell>
          <cell r="Q633" t="str">
            <v>SSP</v>
          </cell>
          <cell r="R633" t="str">
            <v>SANTOS</v>
          </cell>
        </row>
        <row r="634">
          <cell r="A634" t="str">
            <v>MANUEL DE PAULA NETO</v>
          </cell>
          <cell r="B634" t="str">
            <v>Casado</v>
          </cell>
          <cell r="C634" t="str">
            <v>AV Doutor Haroldo de Camargo</v>
          </cell>
          <cell r="D634" t="str">
            <v>Castelo</v>
          </cell>
          <cell r="E634" t="str">
            <v>SANTOS</v>
          </cell>
          <cell r="F634" t="str">
            <v>SP</v>
          </cell>
          <cell r="G634" t="str">
            <v>60</v>
          </cell>
          <cell r="H634" t="str">
            <v>AP 85 TORRE C</v>
          </cell>
          <cell r="I634" t="str">
            <v>11087-500</v>
          </cell>
          <cell r="J634" t="str">
            <v>991713308</v>
          </cell>
          <cell r="K634" t="str">
            <v/>
          </cell>
          <cell r="L634" t="str">
            <v>Masculino</v>
          </cell>
          <cell r="M634" t="str">
            <v>Parda</v>
          </cell>
          <cell r="N634">
            <v>26441</v>
          </cell>
          <cell r="O634" t="str">
            <v>25839669</v>
          </cell>
          <cell r="P634" t="str">
            <v>SP</v>
          </cell>
          <cell r="Q634" t="str">
            <v>SSP</v>
          </cell>
          <cell r="R634" t="str">
            <v>SANTOS</v>
          </cell>
        </row>
        <row r="635">
          <cell r="A635" t="str">
            <v>FABIO DE AGUIAR CUNHA</v>
          </cell>
          <cell r="B635" t="str">
            <v>Casado</v>
          </cell>
          <cell r="C635" t="str">
            <v>R Venâncio José Lisboa</v>
          </cell>
          <cell r="D635" t="str">
            <v>Ponta da Praia</v>
          </cell>
          <cell r="E635" t="str">
            <v>SANTOS</v>
          </cell>
          <cell r="F635" t="str">
            <v>SP</v>
          </cell>
          <cell r="G635" t="str">
            <v>31</v>
          </cell>
          <cell r="H635" t="str">
            <v>91</v>
          </cell>
          <cell r="I635" t="str">
            <v>11030-080</v>
          </cell>
          <cell r="J635" t="str">
            <v>974075070</v>
          </cell>
          <cell r="K635" t="str">
            <v/>
          </cell>
          <cell r="L635" t="str">
            <v>Masculino</v>
          </cell>
          <cell r="M635" t="str">
            <v>Parda</v>
          </cell>
          <cell r="N635">
            <v>29197</v>
          </cell>
          <cell r="O635" t="str">
            <v>267366590</v>
          </cell>
          <cell r="P635" t="str">
            <v>SP</v>
          </cell>
          <cell r="Q635" t="str">
            <v>SSP</v>
          </cell>
          <cell r="R635" t="str">
            <v>GUARUJA</v>
          </cell>
        </row>
        <row r="636">
          <cell r="A636" t="str">
            <v>LEANDRO SILVA DE ALMEIDA</v>
          </cell>
          <cell r="B636" t="str">
            <v>Casado</v>
          </cell>
          <cell r="C636" t="str">
            <v>AV Siqueira Campos</v>
          </cell>
          <cell r="D636" t="str">
            <v>Embare</v>
          </cell>
          <cell r="E636" t="str">
            <v>SANTOS</v>
          </cell>
          <cell r="F636" t="str">
            <v>SP</v>
          </cell>
          <cell r="G636" t="str">
            <v>517</v>
          </cell>
          <cell r="H636" t="str">
            <v>AP 21</v>
          </cell>
          <cell r="I636" t="str">
            <v>11045-201</v>
          </cell>
          <cell r="J636" t="str">
            <v/>
          </cell>
          <cell r="K636" t="str">
            <v/>
          </cell>
          <cell r="L636" t="str">
            <v>Masculino</v>
          </cell>
          <cell r="M636" t="str">
            <v>Parda</v>
          </cell>
          <cell r="N636">
            <v>28404</v>
          </cell>
          <cell r="O636" t="str">
            <v>288528451</v>
          </cell>
          <cell r="P636" t="str">
            <v>SP</v>
          </cell>
          <cell r="Q636" t="str">
            <v>SSP</v>
          </cell>
          <cell r="R636" t="str">
            <v>SANTOS</v>
          </cell>
        </row>
        <row r="637">
          <cell r="A637" t="str">
            <v>REGINALDO SOARES JUNIOR</v>
          </cell>
          <cell r="B637" t="str">
            <v>União Estável</v>
          </cell>
          <cell r="C637" t="str">
            <v>AV Cellula Matter</v>
          </cell>
          <cell r="D637" t="str">
            <v>Parque Continental</v>
          </cell>
          <cell r="E637" t="str">
            <v>SAO VICENTE</v>
          </cell>
          <cell r="F637" t="str">
            <v>SP</v>
          </cell>
          <cell r="G637" t="str">
            <v>1259</v>
          </cell>
          <cell r="H637" t="str">
            <v>Casa 1</v>
          </cell>
          <cell r="I637" t="str">
            <v>11348-000</v>
          </cell>
          <cell r="J637" t="str">
            <v>34062200</v>
          </cell>
          <cell r="K637" t="str">
            <v/>
          </cell>
          <cell r="L637" t="str">
            <v>Masculino</v>
          </cell>
          <cell r="M637" t="str">
            <v>Parda</v>
          </cell>
          <cell r="N637">
            <v>28409</v>
          </cell>
          <cell r="O637" t="str">
            <v>27344469</v>
          </cell>
          <cell r="P637" t="str">
            <v>SP</v>
          </cell>
          <cell r="Q637" t="str">
            <v>SSP</v>
          </cell>
          <cell r="R637" t="str">
            <v>SANTOS</v>
          </cell>
        </row>
        <row r="638">
          <cell r="A638" t="str">
            <v>GUSTAVO COSTA NETO</v>
          </cell>
          <cell r="B638" t="str">
            <v>Casado</v>
          </cell>
          <cell r="C638" t="str">
            <v>R Diogo Álvares Correia</v>
          </cell>
          <cell r="D638" t="str">
            <v>Aviação</v>
          </cell>
          <cell r="E638" t="str">
            <v>PRAIA GRANDE</v>
          </cell>
          <cell r="F638" t="str">
            <v>SP</v>
          </cell>
          <cell r="G638" t="str">
            <v>311</v>
          </cell>
          <cell r="H638" t="str">
            <v/>
          </cell>
          <cell r="I638" t="str">
            <v>11702-730</v>
          </cell>
          <cell r="J638" t="str">
            <v>981152988</v>
          </cell>
          <cell r="K638" t="str">
            <v/>
          </cell>
          <cell r="L638" t="str">
            <v>Masculino</v>
          </cell>
          <cell r="M638" t="str">
            <v>Parda</v>
          </cell>
          <cell r="N638">
            <v>32192</v>
          </cell>
          <cell r="O638" t="str">
            <v>422833290</v>
          </cell>
          <cell r="P638" t="str">
            <v>SP</v>
          </cell>
          <cell r="Q638" t="str">
            <v>SSP</v>
          </cell>
          <cell r="R638" t="str">
            <v>SANTOS</v>
          </cell>
        </row>
        <row r="639">
          <cell r="A639" t="str">
            <v>MARCIO ANTONIO VASCONCELOS DOS SANTOS</v>
          </cell>
          <cell r="B639" t="str">
            <v>Casado</v>
          </cell>
          <cell r="C639" t="str">
            <v>R Liberdade</v>
          </cell>
          <cell r="D639" t="str">
            <v>Aparecida</v>
          </cell>
          <cell r="E639" t="str">
            <v>SANTOS</v>
          </cell>
          <cell r="F639" t="str">
            <v>SP</v>
          </cell>
          <cell r="G639" t="str">
            <v>792</v>
          </cell>
          <cell r="H639" t="str">
            <v/>
          </cell>
          <cell r="I639" t="str">
            <v>11025-032</v>
          </cell>
          <cell r="J639" t="str">
            <v>974069201</v>
          </cell>
          <cell r="K639" t="str">
            <v/>
          </cell>
          <cell r="L639" t="str">
            <v>Masculino</v>
          </cell>
          <cell r="M639" t="str">
            <v>Parda</v>
          </cell>
          <cell r="N639">
            <v>27746</v>
          </cell>
          <cell r="O639" t="str">
            <v>280132621</v>
          </cell>
          <cell r="P639" t="str">
            <v>SP</v>
          </cell>
          <cell r="Q639" t="str">
            <v>SSP</v>
          </cell>
          <cell r="R639" t="str">
            <v>SANTOS</v>
          </cell>
        </row>
        <row r="640">
          <cell r="A640" t="str">
            <v>ANDERSON BERNARDO DO NASCIMENTO</v>
          </cell>
          <cell r="B640" t="str">
            <v>Casado</v>
          </cell>
          <cell r="C640" t="str">
            <v>R Dom Duarte Leopoldo e Silva</v>
          </cell>
          <cell r="D640" t="str">
            <v>Marapé</v>
          </cell>
          <cell r="E640" t="str">
            <v>SANTOS</v>
          </cell>
          <cell r="F640" t="str">
            <v>SP</v>
          </cell>
          <cell r="G640" t="str">
            <v>165</v>
          </cell>
          <cell r="H640" t="str">
            <v>Casa 02</v>
          </cell>
          <cell r="I640" t="str">
            <v>11070-131</v>
          </cell>
          <cell r="J640" t="str">
            <v>991075390</v>
          </cell>
          <cell r="K640" t="str">
            <v/>
          </cell>
          <cell r="L640" t="str">
            <v>Masculino</v>
          </cell>
          <cell r="M640" t="str">
            <v>Parda</v>
          </cell>
          <cell r="N640">
            <v>31033</v>
          </cell>
          <cell r="O640" t="str">
            <v>437319908</v>
          </cell>
          <cell r="P640" t="str">
            <v>SP</v>
          </cell>
          <cell r="Q640" t="str">
            <v>SSP</v>
          </cell>
          <cell r="R640" t="str">
            <v>SANTOS</v>
          </cell>
        </row>
        <row r="641">
          <cell r="A641" t="str">
            <v>VICTOR GALANTE GEROTICA</v>
          </cell>
          <cell r="B641" t="str">
            <v>Solteiro</v>
          </cell>
          <cell r="C641" t="str">
            <v>AV dos Bancários</v>
          </cell>
          <cell r="D641" t="str">
            <v>Ponta da Praia</v>
          </cell>
          <cell r="E641" t="str">
            <v>SANTOS</v>
          </cell>
          <cell r="F641" t="str">
            <v>SP</v>
          </cell>
          <cell r="G641" t="str">
            <v>53</v>
          </cell>
          <cell r="H641" t="str">
            <v>84</v>
          </cell>
          <cell r="I641" t="str">
            <v>11030-301</v>
          </cell>
          <cell r="J641" t="str">
            <v>997504229</v>
          </cell>
          <cell r="K641" t="str">
            <v/>
          </cell>
          <cell r="L641" t="str">
            <v>Masculino</v>
          </cell>
          <cell r="M641" t="str">
            <v>Parda</v>
          </cell>
          <cell r="N641">
            <v>31521</v>
          </cell>
          <cell r="O641" t="str">
            <v>330845536</v>
          </cell>
          <cell r="P641" t="str">
            <v>SP</v>
          </cell>
          <cell r="Q641" t="str">
            <v>SSP</v>
          </cell>
          <cell r="R641" t="str">
            <v>SANTOS</v>
          </cell>
        </row>
        <row r="642">
          <cell r="A642" t="str">
            <v>ELIANE OLIVEIRA DA SILVA</v>
          </cell>
          <cell r="B642" t="str">
            <v>Casado</v>
          </cell>
          <cell r="C642" t="str">
            <v>R João Ramalho</v>
          </cell>
          <cell r="D642" t="str">
            <v>Aviação</v>
          </cell>
          <cell r="E642" t="str">
            <v>PRAIA GRANDE</v>
          </cell>
          <cell r="F642" t="str">
            <v>SP</v>
          </cell>
          <cell r="G642" t="str">
            <v>280</v>
          </cell>
          <cell r="H642" t="str">
            <v>45</v>
          </cell>
          <cell r="I642" t="str">
            <v>11702-820</v>
          </cell>
          <cell r="J642" t="str">
            <v>991155343</v>
          </cell>
          <cell r="K642" t="str">
            <v/>
          </cell>
          <cell r="L642" t="str">
            <v>Feminino</v>
          </cell>
          <cell r="M642" t="str">
            <v>Parda</v>
          </cell>
          <cell r="N642">
            <v>29244</v>
          </cell>
          <cell r="O642" t="str">
            <v>289630526</v>
          </cell>
          <cell r="P642" t="str">
            <v>SP</v>
          </cell>
          <cell r="Q642" t="str">
            <v>SSP</v>
          </cell>
          <cell r="R642" t="str">
            <v>SANTOS</v>
          </cell>
        </row>
        <row r="643">
          <cell r="A643" t="str">
            <v>GUILHERME WILLIAN SILVA DE CASTRO</v>
          </cell>
          <cell r="B643" t="str">
            <v>Solteiro</v>
          </cell>
          <cell r="C643" t="str">
            <v>R CANDIDO PAULO LIE</v>
          </cell>
          <cell r="D643" t="str">
            <v>Vila Nova São Vicent</v>
          </cell>
          <cell r="E643" t="str">
            <v>SAO VICENTE</v>
          </cell>
          <cell r="F643" t="str">
            <v>SP</v>
          </cell>
          <cell r="G643" t="str">
            <v>25</v>
          </cell>
          <cell r="H643" t="str">
            <v/>
          </cell>
          <cell r="I643" t="str">
            <v>11346-390</v>
          </cell>
          <cell r="J643" t="str">
            <v>99659123</v>
          </cell>
          <cell r="K643" t="str">
            <v/>
          </cell>
          <cell r="L643" t="str">
            <v>Masculino</v>
          </cell>
          <cell r="M643" t="str">
            <v>Parda</v>
          </cell>
          <cell r="N643">
            <v>34998</v>
          </cell>
          <cell r="O643" t="str">
            <v>371729245</v>
          </cell>
          <cell r="P643" t="str">
            <v>SP</v>
          </cell>
          <cell r="Q643" t="str">
            <v>SSP</v>
          </cell>
          <cell r="R643" t="str">
            <v>SANTOS</v>
          </cell>
        </row>
        <row r="644">
          <cell r="A644" t="str">
            <v>ALEXSANDRO FERREIRA SANTANA</v>
          </cell>
          <cell r="B644" t="str">
            <v>União Estável</v>
          </cell>
          <cell r="C644" t="str">
            <v>R Pedro Américo</v>
          </cell>
          <cell r="D644" t="str">
            <v>Campo Grande</v>
          </cell>
          <cell r="E644" t="str">
            <v>SANTOS</v>
          </cell>
          <cell r="F644" t="str">
            <v>SP</v>
          </cell>
          <cell r="G644" t="str">
            <v>230</v>
          </cell>
          <cell r="H644" t="str">
            <v>AP 08</v>
          </cell>
          <cell r="I644" t="str">
            <v>11075-401</v>
          </cell>
          <cell r="J644" t="str">
            <v>32524464</v>
          </cell>
          <cell r="K644" t="str">
            <v/>
          </cell>
          <cell r="L644" t="str">
            <v>Masculino</v>
          </cell>
          <cell r="M644" t="str">
            <v>Parda</v>
          </cell>
          <cell r="N644">
            <v>27309</v>
          </cell>
          <cell r="O644" t="str">
            <v>264849541</v>
          </cell>
          <cell r="P644" t="str">
            <v>SP</v>
          </cell>
          <cell r="Q644" t="str">
            <v>SSP</v>
          </cell>
          <cell r="R644" t="str">
            <v>RECIFE</v>
          </cell>
        </row>
        <row r="645">
          <cell r="A645" t="str">
            <v>VALDENI FERREIRA ANACLETO</v>
          </cell>
          <cell r="B645" t="str">
            <v>Casado</v>
          </cell>
          <cell r="C645" t="str">
            <v>TV I VILA TELMA</v>
          </cell>
          <cell r="D645" t="str">
            <v>Rádio Clube</v>
          </cell>
          <cell r="E645" t="str">
            <v>SANTOS</v>
          </cell>
          <cell r="F645" t="str">
            <v>SP</v>
          </cell>
          <cell r="G645" t="str">
            <v>4</v>
          </cell>
          <cell r="H645" t="str">
            <v/>
          </cell>
          <cell r="I645" t="str">
            <v>11088-016</v>
          </cell>
          <cell r="J645" t="str">
            <v>974086935</v>
          </cell>
          <cell r="K645" t="str">
            <v/>
          </cell>
          <cell r="L645" t="str">
            <v>Masculino</v>
          </cell>
          <cell r="M645" t="str">
            <v>Parda</v>
          </cell>
          <cell r="N645">
            <v>24984</v>
          </cell>
          <cell r="O645" t="str">
            <v>184003775</v>
          </cell>
          <cell r="P645" t="str">
            <v>SP</v>
          </cell>
          <cell r="Q645" t="str">
            <v>SSP</v>
          </cell>
          <cell r="R645" t="str">
            <v>SANTOS</v>
          </cell>
        </row>
        <row r="646">
          <cell r="A646" t="str">
            <v>MARCIO JOSE GONCALVES</v>
          </cell>
          <cell r="B646" t="str">
            <v>Casado</v>
          </cell>
          <cell r="C646" t="str">
            <v>R ALMIRANTE ERNESTO DE MELLO JUNIOR</v>
          </cell>
          <cell r="D646" t="str">
            <v>Aparecida</v>
          </cell>
          <cell r="E646" t="str">
            <v>SANTOS</v>
          </cell>
          <cell r="F646" t="str">
            <v>SP</v>
          </cell>
          <cell r="G646" t="str">
            <v>198</v>
          </cell>
          <cell r="H646" t="str">
            <v>APTO 102</v>
          </cell>
          <cell r="I646" t="str">
            <v>11035-300</v>
          </cell>
          <cell r="J646" t="str">
            <v>33498324</v>
          </cell>
          <cell r="K646" t="str">
            <v>974226477</v>
          </cell>
          <cell r="L646" t="str">
            <v>Masculino</v>
          </cell>
          <cell r="M646" t="str">
            <v>Parda</v>
          </cell>
          <cell r="N646">
            <v>27944</v>
          </cell>
          <cell r="O646" t="str">
            <v>267363928</v>
          </cell>
          <cell r="P646" t="str">
            <v>SP</v>
          </cell>
          <cell r="Q646" t="str">
            <v>SSP</v>
          </cell>
          <cell r="R646" t="str">
            <v>SANTOS</v>
          </cell>
        </row>
        <row r="647">
          <cell r="A647" t="str">
            <v>CARLO FABRICCIO DA SILVA</v>
          </cell>
          <cell r="B647" t="str">
            <v>Solteiro</v>
          </cell>
          <cell r="C647" t="str">
            <v>R Guarani</v>
          </cell>
          <cell r="D647" t="str">
            <v>Parque São Vicente</v>
          </cell>
          <cell r="E647" t="str">
            <v>SAO VICENTE</v>
          </cell>
          <cell r="F647" t="str">
            <v>SP</v>
          </cell>
          <cell r="G647" t="str">
            <v>299</v>
          </cell>
          <cell r="H647" t="str">
            <v>Casa 09</v>
          </cell>
          <cell r="I647" t="str">
            <v>11360-000</v>
          </cell>
          <cell r="J647" t="str">
            <v>32916100</v>
          </cell>
          <cell r="K647" t="str">
            <v/>
          </cell>
          <cell r="L647" t="str">
            <v>Masculino</v>
          </cell>
          <cell r="M647" t="str">
            <v>Parda</v>
          </cell>
          <cell r="N647">
            <v>29146</v>
          </cell>
          <cell r="O647" t="str">
            <v>22546147</v>
          </cell>
          <cell r="P647" t="str">
            <v>SP</v>
          </cell>
          <cell r="Q647" t="str">
            <v>SSP</v>
          </cell>
          <cell r="R647" t="str">
            <v>SANTOS</v>
          </cell>
        </row>
        <row r="648">
          <cell r="A648" t="str">
            <v>FRANCISCO ADALBERTO NASCIMENTO DA SILVA</v>
          </cell>
          <cell r="B648" t="str">
            <v>União Estável</v>
          </cell>
          <cell r="C648" t="str">
            <v>R felipe camarão</v>
          </cell>
          <cell r="D648" t="str">
            <v>Aparecida</v>
          </cell>
          <cell r="E648" t="str">
            <v>SANTOS</v>
          </cell>
          <cell r="F648" t="str">
            <v>SP</v>
          </cell>
          <cell r="G648" t="str">
            <v>37</v>
          </cell>
          <cell r="H648" t="str">
            <v>ap 37</v>
          </cell>
          <cell r="I648" t="str">
            <v>11025-250</v>
          </cell>
          <cell r="J648" t="str">
            <v>996002950</v>
          </cell>
          <cell r="K648" t="str">
            <v/>
          </cell>
          <cell r="L648" t="str">
            <v>Masculino</v>
          </cell>
          <cell r="M648" t="str">
            <v>Parda</v>
          </cell>
          <cell r="N648">
            <v>24592</v>
          </cell>
          <cell r="O648" t="str">
            <v>188112236</v>
          </cell>
          <cell r="P648" t="str">
            <v>SP</v>
          </cell>
          <cell r="Q648" t="str">
            <v>SSP</v>
          </cell>
          <cell r="R648" t="str">
            <v>FORTALEZA</v>
          </cell>
        </row>
        <row r="649">
          <cell r="A649" t="str">
            <v>RAPHAEL GOMES FIGLIOLI</v>
          </cell>
          <cell r="B649" t="str">
            <v>Casado</v>
          </cell>
          <cell r="C649" t="str">
            <v>AV Affonso Penna</v>
          </cell>
          <cell r="D649" t="str">
            <v>Estuario</v>
          </cell>
          <cell r="E649" t="str">
            <v>SANTOS</v>
          </cell>
          <cell r="F649" t="str">
            <v>SP</v>
          </cell>
          <cell r="G649" t="str">
            <v>525</v>
          </cell>
          <cell r="H649" t="str">
            <v>BL B AP 14</v>
          </cell>
          <cell r="I649" t="str">
            <v>11020-003</v>
          </cell>
          <cell r="J649" t="str">
            <v>974222386</v>
          </cell>
          <cell r="K649" t="str">
            <v/>
          </cell>
          <cell r="L649" t="str">
            <v>Masculino</v>
          </cell>
          <cell r="M649" t="str">
            <v>Parda</v>
          </cell>
          <cell r="N649">
            <v>29779</v>
          </cell>
          <cell r="O649" t="str">
            <v>326759797</v>
          </cell>
          <cell r="P649" t="str">
            <v>SP</v>
          </cell>
          <cell r="Q649" t="str">
            <v>SSP</v>
          </cell>
          <cell r="R649" t="str">
            <v>SANTOS</v>
          </cell>
        </row>
        <row r="650">
          <cell r="A650" t="str">
            <v>MARCELO FRANCA LOUREIRO</v>
          </cell>
          <cell r="B650" t="str">
            <v>Casado</v>
          </cell>
          <cell r="C650" t="str">
            <v>R Doutor Germano Melchert</v>
          </cell>
          <cell r="D650" t="str">
            <v>Embare</v>
          </cell>
          <cell r="E650" t="str">
            <v>SANTOS</v>
          </cell>
          <cell r="F650" t="str">
            <v>SP</v>
          </cell>
          <cell r="G650" t="str">
            <v>40</v>
          </cell>
          <cell r="H650" t="str">
            <v>BL B- AP 23</v>
          </cell>
          <cell r="I650" t="str">
            <v>11045-210</v>
          </cell>
          <cell r="J650" t="str">
            <v>33945308</v>
          </cell>
          <cell r="K650" t="str">
            <v/>
          </cell>
          <cell r="L650" t="str">
            <v>Masculino</v>
          </cell>
          <cell r="M650" t="str">
            <v>Parda</v>
          </cell>
          <cell r="N650">
            <v>27478</v>
          </cell>
          <cell r="O650" t="str">
            <v>275608943</v>
          </cell>
          <cell r="P650" t="str">
            <v>SP</v>
          </cell>
          <cell r="Q650" t="str">
            <v>SSP</v>
          </cell>
          <cell r="R650" t="str">
            <v>SANTOS</v>
          </cell>
        </row>
        <row r="651">
          <cell r="A651" t="str">
            <v>PEDRO HENRIQUE DE ANDRADE</v>
          </cell>
          <cell r="B651" t="str">
            <v>Viúvo</v>
          </cell>
          <cell r="C651" t="str">
            <v>R Bolívia</v>
          </cell>
          <cell r="D651" t="str">
            <v>Parque Sao Vicente</v>
          </cell>
          <cell r="E651" t="str">
            <v>SAO VICENTE</v>
          </cell>
          <cell r="F651" t="str">
            <v>SP</v>
          </cell>
          <cell r="G651" t="str">
            <v>37</v>
          </cell>
          <cell r="H651" t="str">
            <v>FD</v>
          </cell>
          <cell r="I651" t="str">
            <v>11355-490</v>
          </cell>
          <cell r="J651" t="str">
            <v>32239419</v>
          </cell>
          <cell r="K651" t="str">
            <v>991785779</v>
          </cell>
          <cell r="L651" t="str">
            <v>Masculino</v>
          </cell>
          <cell r="M651" t="str">
            <v>Parda</v>
          </cell>
          <cell r="N651">
            <v>25019</v>
          </cell>
          <cell r="O651" t="str">
            <v>189912145</v>
          </cell>
          <cell r="P651" t="str">
            <v>SP</v>
          </cell>
          <cell r="Q651" t="str">
            <v>SSP</v>
          </cell>
          <cell r="R651" t="str">
            <v>ANDRADINA</v>
          </cell>
        </row>
        <row r="652">
          <cell r="A652" t="str">
            <v>MARCOS BIO PINHEIRO</v>
          </cell>
          <cell r="B652" t="str">
            <v>Casado</v>
          </cell>
          <cell r="C652" t="str">
            <v>AV Alvorada</v>
          </cell>
          <cell r="D652" t="str">
            <v>Jardim Alvorada (Vic</v>
          </cell>
          <cell r="E652" t="str">
            <v>GUARUJA</v>
          </cell>
          <cell r="F652" t="str">
            <v>SP</v>
          </cell>
          <cell r="G652" t="str">
            <v>505</v>
          </cell>
          <cell r="H652" t="str">
            <v>CASA A - ALTOS</v>
          </cell>
          <cell r="I652" t="str">
            <v>11470-000</v>
          </cell>
          <cell r="J652" t="str">
            <v>974122716</v>
          </cell>
          <cell r="K652" t="str">
            <v/>
          </cell>
          <cell r="L652" t="str">
            <v>Masculino</v>
          </cell>
          <cell r="M652" t="str">
            <v>Parda</v>
          </cell>
          <cell r="N652">
            <v>26769</v>
          </cell>
          <cell r="O652" t="str">
            <v>245470670</v>
          </cell>
          <cell r="P652" t="str">
            <v>SP</v>
          </cell>
          <cell r="Q652" t="str">
            <v>SSP</v>
          </cell>
          <cell r="R652" t="str">
            <v>SANTOS</v>
          </cell>
        </row>
        <row r="653">
          <cell r="A653" t="str">
            <v>MARCIO JOAO MONTEIRO DA SILVA</v>
          </cell>
          <cell r="B653" t="str">
            <v>Solteiro</v>
          </cell>
          <cell r="C653" t="str">
            <v>R NICOLAU PAAL</v>
          </cell>
          <cell r="D653" t="str">
            <v>Quietude</v>
          </cell>
          <cell r="E653" t="str">
            <v>PRAIA GRANDE</v>
          </cell>
          <cell r="F653" t="str">
            <v>SP</v>
          </cell>
          <cell r="G653" t="str">
            <v>24813</v>
          </cell>
          <cell r="H653" t="str">
            <v>CASA</v>
          </cell>
          <cell r="I653" t="str">
            <v>11718-155</v>
          </cell>
          <cell r="J653" t="str">
            <v>974064467</v>
          </cell>
          <cell r="K653" t="str">
            <v>34959556</v>
          </cell>
          <cell r="L653" t="str">
            <v>Masculino</v>
          </cell>
          <cell r="M653" t="str">
            <v>Parda</v>
          </cell>
          <cell r="N653">
            <v>24647</v>
          </cell>
          <cell r="O653" t="str">
            <v>1624717X</v>
          </cell>
          <cell r="P653" t="str">
            <v>SP</v>
          </cell>
          <cell r="Q653" t="str">
            <v>SSP</v>
          </cell>
          <cell r="R653" t="str">
            <v>SANTOS</v>
          </cell>
        </row>
        <row r="654">
          <cell r="A654" t="str">
            <v>REGINALDO GIRAUD</v>
          </cell>
          <cell r="B654" t="str">
            <v>União Estável</v>
          </cell>
          <cell r="C654" t="str">
            <v>R Nabuco de Araújo</v>
          </cell>
          <cell r="D654" t="str">
            <v>Embare</v>
          </cell>
          <cell r="E654" t="str">
            <v>SANTOS</v>
          </cell>
          <cell r="F654" t="str">
            <v>SP</v>
          </cell>
          <cell r="G654" t="str">
            <v>689</v>
          </cell>
          <cell r="H654" t="str">
            <v>AP 12</v>
          </cell>
          <cell r="I654" t="str">
            <v>11025-011</v>
          </cell>
          <cell r="J654" t="str">
            <v>32273084</v>
          </cell>
          <cell r="K654" t="str">
            <v/>
          </cell>
          <cell r="L654" t="str">
            <v>Masculino</v>
          </cell>
          <cell r="M654" t="str">
            <v>Parda</v>
          </cell>
          <cell r="N654">
            <v>24959</v>
          </cell>
          <cell r="O654" t="str">
            <v>189947081</v>
          </cell>
          <cell r="P654" t="str">
            <v>SP</v>
          </cell>
          <cell r="Q654" t="str">
            <v>SSP</v>
          </cell>
          <cell r="R654" t="str">
            <v>SANTOS</v>
          </cell>
        </row>
        <row r="655">
          <cell r="A655" t="str">
            <v>SERGIO LUIZ DA SILVA DE OLIVEIRA</v>
          </cell>
          <cell r="B655" t="str">
            <v>União Estável</v>
          </cell>
          <cell r="C655" t="str">
            <v>R Doutor Ernesto Vergara</v>
          </cell>
          <cell r="D655" t="str">
            <v>Tupi</v>
          </cell>
          <cell r="E655" t="str">
            <v>PRAIA GRANDE</v>
          </cell>
          <cell r="F655" t="str">
            <v>SP</v>
          </cell>
          <cell r="G655" t="str">
            <v>63</v>
          </cell>
          <cell r="H655" t="str">
            <v>Apto 12</v>
          </cell>
          <cell r="I655" t="str">
            <v>11704-030</v>
          </cell>
          <cell r="J655" t="str">
            <v>974112866</v>
          </cell>
          <cell r="K655" t="str">
            <v>974112866</v>
          </cell>
          <cell r="L655" t="str">
            <v>Masculino</v>
          </cell>
          <cell r="M655" t="str">
            <v>Parda</v>
          </cell>
          <cell r="N655">
            <v>26450</v>
          </cell>
          <cell r="O655" t="str">
            <v>226801664</v>
          </cell>
          <cell r="P655" t="str">
            <v>SP</v>
          </cell>
          <cell r="Q655" t="str">
            <v>SSP</v>
          </cell>
          <cell r="R655" t="str">
            <v>SANTOS</v>
          </cell>
        </row>
        <row r="656">
          <cell r="A656" t="str">
            <v>NELSON AMARO DA SILVA JUNIOR</v>
          </cell>
          <cell r="B656" t="str">
            <v>Casado</v>
          </cell>
          <cell r="C656" t="str">
            <v>R Álvares Cabral</v>
          </cell>
          <cell r="D656" t="str">
            <v>Vila Belmiro</v>
          </cell>
          <cell r="E656" t="str">
            <v>SANTOS</v>
          </cell>
          <cell r="F656" t="str">
            <v>SP</v>
          </cell>
          <cell r="G656" t="str">
            <v>29</v>
          </cell>
          <cell r="H656" t="str">
            <v>Altos</v>
          </cell>
          <cell r="I656" t="str">
            <v>11075-600</v>
          </cell>
          <cell r="J656" t="str">
            <v>991954901</v>
          </cell>
          <cell r="K656" t="str">
            <v/>
          </cell>
          <cell r="L656" t="str">
            <v>Masculino</v>
          </cell>
          <cell r="M656" t="str">
            <v>Parda</v>
          </cell>
          <cell r="N656">
            <v>27061</v>
          </cell>
          <cell r="O656" t="str">
            <v>233199913</v>
          </cell>
          <cell r="P656" t="str">
            <v>SP</v>
          </cell>
          <cell r="Q656" t="str">
            <v>SSP</v>
          </cell>
          <cell r="R656" t="str">
            <v>SANTOS</v>
          </cell>
        </row>
        <row r="657">
          <cell r="A657" t="str">
            <v>JOAO BATISTA GONCALVES</v>
          </cell>
          <cell r="B657" t="str">
            <v>Casado</v>
          </cell>
          <cell r="C657" t="str">
            <v>R BENEDITO ERNESTO GUIMARAES</v>
          </cell>
          <cell r="D657" t="str">
            <v>Marapé</v>
          </cell>
          <cell r="E657" t="str">
            <v>SANTOS</v>
          </cell>
          <cell r="F657" t="str">
            <v>SP</v>
          </cell>
          <cell r="G657" t="str">
            <v>77</v>
          </cell>
          <cell r="H657" t="str">
            <v>BL A AP 11</v>
          </cell>
          <cell r="I657" t="str">
            <v>11070-020</v>
          </cell>
          <cell r="J657" t="str">
            <v>33581399</v>
          </cell>
          <cell r="K657" t="str">
            <v>992064076</v>
          </cell>
          <cell r="L657" t="str">
            <v>Masculino</v>
          </cell>
          <cell r="M657" t="str">
            <v>Parda</v>
          </cell>
          <cell r="N657">
            <v>25157</v>
          </cell>
          <cell r="O657" t="str">
            <v>219349629</v>
          </cell>
          <cell r="P657" t="str">
            <v>SP</v>
          </cell>
          <cell r="Q657" t="str">
            <v>SSP</v>
          </cell>
          <cell r="R657" t="str">
            <v>SANTOS</v>
          </cell>
        </row>
        <row r="658">
          <cell r="A658" t="str">
            <v>JOAO BATISTA DE LIMA BARROS</v>
          </cell>
          <cell r="B658" t="str">
            <v>Casado</v>
          </cell>
          <cell r="C658" t="str">
            <v>R 1</v>
          </cell>
          <cell r="D658" t="str">
            <v>Vila Progresso</v>
          </cell>
          <cell r="E658" t="str">
            <v>SANTOS</v>
          </cell>
          <cell r="F658" t="str">
            <v>SP</v>
          </cell>
          <cell r="G658" t="str">
            <v>2902</v>
          </cell>
          <cell r="H658" t="str">
            <v>ALTOS</v>
          </cell>
          <cell r="I658" t="str">
            <v>11080-520</v>
          </cell>
          <cell r="J658" t="str">
            <v>32587149</v>
          </cell>
          <cell r="K658" t="str">
            <v>997852846</v>
          </cell>
          <cell r="L658" t="str">
            <v>Masculino</v>
          </cell>
          <cell r="M658" t="str">
            <v>Parda</v>
          </cell>
          <cell r="N658">
            <v>31218</v>
          </cell>
          <cell r="O658" t="str">
            <v>23588710</v>
          </cell>
          <cell r="P658" t="str">
            <v>SP</v>
          </cell>
          <cell r="Q658" t="str">
            <v>SSP</v>
          </cell>
          <cell r="R658" t="str">
            <v>SANTA RITA</v>
          </cell>
        </row>
        <row r="659">
          <cell r="A659" t="str">
            <v>ALEXANDRE RODRIGUES DOS SANTOS</v>
          </cell>
          <cell r="B659" t="str">
            <v>Casado</v>
          </cell>
          <cell r="C659" t="str">
            <v>R Vereador João Inácio de Souza</v>
          </cell>
          <cell r="D659" t="str">
            <v>Macuco</v>
          </cell>
          <cell r="E659" t="str">
            <v>SANTOS</v>
          </cell>
          <cell r="F659" t="str">
            <v>SP</v>
          </cell>
          <cell r="G659" t="str">
            <v>12</v>
          </cell>
          <cell r="H659" t="str">
            <v>Casa</v>
          </cell>
          <cell r="I659" t="str">
            <v>11020-180</v>
          </cell>
          <cell r="J659" t="str">
            <v>974220062</v>
          </cell>
          <cell r="K659" t="str">
            <v/>
          </cell>
          <cell r="L659" t="str">
            <v>Masculino</v>
          </cell>
          <cell r="M659" t="str">
            <v>Parda</v>
          </cell>
          <cell r="N659">
            <v>28999</v>
          </cell>
          <cell r="O659" t="str">
            <v>331712416</v>
          </cell>
          <cell r="P659" t="str">
            <v>SP</v>
          </cell>
          <cell r="Q659" t="str">
            <v>SSP</v>
          </cell>
          <cell r="R659" t="str">
            <v>SANTOS</v>
          </cell>
        </row>
        <row r="660">
          <cell r="A660" t="str">
            <v>DANIEL SANTANA JUNIOR</v>
          </cell>
          <cell r="B660" t="str">
            <v>Casado</v>
          </cell>
          <cell r="C660" t="str">
            <v>R AVIADOR RIBEIRO</v>
          </cell>
          <cell r="D660" t="str">
            <v>Vila Cascatinha</v>
          </cell>
          <cell r="E660" t="str">
            <v>SAO VICENTE</v>
          </cell>
          <cell r="F660" t="str">
            <v>SP</v>
          </cell>
          <cell r="G660" t="str">
            <v>53</v>
          </cell>
          <cell r="H660" t="str">
            <v>AP 27</v>
          </cell>
          <cell r="I660" t="str">
            <v>11370-110</v>
          </cell>
          <cell r="J660" t="str">
            <v>997352559</v>
          </cell>
          <cell r="K660" t="str">
            <v/>
          </cell>
          <cell r="L660" t="str">
            <v>Masculino</v>
          </cell>
          <cell r="M660" t="str">
            <v>Parda</v>
          </cell>
          <cell r="N660">
            <v>33703</v>
          </cell>
          <cell r="O660" t="str">
            <v>484142100</v>
          </cell>
          <cell r="P660" t="str">
            <v>SP</v>
          </cell>
          <cell r="Q660" t="str">
            <v>SSP</v>
          </cell>
          <cell r="R660" t="str">
            <v>PRAIA GRANDE</v>
          </cell>
        </row>
        <row r="661">
          <cell r="A661" t="str">
            <v>MARCOS ANTONIO BANDEIRA JUNIOR</v>
          </cell>
          <cell r="B661" t="str">
            <v>Separado</v>
          </cell>
          <cell r="C661" t="str">
            <v>R Jardel Franca</v>
          </cell>
          <cell r="D661" t="str">
            <v>Esplanada dos Barrei</v>
          </cell>
          <cell r="E661" t="str">
            <v>SAO VICENTE</v>
          </cell>
          <cell r="F661" t="str">
            <v>SP</v>
          </cell>
          <cell r="G661" t="str">
            <v>385</v>
          </cell>
          <cell r="H661" t="str">
            <v>CA 1</v>
          </cell>
          <cell r="I661" t="str">
            <v>11340-340</v>
          </cell>
          <cell r="J661" t="str">
            <v>991255507</v>
          </cell>
          <cell r="K661" t="str">
            <v/>
          </cell>
          <cell r="L661" t="str">
            <v>Masculino</v>
          </cell>
          <cell r="M661" t="str">
            <v>Parda</v>
          </cell>
          <cell r="N661">
            <v>27653</v>
          </cell>
          <cell r="O661" t="str">
            <v>233182329</v>
          </cell>
          <cell r="P661" t="str">
            <v>SP</v>
          </cell>
          <cell r="Q661" t="str">
            <v>SSP</v>
          </cell>
          <cell r="R661" t="str">
            <v>SANTOS</v>
          </cell>
        </row>
        <row r="662">
          <cell r="A662" t="str">
            <v>REGINALDO DOS SANTOS</v>
          </cell>
          <cell r="B662" t="str">
            <v>Casado</v>
          </cell>
          <cell r="C662" t="str">
            <v>R MINISTRO XAVIER DE TOLEDO</v>
          </cell>
          <cell r="D662" t="str">
            <v>Campo Grande</v>
          </cell>
          <cell r="E662" t="str">
            <v>SANTOS</v>
          </cell>
          <cell r="F662" t="str">
            <v>SP</v>
          </cell>
          <cell r="G662" t="str">
            <v>76</v>
          </cell>
          <cell r="H662" t="str">
            <v>APTO 163</v>
          </cell>
          <cell r="I662" t="str">
            <v>11070-300</v>
          </cell>
          <cell r="J662" t="str">
            <v>974186997</v>
          </cell>
          <cell r="K662" t="str">
            <v/>
          </cell>
          <cell r="L662" t="str">
            <v>Masculino</v>
          </cell>
          <cell r="M662" t="str">
            <v>Parda</v>
          </cell>
          <cell r="N662">
            <v>30363</v>
          </cell>
          <cell r="O662" t="str">
            <v>341547396</v>
          </cell>
          <cell r="P662" t="str">
            <v>SP</v>
          </cell>
          <cell r="Q662" t="str">
            <v>SSP</v>
          </cell>
          <cell r="R662" t="str">
            <v>CUBATAO</v>
          </cell>
        </row>
        <row r="663">
          <cell r="A663" t="str">
            <v>EDUARDO CARVALHO DE OLIVEIRA</v>
          </cell>
          <cell r="B663" t="str">
            <v>Casado</v>
          </cell>
          <cell r="C663" t="str">
            <v>R Maria Eugenia de Oliveira</v>
          </cell>
          <cell r="D663" t="str">
            <v>Morrinhos</v>
          </cell>
          <cell r="E663" t="str">
            <v>GUARUJA</v>
          </cell>
          <cell r="F663" t="str">
            <v>SP</v>
          </cell>
          <cell r="G663" t="str">
            <v>36</v>
          </cell>
          <cell r="H663" t="str">
            <v>ANT R 25</v>
          </cell>
          <cell r="I663" t="str">
            <v>11495-026</v>
          </cell>
          <cell r="J663" t="str">
            <v>988048473</v>
          </cell>
          <cell r="K663" t="str">
            <v/>
          </cell>
          <cell r="L663" t="str">
            <v>Masculino</v>
          </cell>
          <cell r="M663" t="str">
            <v>Parda</v>
          </cell>
          <cell r="N663">
            <v>31324</v>
          </cell>
          <cell r="O663" t="str">
            <v>35396725</v>
          </cell>
          <cell r="P663" t="str">
            <v>SP</v>
          </cell>
          <cell r="Q663" t="str">
            <v>SSP</v>
          </cell>
          <cell r="R663" t="str">
            <v>GUARUJA</v>
          </cell>
        </row>
        <row r="664">
          <cell r="A664" t="str">
            <v>ADENILSON DOS SANTOS</v>
          </cell>
          <cell r="B664" t="str">
            <v>Casado</v>
          </cell>
          <cell r="C664" t="str">
            <v>TV São Miguel</v>
          </cell>
          <cell r="D664" t="str">
            <v>Sítio Paecara (Vicen</v>
          </cell>
          <cell r="E664" t="str">
            <v>GUARUJA</v>
          </cell>
          <cell r="F664" t="str">
            <v>SP</v>
          </cell>
          <cell r="G664" t="str">
            <v>364</v>
          </cell>
          <cell r="H664" t="str">
            <v/>
          </cell>
          <cell r="I664" t="str">
            <v>11463-070</v>
          </cell>
          <cell r="J664" t="str">
            <v>33426200</v>
          </cell>
          <cell r="K664" t="str">
            <v/>
          </cell>
          <cell r="L664" t="str">
            <v>Masculino</v>
          </cell>
          <cell r="M664" t="str">
            <v>Parda</v>
          </cell>
          <cell r="N664">
            <v>24337</v>
          </cell>
          <cell r="O664" t="str">
            <v>199023761</v>
          </cell>
          <cell r="P664" t="str">
            <v>SP</v>
          </cell>
          <cell r="Q664" t="str">
            <v>SSP</v>
          </cell>
          <cell r="R664" t="str">
            <v>GUARUJA</v>
          </cell>
        </row>
        <row r="665">
          <cell r="A665" t="str">
            <v>THIAGO ALBUQUERQUE MONTENEGRO</v>
          </cell>
          <cell r="B665" t="str">
            <v>Casado</v>
          </cell>
          <cell r="C665" t="str">
            <v>R Agenor de Assis</v>
          </cell>
          <cell r="D665" t="str">
            <v>Jd Santa Maria (Vicente de Carvalho)</v>
          </cell>
          <cell r="E665" t="str">
            <v>GUARUJA</v>
          </cell>
          <cell r="F665" t="str">
            <v>SP</v>
          </cell>
          <cell r="G665" t="str">
            <v>265</v>
          </cell>
          <cell r="H665" t="str">
            <v>CASA 10 RESIDENCIAL MAITÊ</v>
          </cell>
          <cell r="I665" t="str">
            <v>11450-180</v>
          </cell>
          <cell r="J665" t="str">
            <v>33416424</v>
          </cell>
          <cell r="K665" t="str">
            <v/>
          </cell>
          <cell r="L665" t="str">
            <v>Masculino</v>
          </cell>
          <cell r="M665" t="str">
            <v>Parda</v>
          </cell>
          <cell r="N665">
            <v>31223</v>
          </cell>
          <cell r="O665" t="str">
            <v>44005726</v>
          </cell>
          <cell r="P665" t="str">
            <v>SP</v>
          </cell>
          <cell r="Q665" t="str">
            <v>SSP</v>
          </cell>
          <cell r="R665" t="str">
            <v>GUARUJA</v>
          </cell>
        </row>
        <row r="666">
          <cell r="A666" t="str">
            <v>EMMANUEL DOMINGOS DOS SANTOS NOBREGA</v>
          </cell>
          <cell r="B666" t="str">
            <v>Casado</v>
          </cell>
          <cell r="C666" t="str">
            <v>R Michel Alca</v>
          </cell>
          <cell r="D666" t="str">
            <v>Mirim</v>
          </cell>
          <cell r="E666" t="str">
            <v>PRAIA GRANDE</v>
          </cell>
          <cell r="F666" t="str">
            <v>SP</v>
          </cell>
          <cell r="G666" t="str">
            <v>1156</v>
          </cell>
          <cell r="H666" t="str">
            <v>Casa</v>
          </cell>
          <cell r="I666" t="str">
            <v>11704-610</v>
          </cell>
          <cell r="J666" t="str">
            <v>997071929</v>
          </cell>
          <cell r="K666" t="str">
            <v/>
          </cell>
          <cell r="L666" t="str">
            <v>Masculino</v>
          </cell>
          <cell r="M666" t="str">
            <v>Parda</v>
          </cell>
          <cell r="N666">
            <v>29484</v>
          </cell>
          <cell r="O666" t="str">
            <v>30591286</v>
          </cell>
          <cell r="P666" t="str">
            <v>SP</v>
          </cell>
          <cell r="Q666" t="str">
            <v>SSP</v>
          </cell>
          <cell r="R666" t="str">
            <v>SANTOS</v>
          </cell>
        </row>
        <row r="667">
          <cell r="A667" t="str">
            <v>GEORGE NASCIMENTO RAMOS</v>
          </cell>
          <cell r="B667" t="str">
            <v>Casado</v>
          </cell>
          <cell r="C667" t="str">
            <v>R Guilherme Raposo de Almeida</v>
          </cell>
          <cell r="D667" t="str">
            <v>Cidade Nautica</v>
          </cell>
          <cell r="E667" t="str">
            <v>SAO VICENTE</v>
          </cell>
          <cell r="F667" t="str">
            <v>SP</v>
          </cell>
          <cell r="G667" t="str">
            <v>447</v>
          </cell>
          <cell r="H667" t="str">
            <v>Casa</v>
          </cell>
          <cell r="I667" t="str">
            <v>11350-200</v>
          </cell>
          <cell r="J667" t="str">
            <v>981213960</v>
          </cell>
          <cell r="K667" t="str">
            <v/>
          </cell>
          <cell r="L667" t="str">
            <v>Masculino</v>
          </cell>
          <cell r="M667" t="str">
            <v>Parda</v>
          </cell>
          <cell r="N667">
            <v>29874</v>
          </cell>
          <cell r="O667" t="str">
            <v>301799908</v>
          </cell>
          <cell r="P667" t="str">
            <v>SP</v>
          </cell>
          <cell r="Q667" t="str">
            <v>SSP</v>
          </cell>
          <cell r="R667" t="str">
            <v>SANTOS</v>
          </cell>
        </row>
        <row r="668">
          <cell r="A668" t="str">
            <v>LUIZ ANTONIO RIBEIRO DOS SANTOS</v>
          </cell>
          <cell r="B668" t="str">
            <v>Divorciado</v>
          </cell>
          <cell r="C668" t="str">
            <v>R Professor Francisco De Domênico</v>
          </cell>
          <cell r="D668" t="str">
            <v>Rádio Clube</v>
          </cell>
          <cell r="E668" t="str">
            <v>SANTOS</v>
          </cell>
          <cell r="F668" t="str">
            <v>SP</v>
          </cell>
          <cell r="G668" t="str">
            <v>1201</v>
          </cell>
          <cell r="H668" t="str">
            <v>Bloco 13 apt 4</v>
          </cell>
          <cell r="I668" t="str">
            <v>11086-001</v>
          </cell>
          <cell r="J668" t="str">
            <v>974079153</v>
          </cell>
          <cell r="K668" t="str">
            <v/>
          </cell>
          <cell r="L668" t="str">
            <v>Masculino</v>
          </cell>
          <cell r="M668" t="str">
            <v>Indígena</v>
          </cell>
          <cell r="N668">
            <v>30955</v>
          </cell>
          <cell r="O668" t="str">
            <v>41644538X</v>
          </cell>
          <cell r="P668" t="str">
            <v>SP</v>
          </cell>
          <cell r="Q668" t="str">
            <v>SSP</v>
          </cell>
          <cell r="R668" t="str">
            <v>SANTOS</v>
          </cell>
        </row>
        <row r="669">
          <cell r="A669" t="str">
            <v>GENILSON GOMES VASCONCELOS</v>
          </cell>
          <cell r="B669" t="str">
            <v>União Estável</v>
          </cell>
          <cell r="C669" t="str">
            <v>AV Brasil</v>
          </cell>
          <cell r="D669" t="str">
            <v>Morro Nova Cintra</v>
          </cell>
          <cell r="E669" t="str">
            <v>SANTOS</v>
          </cell>
          <cell r="F669" t="str">
            <v>SP</v>
          </cell>
          <cell r="G669" t="str">
            <v>34bli</v>
          </cell>
          <cell r="H669" t="str">
            <v>Ap24</v>
          </cell>
          <cell r="I669" t="str">
            <v>11080-250</v>
          </cell>
          <cell r="J669" t="str">
            <v>988278011</v>
          </cell>
          <cell r="K669" t="str">
            <v/>
          </cell>
          <cell r="L669" t="str">
            <v>Masculino</v>
          </cell>
          <cell r="M669" t="str">
            <v>Parda</v>
          </cell>
          <cell r="N669">
            <v>31757</v>
          </cell>
          <cell r="O669" t="str">
            <v>47017263</v>
          </cell>
          <cell r="P669" t="str">
            <v>SP</v>
          </cell>
          <cell r="Q669" t="str">
            <v>SSP</v>
          </cell>
          <cell r="R669" t="str">
            <v>ITABAIANA</v>
          </cell>
        </row>
        <row r="670">
          <cell r="A670" t="str">
            <v>LEANDRO ANDRADE DE SANTANA</v>
          </cell>
          <cell r="B670" t="str">
            <v>Casado</v>
          </cell>
          <cell r="C670" t="str">
            <v>R Guarani</v>
          </cell>
          <cell r="D670" t="str">
            <v>Parque São Vicente</v>
          </cell>
          <cell r="E670" t="str">
            <v>SAO VICENTE</v>
          </cell>
          <cell r="F670" t="str">
            <v>SP</v>
          </cell>
          <cell r="G670" t="str">
            <v>197</v>
          </cell>
          <cell r="H670" t="str">
            <v>apto. 210</v>
          </cell>
          <cell r="I670" t="str">
            <v>11360-000</v>
          </cell>
          <cell r="J670" t="str">
            <v>981568386</v>
          </cell>
          <cell r="K670" t="str">
            <v/>
          </cell>
          <cell r="L670" t="str">
            <v>Masculino</v>
          </cell>
          <cell r="M670" t="str">
            <v>Parda</v>
          </cell>
          <cell r="N670">
            <v>30358</v>
          </cell>
          <cell r="O670" t="str">
            <v>46126310</v>
          </cell>
          <cell r="P670" t="str">
            <v>SP</v>
          </cell>
          <cell r="Q670" t="str">
            <v>SSP</v>
          </cell>
          <cell r="R670" t="str">
            <v>SAO VICENTE</v>
          </cell>
        </row>
        <row r="671">
          <cell r="A671" t="str">
            <v>MARCELO SAMPAIO DE OLIVEIRA</v>
          </cell>
          <cell r="B671" t="str">
            <v>União Estável</v>
          </cell>
          <cell r="C671" t="str">
            <v>R José Gonçalves da Mota Jr.</v>
          </cell>
          <cell r="D671" t="str">
            <v>Vila Belmiro</v>
          </cell>
          <cell r="E671" t="str">
            <v>SANTOS</v>
          </cell>
          <cell r="F671" t="str">
            <v>SP</v>
          </cell>
          <cell r="G671" t="str">
            <v>116</v>
          </cell>
          <cell r="H671" t="str">
            <v>AP 14</v>
          </cell>
          <cell r="I671" t="str">
            <v>11070-230</v>
          </cell>
          <cell r="J671" t="str">
            <v>991312171</v>
          </cell>
          <cell r="K671" t="str">
            <v/>
          </cell>
          <cell r="L671" t="str">
            <v>Masculino</v>
          </cell>
          <cell r="M671" t="str">
            <v>Parda</v>
          </cell>
          <cell r="N671">
            <v>26010</v>
          </cell>
          <cell r="O671" t="str">
            <v>20584352</v>
          </cell>
          <cell r="P671" t="str">
            <v>SP</v>
          </cell>
          <cell r="Q671" t="str">
            <v>SSP</v>
          </cell>
          <cell r="R671" t="str">
            <v>SANTOS</v>
          </cell>
        </row>
        <row r="672">
          <cell r="A672" t="str">
            <v>CICERO EDUARDO RAMOS DA SILVA</v>
          </cell>
          <cell r="B672" t="str">
            <v>Casado</v>
          </cell>
          <cell r="C672" t="str">
            <v>AV Prefeito Prestes Maia</v>
          </cell>
          <cell r="D672" t="str">
            <v>Esplanada dos Barrei</v>
          </cell>
          <cell r="E672" t="str">
            <v>SAO VICENTE</v>
          </cell>
          <cell r="F672" t="str">
            <v>SP</v>
          </cell>
          <cell r="G672" t="str">
            <v>695</v>
          </cell>
          <cell r="H672" t="str">
            <v/>
          </cell>
          <cell r="I672" t="str">
            <v>11340-270</v>
          </cell>
          <cell r="J672" t="str">
            <v>997442482</v>
          </cell>
          <cell r="K672" t="str">
            <v/>
          </cell>
          <cell r="L672" t="str">
            <v>Masculino</v>
          </cell>
          <cell r="M672" t="str">
            <v>Parda</v>
          </cell>
          <cell r="N672">
            <v>28228</v>
          </cell>
          <cell r="O672" t="str">
            <v>328065377</v>
          </cell>
          <cell r="P672" t="str">
            <v>SP</v>
          </cell>
          <cell r="Q672" t="str">
            <v>SSP</v>
          </cell>
          <cell r="R672" t="str">
            <v>GUARUJA</v>
          </cell>
        </row>
        <row r="673">
          <cell r="A673" t="str">
            <v>SERGIO LUIZ PASSOS DIAS</v>
          </cell>
          <cell r="B673" t="str">
            <v>Casado</v>
          </cell>
          <cell r="C673" t="str">
            <v>R João Leite Soares</v>
          </cell>
          <cell r="D673" t="str">
            <v>Jardim Boa Esperança</v>
          </cell>
          <cell r="E673" t="str">
            <v>GUARUJA</v>
          </cell>
          <cell r="F673" t="str">
            <v>SP</v>
          </cell>
          <cell r="G673" t="str">
            <v>291</v>
          </cell>
          <cell r="H673" t="str">
            <v>CS 37</v>
          </cell>
          <cell r="I673" t="str">
            <v>11470-280</v>
          </cell>
          <cell r="J673" t="str">
            <v>996851021</v>
          </cell>
          <cell r="K673" t="str">
            <v>996851021</v>
          </cell>
          <cell r="L673" t="str">
            <v>Masculino</v>
          </cell>
          <cell r="M673" t="str">
            <v>Parda</v>
          </cell>
          <cell r="N673">
            <v>28117</v>
          </cell>
          <cell r="O673" t="str">
            <v>27234678</v>
          </cell>
          <cell r="P673" t="str">
            <v>SP</v>
          </cell>
          <cell r="Q673" t="str">
            <v>SSP</v>
          </cell>
          <cell r="R673" t="str">
            <v>GUARUJA</v>
          </cell>
        </row>
        <row r="674">
          <cell r="A674" t="str">
            <v>MAURO PEREIRA TEIXEIRA</v>
          </cell>
          <cell r="B674" t="str">
            <v>Casado</v>
          </cell>
          <cell r="C674" t="str">
            <v>R Carlos Caldeira</v>
          </cell>
          <cell r="D674" t="str">
            <v>Santa Maria</v>
          </cell>
          <cell r="E674" t="str">
            <v>SANTOS</v>
          </cell>
          <cell r="F674" t="str">
            <v>SP</v>
          </cell>
          <cell r="G674" t="str">
            <v>731</v>
          </cell>
          <cell r="H674" t="str">
            <v>FUNDOS</v>
          </cell>
          <cell r="I674" t="str">
            <v>11089-130</v>
          </cell>
          <cell r="J674" t="str">
            <v>30623104</v>
          </cell>
          <cell r="K674" t="str">
            <v>997188903</v>
          </cell>
          <cell r="L674" t="str">
            <v>Masculino</v>
          </cell>
          <cell r="M674" t="str">
            <v>Parda</v>
          </cell>
          <cell r="N674">
            <v>22781</v>
          </cell>
          <cell r="O674" t="str">
            <v>14947281X</v>
          </cell>
          <cell r="P674" t="str">
            <v>SP</v>
          </cell>
          <cell r="Q674" t="str">
            <v>SSP</v>
          </cell>
          <cell r="R674" t="str">
            <v>SANTOS</v>
          </cell>
        </row>
        <row r="675">
          <cell r="A675" t="str">
            <v>ALEXANDRE ALBUQUERQUE DA SILVA</v>
          </cell>
          <cell r="B675" t="str">
            <v>Casado</v>
          </cell>
          <cell r="C675" t="str">
            <v>R Senador Azevedo Júnior</v>
          </cell>
          <cell r="D675" t="str">
            <v>Sitio do Campo</v>
          </cell>
          <cell r="E675" t="str">
            <v>PRAIA GRANDE</v>
          </cell>
          <cell r="F675" t="str">
            <v>SP</v>
          </cell>
          <cell r="G675" t="str">
            <v>250</v>
          </cell>
          <cell r="H675" t="str">
            <v>CASA 05</v>
          </cell>
          <cell r="I675" t="str">
            <v>11725-030</v>
          </cell>
          <cell r="J675" t="str">
            <v>988018267</v>
          </cell>
          <cell r="K675" t="str">
            <v/>
          </cell>
          <cell r="L675" t="str">
            <v>Masculino</v>
          </cell>
          <cell r="M675" t="str">
            <v>Parda</v>
          </cell>
          <cell r="N675">
            <v>27354</v>
          </cell>
          <cell r="O675" t="str">
            <v>28300635</v>
          </cell>
          <cell r="P675" t="str">
            <v>SP</v>
          </cell>
          <cell r="Q675" t="str">
            <v>SSP</v>
          </cell>
          <cell r="R675" t="str">
            <v>SAO VICENTE</v>
          </cell>
        </row>
        <row r="676">
          <cell r="A676" t="str">
            <v>VITOR HUGO BELTRANI FONTES</v>
          </cell>
          <cell r="B676" t="str">
            <v>Solteiro</v>
          </cell>
          <cell r="C676" t="str">
            <v>AV Doutor Pedro Lessa</v>
          </cell>
          <cell r="D676" t="str">
            <v>Aparecida</v>
          </cell>
          <cell r="E676" t="str">
            <v>SANTOS</v>
          </cell>
          <cell r="F676" t="str">
            <v>SP</v>
          </cell>
          <cell r="G676" t="str">
            <v>2850</v>
          </cell>
          <cell r="H676" t="str">
            <v>81</v>
          </cell>
          <cell r="I676" t="str">
            <v>11025-002</v>
          </cell>
          <cell r="J676" t="str">
            <v>991247764</v>
          </cell>
          <cell r="K676" t="str">
            <v/>
          </cell>
          <cell r="L676" t="str">
            <v>Masculino</v>
          </cell>
          <cell r="M676" t="str">
            <v>Parda</v>
          </cell>
          <cell r="N676">
            <v>31246</v>
          </cell>
          <cell r="O676" t="str">
            <v>349600417</v>
          </cell>
          <cell r="P676" t="str">
            <v>SP</v>
          </cell>
          <cell r="Q676" t="str">
            <v>SSP</v>
          </cell>
          <cell r="R676" t="str">
            <v>SANTOS</v>
          </cell>
        </row>
        <row r="677">
          <cell r="A677" t="str">
            <v>MARCELO FERNANDO RANGEL</v>
          </cell>
          <cell r="B677" t="str">
            <v>Casado</v>
          </cell>
          <cell r="C677" t="str">
            <v>R Hélio Alves Martins</v>
          </cell>
          <cell r="D677" t="str">
            <v>Morrinhos</v>
          </cell>
          <cell r="E677" t="str">
            <v>GUARUJA</v>
          </cell>
          <cell r="F677" t="str">
            <v>SP</v>
          </cell>
          <cell r="G677" t="str">
            <v>60</v>
          </cell>
          <cell r="H677" t="str">
            <v>APTO 41</v>
          </cell>
          <cell r="I677" t="str">
            <v>11495-009</v>
          </cell>
          <cell r="J677" t="str">
            <v>974056341</v>
          </cell>
          <cell r="K677" t="str">
            <v/>
          </cell>
          <cell r="L677" t="str">
            <v>Masculino</v>
          </cell>
          <cell r="M677" t="str">
            <v>Parda</v>
          </cell>
          <cell r="N677">
            <v>28387</v>
          </cell>
          <cell r="O677" t="str">
            <v>288673104</v>
          </cell>
          <cell r="P677" t="str">
            <v>SP</v>
          </cell>
          <cell r="Q677" t="str">
            <v>SSP</v>
          </cell>
          <cell r="R677" t="str">
            <v>GUARUJA</v>
          </cell>
        </row>
        <row r="678">
          <cell r="A678" t="str">
            <v>CLAUDIO HENRIQUE ALVES DE SIQUEIRA</v>
          </cell>
          <cell r="B678" t="str">
            <v>Casado</v>
          </cell>
          <cell r="C678" t="str">
            <v>AV Jor Paulo Matos</v>
          </cell>
          <cell r="D678" t="str">
            <v>Areia Branca</v>
          </cell>
          <cell r="E678" t="str">
            <v>SANTOS</v>
          </cell>
          <cell r="F678" t="str">
            <v>SP</v>
          </cell>
          <cell r="G678" t="str">
            <v>329</v>
          </cell>
          <cell r="H678" t="str">
            <v>Bloco 1 AP 207</v>
          </cell>
          <cell r="I678" t="str">
            <v>11086-495</v>
          </cell>
          <cell r="J678" t="str">
            <v>996241810</v>
          </cell>
          <cell r="K678" t="str">
            <v>996241810</v>
          </cell>
          <cell r="L678" t="str">
            <v>Masculino</v>
          </cell>
          <cell r="M678" t="str">
            <v>Parda</v>
          </cell>
          <cell r="N678">
            <v>28995</v>
          </cell>
          <cell r="O678" t="str">
            <v>309459485</v>
          </cell>
          <cell r="P678" t="str">
            <v>SP</v>
          </cell>
          <cell r="Q678" t="str">
            <v>SSP</v>
          </cell>
          <cell r="R678" t="str">
            <v>SANTOS</v>
          </cell>
        </row>
        <row r="679">
          <cell r="A679" t="str">
            <v>DIEGO MAFRA MELO</v>
          </cell>
          <cell r="B679" t="str">
            <v>Casado</v>
          </cell>
          <cell r="C679" t="str">
            <v>R Miguel Rocha dos Passos</v>
          </cell>
          <cell r="D679" t="str">
            <v>Vila Jockei Clube</v>
          </cell>
          <cell r="E679" t="str">
            <v>SAO VICENTE</v>
          </cell>
          <cell r="F679" t="str">
            <v>SP</v>
          </cell>
          <cell r="G679" t="str">
            <v>81</v>
          </cell>
          <cell r="H679" t="str">
            <v/>
          </cell>
          <cell r="I679" t="str">
            <v>11365-130</v>
          </cell>
          <cell r="J679" t="str">
            <v>991438316</v>
          </cell>
          <cell r="K679" t="str">
            <v>991438316</v>
          </cell>
          <cell r="L679" t="str">
            <v>Masculino</v>
          </cell>
          <cell r="M679" t="str">
            <v>Parda</v>
          </cell>
          <cell r="N679">
            <v>31660</v>
          </cell>
          <cell r="O679" t="str">
            <v>427245837</v>
          </cell>
          <cell r="P679" t="str">
            <v>SP</v>
          </cell>
          <cell r="Q679" t="str">
            <v>SSP</v>
          </cell>
          <cell r="R679" t="str">
            <v>SAO BERNARDO DO CAMPO</v>
          </cell>
        </row>
        <row r="680">
          <cell r="A680" t="str">
            <v>JOSE MARCOS DA ROCHA MACHADO</v>
          </cell>
          <cell r="B680" t="str">
            <v>Casado</v>
          </cell>
          <cell r="C680" t="str">
            <v>R Poetisa Cecília Meireles</v>
          </cell>
          <cell r="D680" t="str">
            <v>Jardim Brasil II</v>
          </cell>
          <cell r="E680" t="str">
            <v>GUARUJA</v>
          </cell>
          <cell r="F680" t="str">
            <v>SP</v>
          </cell>
          <cell r="G680" t="str">
            <v>62</v>
          </cell>
          <cell r="H680" t="str">
            <v>R 3 LT 9</v>
          </cell>
          <cell r="I680" t="str">
            <v>11497-510</v>
          </cell>
          <cell r="J680" t="str">
            <v>988772462</v>
          </cell>
          <cell r="K680" t="str">
            <v/>
          </cell>
          <cell r="L680" t="str">
            <v>Masculino</v>
          </cell>
          <cell r="M680" t="str">
            <v>Parda</v>
          </cell>
          <cell r="N680">
            <v>31288</v>
          </cell>
          <cell r="O680" t="str">
            <v>422829286</v>
          </cell>
          <cell r="P680" t="str">
            <v>SP</v>
          </cell>
          <cell r="Q680" t="str">
            <v>SSP</v>
          </cell>
          <cell r="R680" t="str">
            <v>AGUAS BELAS</v>
          </cell>
        </row>
        <row r="681">
          <cell r="A681" t="str">
            <v>RENAN TEODORO DE AZEVEDO GALLE</v>
          </cell>
          <cell r="B681" t="str">
            <v>Casado</v>
          </cell>
          <cell r="C681" t="str">
            <v>R Herman Stadie</v>
          </cell>
          <cell r="D681" t="str">
            <v>Jardim Santa Maria</v>
          </cell>
          <cell r="E681" t="str">
            <v>GUARUJA</v>
          </cell>
          <cell r="F681" t="str">
            <v>SP</v>
          </cell>
          <cell r="G681" t="str">
            <v>132</v>
          </cell>
          <cell r="H681" t="str">
            <v>APTO 34</v>
          </cell>
          <cell r="I681" t="str">
            <v>11432-210</v>
          </cell>
          <cell r="J681" t="str">
            <v>988118128</v>
          </cell>
          <cell r="K681" t="str">
            <v/>
          </cell>
          <cell r="L681" t="str">
            <v>Masculino</v>
          </cell>
          <cell r="M681" t="str">
            <v>Parda</v>
          </cell>
          <cell r="N681">
            <v>33302</v>
          </cell>
          <cell r="O681" t="str">
            <v>473681456</v>
          </cell>
          <cell r="P681" t="str">
            <v>SP</v>
          </cell>
          <cell r="Q681" t="str">
            <v>SSP</v>
          </cell>
          <cell r="R681" t="str">
            <v>GUARUJA</v>
          </cell>
        </row>
        <row r="682">
          <cell r="A682" t="str">
            <v>DIEGO ALVES CARDOSO</v>
          </cell>
          <cell r="B682" t="str">
            <v>Casado</v>
          </cell>
          <cell r="C682" t="str">
            <v>R Constelação Cruzeiro do Sul</v>
          </cell>
          <cell r="D682" t="str">
            <v>Ribeirópolis</v>
          </cell>
          <cell r="E682" t="str">
            <v>PRAIA GRANDE</v>
          </cell>
          <cell r="F682" t="str">
            <v>SP</v>
          </cell>
          <cell r="G682" t="str">
            <v>1683</v>
          </cell>
          <cell r="H682" t="str">
            <v/>
          </cell>
          <cell r="I682" t="str">
            <v>11714-015</v>
          </cell>
          <cell r="J682" t="str">
            <v>32955000</v>
          </cell>
          <cell r="K682" t="str">
            <v>996049885</v>
          </cell>
          <cell r="L682" t="str">
            <v>Masculino</v>
          </cell>
          <cell r="M682" t="str">
            <v>Parda</v>
          </cell>
          <cell r="N682">
            <v>30784</v>
          </cell>
          <cell r="O682" t="str">
            <v>41613345</v>
          </cell>
          <cell r="P682" t="str">
            <v>SP</v>
          </cell>
          <cell r="Q682" t="str">
            <v>SSP</v>
          </cell>
          <cell r="R682" t="str">
            <v>SAO VICENTE</v>
          </cell>
        </row>
        <row r="683">
          <cell r="A683" t="str">
            <v>SERGIO APARECIDO LIMA</v>
          </cell>
          <cell r="B683" t="str">
            <v>Casado</v>
          </cell>
          <cell r="C683" t="str">
            <v>R Dona Maria Máximo</v>
          </cell>
          <cell r="D683" t="str">
            <v>Ponta da Praia</v>
          </cell>
          <cell r="E683" t="str">
            <v>SANTOS</v>
          </cell>
          <cell r="F683" t="str">
            <v>SP</v>
          </cell>
          <cell r="G683" t="str">
            <v>153</v>
          </cell>
          <cell r="H683" t="str">
            <v>BL A AP 93</v>
          </cell>
          <cell r="I683" t="str">
            <v>11030-101</v>
          </cell>
          <cell r="J683" t="str">
            <v>974076460</v>
          </cell>
          <cell r="K683" t="str">
            <v/>
          </cell>
          <cell r="L683" t="str">
            <v>Masculino</v>
          </cell>
          <cell r="M683" t="str">
            <v>Parda</v>
          </cell>
          <cell r="N683">
            <v>27712</v>
          </cell>
          <cell r="O683" t="str">
            <v>226790538</v>
          </cell>
          <cell r="P683" t="str">
            <v>SP</v>
          </cell>
          <cell r="Q683" t="str">
            <v>SSP</v>
          </cell>
          <cell r="R683" t="str">
            <v>SANTOS</v>
          </cell>
        </row>
        <row r="684">
          <cell r="A684" t="str">
            <v>MOISES CORREA DE PAULA JUNIOR</v>
          </cell>
          <cell r="B684" t="str">
            <v>Casado</v>
          </cell>
          <cell r="C684" t="str">
            <v>R Jacob Emerick</v>
          </cell>
          <cell r="D684" t="str">
            <v>Centro</v>
          </cell>
          <cell r="E684" t="str">
            <v>SAO VICENTE</v>
          </cell>
          <cell r="F684" t="str">
            <v>SP</v>
          </cell>
          <cell r="G684" t="str">
            <v>154</v>
          </cell>
          <cell r="H684" t="str">
            <v>AP 1901</v>
          </cell>
          <cell r="I684" t="str">
            <v>11310-070</v>
          </cell>
          <cell r="J684" t="str">
            <v>974120790</v>
          </cell>
          <cell r="K684" t="str">
            <v/>
          </cell>
          <cell r="L684" t="str">
            <v>Masculino</v>
          </cell>
          <cell r="M684" t="str">
            <v>Parda</v>
          </cell>
          <cell r="N684">
            <v>26675</v>
          </cell>
          <cell r="O684" t="str">
            <v>22544700</v>
          </cell>
          <cell r="P684" t="str">
            <v>SP</v>
          </cell>
          <cell r="Q684" t="str">
            <v>SSP</v>
          </cell>
          <cell r="R684" t="str">
            <v>SAO VICENTE</v>
          </cell>
        </row>
        <row r="685">
          <cell r="A685" t="str">
            <v>JULIO AUGUSTO DA SILVA BARBOSA</v>
          </cell>
          <cell r="B685" t="str">
            <v>Casado</v>
          </cell>
          <cell r="C685" t="str">
            <v>AV ALMIRANTE COCHRANE</v>
          </cell>
          <cell r="D685" t="str">
            <v>Aparecida</v>
          </cell>
          <cell r="E685" t="str">
            <v>SANTOS</v>
          </cell>
          <cell r="F685" t="str">
            <v>SP</v>
          </cell>
          <cell r="G685" t="str">
            <v>184</v>
          </cell>
          <cell r="H685" t="str">
            <v>AP 32</v>
          </cell>
          <cell r="I685" t="str">
            <v>11040-000</v>
          </cell>
          <cell r="J685" t="str">
            <v>32713134</v>
          </cell>
          <cell r="K685" t="str">
            <v>932545646</v>
          </cell>
          <cell r="L685" t="str">
            <v>Masculino</v>
          </cell>
          <cell r="M685" t="str">
            <v>Parda</v>
          </cell>
          <cell r="N685">
            <v>30278</v>
          </cell>
          <cell r="O685" t="str">
            <v>437128143</v>
          </cell>
          <cell r="P685" t="str">
            <v>SP</v>
          </cell>
          <cell r="Q685" t="str">
            <v>SSP</v>
          </cell>
          <cell r="R685" t="str">
            <v>SANTOS</v>
          </cell>
        </row>
        <row r="686">
          <cell r="A686" t="str">
            <v>OTONIEL ANTONIO DA ROCHA</v>
          </cell>
          <cell r="B686" t="str">
            <v>Casado</v>
          </cell>
          <cell r="C686" t="str">
            <v>R Augusto Gomes Pereira</v>
          </cell>
          <cell r="D686" t="str">
            <v>Santa Maria</v>
          </cell>
          <cell r="E686" t="str">
            <v>SANTOS</v>
          </cell>
          <cell r="F686" t="str">
            <v>SP</v>
          </cell>
          <cell r="G686" t="str">
            <v>241</v>
          </cell>
          <cell r="H686" t="str">
            <v>Casa</v>
          </cell>
          <cell r="I686" t="str">
            <v>11089-220</v>
          </cell>
          <cell r="J686" t="str">
            <v>998083621</v>
          </cell>
          <cell r="K686" t="str">
            <v/>
          </cell>
          <cell r="L686" t="str">
            <v>Masculino</v>
          </cell>
          <cell r="M686" t="str">
            <v>Parda</v>
          </cell>
          <cell r="N686">
            <v>25789</v>
          </cell>
          <cell r="O686" t="str">
            <v>212498587</v>
          </cell>
          <cell r="P686" t="str">
            <v>SP</v>
          </cell>
          <cell r="Q686" t="str">
            <v>SSP</v>
          </cell>
          <cell r="R686" t="str">
            <v>SANTOS</v>
          </cell>
        </row>
        <row r="687">
          <cell r="A687" t="str">
            <v>MARCOS ANTONIO ALVES</v>
          </cell>
          <cell r="B687" t="str">
            <v>Casado</v>
          </cell>
          <cell r="C687" t="str">
            <v>R Deputado Emílio Justo</v>
          </cell>
          <cell r="D687" t="str">
            <v>Conjunto Residencial Humaitá</v>
          </cell>
          <cell r="E687" t="str">
            <v>SAO VICENTE</v>
          </cell>
          <cell r="F687" t="str">
            <v>SP</v>
          </cell>
          <cell r="G687" t="str">
            <v>137</v>
          </cell>
          <cell r="H687" t="str">
            <v>CS</v>
          </cell>
          <cell r="I687" t="str">
            <v>11349-030</v>
          </cell>
          <cell r="J687" t="str">
            <v>991812880</v>
          </cell>
          <cell r="K687" t="str">
            <v/>
          </cell>
          <cell r="L687" t="str">
            <v>Masculino</v>
          </cell>
          <cell r="M687" t="str">
            <v>Parda</v>
          </cell>
          <cell r="N687">
            <v>24737</v>
          </cell>
          <cell r="O687" t="str">
            <v>193800081</v>
          </cell>
          <cell r="P687" t="str">
            <v>SP</v>
          </cell>
          <cell r="Q687" t="str">
            <v>SSP</v>
          </cell>
          <cell r="R687" t="str">
            <v>SANTOS</v>
          </cell>
        </row>
        <row r="688">
          <cell r="A688" t="str">
            <v>ALDEMIR SILVA DE AZEVEDO</v>
          </cell>
          <cell r="B688" t="str">
            <v>Casado</v>
          </cell>
          <cell r="C688" t="str">
            <v>R Miguel Pasquarelli</v>
          </cell>
          <cell r="D688" t="str">
            <v>Esplanada dos Barrei</v>
          </cell>
          <cell r="E688" t="str">
            <v>SAO VICENTE</v>
          </cell>
          <cell r="F688" t="str">
            <v>SP</v>
          </cell>
          <cell r="G688" t="str">
            <v>289</v>
          </cell>
          <cell r="H688" t="str">
            <v/>
          </cell>
          <cell r="I688" t="str">
            <v>11340-360</v>
          </cell>
          <cell r="J688" t="str">
            <v>34621794</v>
          </cell>
          <cell r="K688" t="str">
            <v/>
          </cell>
          <cell r="L688" t="str">
            <v>Masculino</v>
          </cell>
          <cell r="M688" t="str">
            <v>Parda</v>
          </cell>
          <cell r="N688">
            <v>28318</v>
          </cell>
          <cell r="O688" t="str">
            <v>309761086</v>
          </cell>
          <cell r="P688" t="str">
            <v>SP</v>
          </cell>
          <cell r="Q688" t="str">
            <v>SSP</v>
          </cell>
          <cell r="R688" t="str">
            <v>SANTOS</v>
          </cell>
        </row>
        <row r="689">
          <cell r="A689" t="str">
            <v>VANESSA TEIXEIRA DE ARAGAO</v>
          </cell>
          <cell r="B689" t="str">
            <v>União Estável</v>
          </cell>
          <cell r="C689" t="str">
            <v>R DOUTOR BEZERRA DE MENEZES</v>
          </cell>
          <cell r="D689" t="str">
            <v>Macuco</v>
          </cell>
          <cell r="E689" t="str">
            <v>SANTOS</v>
          </cell>
          <cell r="F689" t="str">
            <v>SP</v>
          </cell>
          <cell r="G689" t="str">
            <v>175</v>
          </cell>
          <cell r="H689" t="str">
            <v>Casa 4</v>
          </cell>
          <cell r="I689" t="str">
            <v>11020-050</v>
          </cell>
          <cell r="J689" t="str">
            <v>33010092</v>
          </cell>
          <cell r="K689" t="str">
            <v/>
          </cell>
          <cell r="L689" t="str">
            <v>Feminino</v>
          </cell>
          <cell r="M689" t="str">
            <v>Parda</v>
          </cell>
          <cell r="N689">
            <v>27421</v>
          </cell>
          <cell r="O689" t="str">
            <v>249572138</v>
          </cell>
          <cell r="P689" t="str">
            <v>SP</v>
          </cell>
          <cell r="Q689" t="str">
            <v>SSP</v>
          </cell>
          <cell r="R689" t="str">
            <v>SANTOS</v>
          </cell>
        </row>
        <row r="690">
          <cell r="A690" t="str">
            <v>DANIEL SIMPLICIO BEZERRA</v>
          </cell>
          <cell r="B690" t="str">
            <v>Casado</v>
          </cell>
          <cell r="C690" t="str">
            <v>AV Santos Dumont</v>
          </cell>
          <cell r="D690" t="str">
            <v>Jardim Boa Esperança</v>
          </cell>
          <cell r="E690" t="str">
            <v>GUARUJA</v>
          </cell>
          <cell r="F690" t="str">
            <v>SP</v>
          </cell>
          <cell r="G690" t="str">
            <v>1915</v>
          </cell>
          <cell r="H690" t="str">
            <v>BL G AP 6</v>
          </cell>
          <cell r="I690" t="str">
            <v>11460-004</v>
          </cell>
          <cell r="J690" t="str">
            <v>974148614</v>
          </cell>
          <cell r="K690" t="str">
            <v>974148614</v>
          </cell>
          <cell r="L690" t="str">
            <v>Masculino</v>
          </cell>
          <cell r="M690" t="str">
            <v>Parda</v>
          </cell>
          <cell r="N690">
            <v>26289</v>
          </cell>
          <cell r="O690" t="str">
            <v>208250657</v>
          </cell>
          <cell r="P690" t="str">
            <v>SP</v>
          </cell>
          <cell r="Q690" t="str">
            <v>SSP</v>
          </cell>
          <cell r="R690" t="str">
            <v>GUARUJA</v>
          </cell>
        </row>
        <row r="691">
          <cell r="A691" t="str">
            <v>ALEXANDRE DE CARVALHO</v>
          </cell>
          <cell r="B691" t="str">
            <v>Casado</v>
          </cell>
          <cell r="C691" t="str">
            <v>RES Doutor Freud</v>
          </cell>
          <cell r="D691" t="str">
            <v>Ociian</v>
          </cell>
          <cell r="E691" t="str">
            <v>PRAIA GRANDE</v>
          </cell>
          <cell r="F691" t="str">
            <v>SP</v>
          </cell>
          <cell r="G691" t="str">
            <v>67</v>
          </cell>
          <cell r="H691" t="str">
            <v>CASA</v>
          </cell>
          <cell r="I691" t="str">
            <v>11740-140</v>
          </cell>
          <cell r="J691" t="str">
            <v>33295053</v>
          </cell>
          <cell r="K691" t="str">
            <v/>
          </cell>
          <cell r="L691" t="str">
            <v>Masculino</v>
          </cell>
          <cell r="M691" t="str">
            <v>Parda</v>
          </cell>
          <cell r="N691">
            <v>27327</v>
          </cell>
          <cell r="O691" t="str">
            <v>24545665X</v>
          </cell>
          <cell r="P691" t="str">
            <v>SP</v>
          </cell>
          <cell r="Q691" t="str">
            <v>SSP</v>
          </cell>
          <cell r="R691" t="str">
            <v>SANTOS</v>
          </cell>
        </row>
        <row r="692">
          <cell r="A692" t="str">
            <v>ANDRE LUIZ PIERROTTE PRETO</v>
          </cell>
          <cell r="B692" t="str">
            <v>Casado</v>
          </cell>
          <cell r="C692" t="str">
            <v>R Doutor Guedes Coelho</v>
          </cell>
          <cell r="D692" t="str">
            <v>Encruzilhada</v>
          </cell>
          <cell r="E692" t="str">
            <v>SANTOS</v>
          </cell>
          <cell r="F692" t="str">
            <v>SP</v>
          </cell>
          <cell r="G692" t="str">
            <v>233</v>
          </cell>
          <cell r="H692" t="str">
            <v>AP 32</v>
          </cell>
          <cell r="I692" t="str">
            <v>11050-231</v>
          </cell>
          <cell r="J692" t="str">
            <v>996900654</v>
          </cell>
          <cell r="K692" t="str">
            <v/>
          </cell>
          <cell r="L692" t="str">
            <v>Masculino</v>
          </cell>
          <cell r="M692" t="str">
            <v>Parda</v>
          </cell>
          <cell r="N692">
            <v>27293</v>
          </cell>
          <cell r="O692" t="str">
            <v>257599113</v>
          </cell>
          <cell r="P692" t="str">
            <v>SP</v>
          </cell>
          <cell r="Q692" t="str">
            <v>SSP</v>
          </cell>
          <cell r="R692" t="str">
            <v>SANTOS</v>
          </cell>
        </row>
        <row r="693">
          <cell r="A693" t="str">
            <v>VIRGINIA ALVES DE LIMA</v>
          </cell>
          <cell r="B693" t="str">
            <v>Casado</v>
          </cell>
          <cell r="C693" t="str">
            <v>R Maria Graziela</v>
          </cell>
          <cell r="D693" t="str">
            <v>Jardim Casqueiro</v>
          </cell>
          <cell r="E693" t="str">
            <v>CUBATAO</v>
          </cell>
          <cell r="F693" t="str">
            <v>SP</v>
          </cell>
          <cell r="G693" t="str">
            <v>769</v>
          </cell>
          <cell r="H693" t="str">
            <v>AP 31</v>
          </cell>
          <cell r="I693" t="str">
            <v>11533-150</v>
          </cell>
          <cell r="J693" t="str">
            <v>996130466</v>
          </cell>
          <cell r="K693" t="str">
            <v/>
          </cell>
          <cell r="L693" t="str">
            <v>Feminino</v>
          </cell>
          <cell r="M693" t="str">
            <v>Parda</v>
          </cell>
          <cell r="N693">
            <v>29817</v>
          </cell>
          <cell r="O693" t="str">
            <v>304584514</v>
          </cell>
          <cell r="P693" t="str">
            <v>SP</v>
          </cell>
          <cell r="Q693" t="str">
            <v>SSP</v>
          </cell>
          <cell r="R693" t="str">
            <v>GOVERNADOR VALADARES</v>
          </cell>
        </row>
        <row r="694">
          <cell r="A694" t="str">
            <v>RIVALDO SANTOS CRUZ</v>
          </cell>
          <cell r="B694" t="str">
            <v>Casado</v>
          </cell>
          <cell r="C694" t="str">
            <v>AV MAL MAURICIO JOSE CARDOSO</v>
          </cell>
          <cell r="D694" t="str">
            <v>Canto do Forte</v>
          </cell>
          <cell r="E694" t="str">
            <v>PRAIA GRANDE</v>
          </cell>
          <cell r="F694" t="str">
            <v>SP</v>
          </cell>
          <cell r="G694" t="str">
            <v>124</v>
          </cell>
          <cell r="H694" t="str">
            <v>CONDOMINIO RESIDENCIAL PR</v>
          </cell>
          <cell r="I694" t="str">
            <v>11700-140</v>
          </cell>
          <cell r="J694" t="str">
            <v>997943747</v>
          </cell>
          <cell r="K694" t="str">
            <v>32955000</v>
          </cell>
          <cell r="L694" t="str">
            <v>Masculino</v>
          </cell>
          <cell r="M694" t="str">
            <v>Parda</v>
          </cell>
          <cell r="N694">
            <v>24128</v>
          </cell>
          <cell r="O694" t="str">
            <v>19295508</v>
          </cell>
          <cell r="P694" t="str">
            <v>SP</v>
          </cell>
          <cell r="Q694" t="str">
            <v>SSP</v>
          </cell>
          <cell r="R694" t="str">
            <v>SIMAO DIAS</v>
          </cell>
        </row>
        <row r="695">
          <cell r="A695" t="str">
            <v>RAFAEL FERNANDO CORRENTE</v>
          </cell>
          <cell r="B695" t="str">
            <v>Casado</v>
          </cell>
          <cell r="C695" t="str">
            <v>R Estrela Rodrigues</v>
          </cell>
          <cell r="D695" t="str">
            <v>Jardim Las Palmas</v>
          </cell>
          <cell r="E695" t="str">
            <v>GUARUJA</v>
          </cell>
          <cell r="F695" t="str">
            <v>SP</v>
          </cell>
          <cell r="G695" t="str">
            <v>688</v>
          </cell>
          <cell r="H695" t="str">
            <v>Ap35</v>
          </cell>
          <cell r="I695" t="str">
            <v>11420-360</v>
          </cell>
          <cell r="J695" t="str">
            <v>981867763</v>
          </cell>
          <cell r="K695" t="str">
            <v/>
          </cell>
          <cell r="L695" t="str">
            <v>Masculino</v>
          </cell>
          <cell r="M695" t="str">
            <v>Parda</v>
          </cell>
          <cell r="N695">
            <v>31472</v>
          </cell>
          <cell r="O695" t="str">
            <v>291112286</v>
          </cell>
          <cell r="P695" t="str">
            <v>SP</v>
          </cell>
          <cell r="Q695" t="str">
            <v>SSP</v>
          </cell>
          <cell r="R695" t="str">
            <v>SAO PAULO</v>
          </cell>
        </row>
        <row r="696">
          <cell r="A696" t="str">
            <v>INAUE DE LIMA BARBOSA</v>
          </cell>
          <cell r="B696" t="str">
            <v>Casado</v>
          </cell>
          <cell r="C696" t="str">
            <v>R Professora Carolina Ribeiro de Barros</v>
          </cell>
          <cell r="D696" t="str">
            <v>Esplanada dos Barreiros</v>
          </cell>
          <cell r="E696" t="str">
            <v>SAO VICENTE</v>
          </cell>
          <cell r="F696" t="str">
            <v>SP</v>
          </cell>
          <cell r="G696" t="str">
            <v>608</v>
          </cell>
          <cell r="H696" t="str">
            <v>Casa 02</v>
          </cell>
          <cell r="I696" t="str">
            <v>11340-300</v>
          </cell>
          <cell r="J696" t="str">
            <v>997398069</v>
          </cell>
          <cell r="K696" t="str">
            <v>997398069</v>
          </cell>
          <cell r="L696" t="str">
            <v>Masculino</v>
          </cell>
          <cell r="M696" t="str">
            <v>Branca</v>
          </cell>
          <cell r="N696">
            <v>31546</v>
          </cell>
          <cell r="O696" t="str">
            <v>350438948</v>
          </cell>
          <cell r="P696" t="str">
            <v>SP</v>
          </cell>
          <cell r="Q696" t="str">
            <v>SSP</v>
          </cell>
          <cell r="R696" t="str">
            <v>SAO VICENTE</v>
          </cell>
        </row>
        <row r="697">
          <cell r="A697" t="str">
            <v>PEDRO ALEXANDRE BATISTA FILHO</v>
          </cell>
          <cell r="B697" t="str">
            <v>União Estável</v>
          </cell>
          <cell r="C697" t="str">
            <v>R Manoel Antonio da Silva</v>
          </cell>
          <cell r="D697" t="str">
            <v>Parque São Luis</v>
          </cell>
          <cell r="E697" t="str">
            <v>CUBATAO</v>
          </cell>
          <cell r="F697" t="str">
            <v>SP</v>
          </cell>
          <cell r="G697" t="str">
            <v>66</v>
          </cell>
          <cell r="H697" t="str">
            <v>BL 8 AP 42</v>
          </cell>
          <cell r="I697" t="str">
            <v>11533-540</v>
          </cell>
          <cell r="J697" t="str">
            <v>974271223</v>
          </cell>
          <cell r="K697" t="str">
            <v/>
          </cell>
          <cell r="L697" t="str">
            <v>Masculino</v>
          </cell>
          <cell r="M697" t="str">
            <v>Parda</v>
          </cell>
          <cell r="N697">
            <v>30066</v>
          </cell>
          <cell r="O697" t="str">
            <v>403000750</v>
          </cell>
          <cell r="P697" t="str">
            <v>SP</v>
          </cell>
          <cell r="Q697" t="str">
            <v>SSP</v>
          </cell>
          <cell r="R697" t="str">
            <v>SAO LOURENCO DA MATA</v>
          </cell>
        </row>
        <row r="698">
          <cell r="A698" t="str">
            <v>MARCO ANTONIO NASCIMENTO DE CARVALHO</v>
          </cell>
          <cell r="B698" t="str">
            <v>Casado</v>
          </cell>
          <cell r="C698" t="str">
            <v>R da Graça</v>
          </cell>
          <cell r="D698" t="str">
            <v>Bom Retiro</v>
          </cell>
          <cell r="E698" t="str">
            <v>SAO PAULO</v>
          </cell>
          <cell r="F698" t="str">
            <v>SP</v>
          </cell>
          <cell r="G698" t="str">
            <v>914</v>
          </cell>
          <cell r="H698" t="str">
            <v>AP 131</v>
          </cell>
          <cell r="I698" t="str">
            <v>01125-001</v>
          </cell>
          <cell r="J698" t="str">
            <v>33541605</v>
          </cell>
          <cell r="K698" t="str">
            <v>988681203</v>
          </cell>
          <cell r="L698" t="str">
            <v>Masculino</v>
          </cell>
          <cell r="M698" t="str">
            <v>Branca</v>
          </cell>
          <cell r="N698">
            <v>26464</v>
          </cell>
          <cell r="O698" t="str">
            <v>20953774</v>
          </cell>
          <cell r="P698" t="str">
            <v>SP</v>
          </cell>
          <cell r="Q698" t="str">
            <v>SSP</v>
          </cell>
          <cell r="R698" t="str">
            <v>SANTOS</v>
          </cell>
        </row>
        <row r="699">
          <cell r="A699" t="str">
            <v>PAULO ROGERIO RIBEIRO LIMA</v>
          </cell>
          <cell r="B699" t="str">
            <v>União Estável</v>
          </cell>
          <cell r="C699" t="str">
            <v>R Pará</v>
          </cell>
          <cell r="D699" t="str">
            <v>Parque Bitaru</v>
          </cell>
          <cell r="E699" t="str">
            <v>SAO VICENTE</v>
          </cell>
          <cell r="F699" t="str">
            <v>SP</v>
          </cell>
          <cell r="G699" t="str">
            <v>72</v>
          </cell>
          <cell r="H699" t="str">
            <v/>
          </cell>
          <cell r="I699" t="str">
            <v>11330-080</v>
          </cell>
          <cell r="J699" t="str">
            <v>33710927</v>
          </cell>
          <cell r="K699" t="str">
            <v/>
          </cell>
          <cell r="L699" t="str">
            <v>Masculino</v>
          </cell>
          <cell r="M699" t="str">
            <v>Parda</v>
          </cell>
          <cell r="N699">
            <v>30481</v>
          </cell>
          <cell r="O699" t="str">
            <v>309763010</v>
          </cell>
          <cell r="P699" t="str">
            <v>SP</v>
          </cell>
          <cell r="Q699" t="str">
            <v>SSP</v>
          </cell>
          <cell r="R699" t="str">
            <v>LAGARTO</v>
          </cell>
        </row>
        <row r="700">
          <cell r="A700" t="str">
            <v>LEANDRO SANTOS DIAS</v>
          </cell>
          <cell r="B700" t="str">
            <v>Casado</v>
          </cell>
          <cell r="C700" t="str">
            <v>AV Senador Salgado Filho</v>
          </cell>
          <cell r="D700" t="str">
            <v>Parque Sao Vicente</v>
          </cell>
          <cell r="E700" t="str">
            <v>SAO VICENTE</v>
          </cell>
          <cell r="F700" t="str">
            <v>SP</v>
          </cell>
          <cell r="G700" t="str">
            <v>1050</v>
          </cell>
          <cell r="H700" t="str">
            <v>Bloco 3 Apartamento 48</v>
          </cell>
          <cell r="I700" t="str">
            <v>11360-200</v>
          </cell>
          <cell r="J700" t="str">
            <v>32035757</v>
          </cell>
          <cell r="K700" t="str">
            <v/>
          </cell>
          <cell r="L700" t="str">
            <v>Masculino</v>
          </cell>
          <cell r="M700" t="str">
            <v>Parda</v>
          </cell>
          <cell r="N700">
            <v>31158</v>
          </cell>
          <cell r="O700" t="str">
            <v>446641340</v>
          </cell>
          <cell r="P700" t="str">
            <v>SP</v>
          </cell>
          <cell r="Q700" t="str">
            <v>SSP</v>
          </cell>
          <cell r="R700" t="str">
            <v>SANTOS</v>
          </cell>
        </row>
        <row r="701">
          <cell r="A701" t="str">
            <v>LINCOLN CORREA JUSTINIANO</v>
          </cell>
          <cell r="B701" t="str">
            <v>Solteiro</v>
          </cell>
          <cell r="C701" t="str">
            <v>R João Almeida</v>
          </cell>
          <cell r="D701" t="str">
            <v>Vila Ligya</v>
          </cell>
          <cell r="E701" t="str">
            <v>GUARUJA</v>
          </cell>
          <cell r="F701" t="str">
            <v>SP</v>
          </cell>
          <cell r="G701" t="str">
            <v>65</v>
          </cell>
          <cell r="H701" t="str">
            <v>Apartamento 09</v>
          </cell>
          <cell r="I701" t="str">
            <v>11430-370</v>
          </cell>
          <cell r="J701" t="str">
            <v>991024372</v>
          </cell>
          <cell r="K701" t="str">
            <v/>
          </cell>
          <cell r="L701" t="str">
            <v>Masculino</v>
          </cell>
          <cell r="M701" t="str">
            <v>Parda</v>
          </cell>
          <cell r="N701">
            <v>33193</v>
          </cell>
          <cell r="O701" t="str">
            <v>472304203</v>
          </cell>
          <cell r="P701" t="str">
            <v>SP</v>
          </cell>
          <cell r="Q701" t="str">
            <v>SSP</v>
          </cell>
          <cell r="R701" t="str">
            <v>GUARUJA</v>
          </cell>
        </row>
        <row r="702">
          <cell r="A702" t="str">
            <v>DIEGO GOMES DA SILVA</v>
          </cell>
          <cell r="B702" t="str">
            <v>Solteiro</v>
          </cell>
          <cell r="C702" t="str">
            <v>R Adão de Barros</v>
          </cell>
          <cell r="D702" t="str">
            <v>Parque Bitaru</v>
          </cell>
          <cell r="E702" t="str">
            <v>SAO VICENTE</v>
          </cell>
          <cell r="F702" t="str">
            <v>SP</v>
          </cell>
          <cell r="G702" t="str">
            <v>61</v>
          </cell>
          <cell r="H702" t="str">
            <v/>
          </cell>
          <cell r="I702" t="str">
            <v>11330-270</v>
          </cell>
          <cell r="J702" t="str">
            <v>34673807</v>
          </cell>
          <cell r="K702" t="str">
            <v/>
          </cell>
          <cell r="L702" t="str">
            <v>Masculino</v>
          </cell>
          <cell r="M702" t="str">
            <v>Parda</v>
          </cell>
          <cell r="N702">
            <v>32970</v>
          </cell>
          <cell r="O702" t="str">
            <v>467478958</v>
          </cell>
          <cell r="P702" t="str">
            <v>SP</v>
          </cell>
          <cell r="Q702" t="str">
            <v>SSP</v>
          </cell>
          <cell r="R702" t="str">
            <v>SAO VICENTE</v>
          </cell>
        </row>
        <row r="703">
          <cell r="A703" t="str">
            <v>DANIEL FRANCO MANCIO</v>
          </cell>
          <cell r="B703" t="str">
            <v>União Estável</v>
          </cell>
          <cell r="C703" t="str">
            <v>R BOLIVIA</v>
          </cell>
          <cell r="D703" t="str">
            <v>Aparecida</v>
          </cell>
          <cell r="E703" t="str">
            <v>SANTOS</v>
          </cell>
          <cell r="F703" t="str">
            <v>SP</v>
          </cell>
          <cell r="G703" t="str">
            <v>28</v>
          </cell>
          <cell r="H703" t="str">
            <v>Casa</v>
          </cell>
          <cell r="I703" t="str">
            <v>11035-210</v>
          </cell>
          <cell r="J703" t="str">
            <v>32336572</v>
          </cell>
          <cell r="K703" t="str">
            <v/>
          </cell>
          <cell r="L703" t="str">
            <v>Masculino</v>
          </cell>
          <cell r="M703" t="str">
            <v>Parda</v>
          </cell>
          <cell r="N703">
            <v>28311</v>
          </cell>
          <cell r="O703" t="str">
            <v>295303712</v>
          </cell>
          <cell r="P703" t="str">
            <v>SP</v>
          </cell>
          <cell r="Q703" t="str">
            <v>SSP</v>
          </cell>
          <cell r="R703" t="str">
            <v>GUARUJA</v>
          </cell>
        </row>
        <row r="704">
          <cell r="A704" t="str">
            <v>RICARDO RAMALHO</v>
          </cell>
          <cell r="B704" t="str">
            <v>Casado</v>
          </cell>
          <cell r="C704" t="str">
            <v>R Jurubatuba</v>
          </cell>
          <cell r="D704" t="str">
            <v>Aparecida</v>
          </cell>
          <cell r="E704" t="str">
            <v>SANTOS</v>
          </cell>
          <cell r="F704" t="str">
            <v>SP</v>
          </cell>
          <cell r="G704" t="str">
            <v>18</v>
          </cell>
          <cell r="H704" t="str">
            <v>AP 206</v>
          </cell>
          <cell r="I704" t="str">
            <v>11035-100</v>
          </cell>
          <cell r="J704" t="str">
            <v>988321457</v>
          </cell>
          <cell r="K704" t="str">
            <v/>
          </cell>
          <cell r="L704" t="str">
            <v>Masculino</v>
          </cell>
          <cell r="M704" t="str">
            <v>Parda</v>
          </cell>
          <cell r="N704">
            <v>26846</v>
          </cell>
          <cell r="O704" t="str">
            <v>227757956</v>
          </cell>
          <cell r="P704" t="str">
            <v>SP</v>
          </cell>
          <cell r="Q704" t="str">
            <v>SSP</v>
          </cell>
          <cell r="R704" t="str">
            <v>SANTOS</v>
          </cell>
        </row>
        <row r="705">
          <cell r="A705" t="str">
            <v>FELIPE MARINHO DE ALMEIDA</v>
          </cell>
          <cell r="B705" t="str">
            <v>Casado</v>
          </cell>
          <cell r="C705" t="str">
            <v>R MON SENHOR PAULA RODRIGUES</v>
          </cell>
          <cell r="D705" t="str">
            <v>Vila Belmiro</v>
          </cell>
          <cell r="E705" t="str">
            <v>SANTOS</v>
          </cell>
          <cell r="F705" t="str">
            <v>SP</v>
          </cell>
          <cell r="G705" t="str">
            <v>129</v>
          </cell>
          <cell r="H705" t="str">
            <v>APTO 245 A</v>
          </cell>
          <cell r="I705" t="str">
            <v>11075-350</v>
          </cell>
          <cell r="J705" t="str">
            <v>974217693</v>
          </cell>
          <cell r="K705" t="str">
            <v/>
          </cell>
          <cell r="L705" t="str">
            <v>Masculino</v>
          </cell>
          <cell r="M705" t="str">
            <v>Parda</v>
          </cell>
          <cell r="N705">
            <v>29630</v>
          </cell>
          <cell r="O705" t="str">
            <v>296078827</v>
          </cell>
          <cell r="P705" t="str">
            <v>SP</v>
          </cell>
          <cell r="Q705" t="str">
            <v>SSP</v>
          </cell>
          <cell r="R705" t="str">
            <v>CUBATAO</v>
          </cell>
        </row>
        <row r="706">
          <cell r="A706" t="str">
            <v>LEONARDO AUGUSTO SOUZA RIBEIRO</v>
          </cell>
          <cell r="B706" t="str">
            <v>União Estável</v>
          </cell>
          <cell r="C706" t="str">
            <v>R São Jorge</v>
          </cell>
          <cell r="D706" t="str">
            <v>Sítio Paecara (Vicen</v>
          </cell>
          <cell r="E706" t="str">
            <v>GUARUJA</v>
          </cell>
          <cell r="F706" t="str">
            <v>SP</v>
          </cell>
          <cell r="G706" t="str">
            <v>550</v>
          </cell>
          <cell r="H706" t="str">
            <v/>
          </cell>
          <cell r="I706" t="str">
            <v>11460-500</v>
          </cell>
          <cell r="J706" t="str">
            <v>133512215</v>
          </cell>
          <cell r="K706" t="str">
            <v/>
          </cell>
          <cell r="L706" t="str">
            <v>Masculino</v>
          </cell>
          <cell r="M706" t="str">
            <v>Parda</v>
          </cell>
          <cell r="N706">
            <v>30389</v>
          </cell>
          <cell r="O706" t="str">
            <v>32677681</v>
          </cell>
          <cell r="P706" t="str">
            <v>SP</v>
          </cell>
          <cell r="Q706" t="str">
            <v>SSP</v>
          </cell>
          <cell r="R706" t="str">
            <v>GUARUJA</v>
          </cell>
        </row>
        <row r="707">
          <cell r="A707" t="str">
            <v>ALEX DE ARAUJO BERZIN</v>
          </cell>
          <cell r="B707" t="str">
            <v>Casado</v>
          </cell>
          <cell r="C707" t="str">
            <v>R Enguaguaçu</v>
          </cell>
          <cell r="D707" t="str">
            <v>Ponta da Praia</v>
          </cell>
          <cell r="E707" t="str">
            <v>SANTOS</v>
          </cell>
          <cell r="F707" t="str">
            <v>SP</v>
          </cell>
          <cell r="G707" t="str">
            <v>127</v>
          </cell>
          <cell r="H707" t="str">
            <v>134</v>
          </cell>
          <cell r="I707" t="str">
            <v>11035-070</v>
          </cell>
          <cell r="J707" t="str">
            <v>3227075700</v>
          </cell>
          <cell r="K707" t="str">
            <v>9971471910</v>
          </cell>
          <cell r="L707" t="str">
            <v>Masculino</v>
          </cell>
          <cell r="M707" t="str">
            <v>Parda</v>
          </cell>
          <cell r="N707">
            <v>27271</v>
          </cell>
          <cell r="O707" t="str">
            <v>230348592</v>
          </cell>
          <cell r="P707" t="str">
            <v>SP</v>
          </cell>
          <cell r="Q707" t="str">
            <v>SSP</v>
          </cell>
          <cell r="R707" t="str">
            <v>SANTOS</v>
          </cell>
        </row>
        <row r="708">
          <cell r="A708" t="str">
            <v>FABIO RODRIGUES JUNIOR</v>
          </cell>
          <cell r="B708" t="str">
            <v>Solteiro</v>
          </cell>
          <cell r="C708" t="str">
            <v>R Walt Disney</v>
          </cell>
          <cell r="D708" t="str">
            <v>Vila Nossa Senhora d</v>
          </cell>
          <cell r="E708" t="str">
            <v>SAO VICENTE</v>
          </cell>
          <cell r="F708" t="str">
            <v>SP</v>
          </cell>
          <cell r="G708" t="str">
            <v>544</v>
          </cell>
          <cell r="H708" t="str">
            <v/>
          </cell>
          <cell r="I708" t="str">
            <v>11355-010</v>
          </cell>
          <cell r="J708" t="str">
            <v>34640676</v>
          </cell>
          <cell r="K708" t="str">
            <v/>
          </cell>
          <cell r="L708" t="str">
            <v>Masculino</v>
          </cell>
          <cell r="M708" t="str">
            <v>Parda</v>
          </cell>
          <cell r="N708">
            <v>35113</v>
          </cell>
          <cell r="O708" t="str">
            <v>49922095</v>
          </cell>
          <cell r="P708" t="str">
            <v>SP</v>
          </cell>
          <cell r="Q708" t="str">
            <v>SSP</v>
          </cell>
          <cell r="R708" t="str">
            <v>SANTOS</v>
          </cell>
        </row>
        <row r="709">
          <cell r="A709" t="str">
            <v>RAMISSON VICENTE ALONSO</v>
          </cell>
          <cell r="B709" t="str">
            <v>Casado</v>
          </cell>
          <cell r="C709" t="str">
            <v>R Costa Rego</v>
          </cell>
          <cell r="D709" t="str">
            <v>Vila Sao Jorge</v>
          </cell>
          <cell r="E709" t="str">
            <v>SAO VICENTE</v>
          </cell>
          <cell r="F709" t="str">
            <v>SP</v>
          </cell>
          <cell r="G709" t="str">
            <v>41</v>
          </cell>
          <cell r="H709" t="str">
            <v/>
          </cell>
          <cell r="I709" t="str">
            <v>11380-140</v>
          </cell>
          <cell r="J709" t="str">
            <v>97051223</v>
          </cell>
          <cell r="K709" t="str">
            <v>997051223</v>
          </cell>
          <cell r="L709" t="str">
            <v>Masculino</v>
          </cell>
          <cell r="M709" t="str">
            <v>Parda</v>
          </cell>
          <cell r="N709">
            <v>22340</v>
          </cell>
          <cell r="O709" t="str">
            <v>13625474</v>
          </cell>
          <cell r="P709" t="str">
            <v>SP</v>
          </cell>
          <cell r="Q709" t="str">
            <v>SSP</v>
          </cell>
          <cell r="R709" t="str">
            <v>TIBAGI</v>
          </cell>
        </row>
        <row r="710">
          <cell r="A710" t="str">
            <v>UBIRAJARA SANTOS</v>
          </cell>
          <cell r="B710" t="str">
            <v>Casado</v>
          </cell>
          <cell r="C710" t="str">
            <v>R Araguaia</v>
          </cell>
          <cell r="D710" t="str">
            <v>Sítio Paecara (Vicen</v>
          </cell>
          <cell r="E710" t="str">
            <v>GUARUJA</v>
          </cell>
          <cell r="F710" t="str">
            <v>SP</v>
          </cell>
          <cell r="G710" t="str">
            <v>325</v>
          </cell>
          <cell r="H710" t="str">
            <v/>
          </cell>
          <cell r="I710" t="str">
            <v>11461-640</v>
          </cell>
          <cell r="J710" t="str">
            <v>33414447</v>
          </cell>
          <cell r="K710" t="str">
            <v/>
          </cell>
          <cell r="L710" t="str">
            <v>Masculino</v>
          </cell>
          <cell r="M710" t="str">
            <v>Parda</v>
          </cell>
          <cell r="N710">
            <v>24250</v>
          </cell>
          <cell r="O710" t="str">
            <v>188124743</v>
          </cell>
          <cell r="P710" t="str">
            <v>SP</v>
          </cell>
          <cell r="Q710" t="str">
            <v>SSP</v>
          </cell>
          <cell r="R710" t="str">
            <v>GUARUJA</v>
          </cell>
        </row>
        <row r="711">
          <cell r="A711" t="str">
            <v>VALTER BARBOSA</v>
          </cell>
          <cell r="B711" t="str">
            <v>Casado</v>
          </cell>
          <cell r="C711" t="str">
            <v>R do Alojamento</v>
          </cell>
          <cell r="D711" t="str">
            <v>Fabril</v>
          </cell>
          <cell r="E711" t="str">
            <v>CUBATAO</v>
          </cell>
          <cell r="F711" t="str">
            <v>SP</v>
          </cell>
          <cell r="G711" t="str">
            <v>26</v>
          </cell>
          <cell r="H711" t="str">
            <v/>
          </cell>
          <cell r="I711" t="str">
            <v>11543-100</v>
          </cell>
          <cell r="J711" t="str">
            <v>997925580</v>
          </cell>
          <cell r="K711" t="str">
            <v>997925580</v>
          </cell>
          <cell r="L711" t="str">
            <v>Masculino</v>
          </cell>
          <cell r="M711" t="str">
            <v>Parda</v>
          </cell>
          <cell r="N711">
            <v>24299</v>
          </cell>
          <cell r="O711" t="str">
            <v>135930649</v>
          </cell>
          <cell r="P711" t="str">
            <v>SP</v>
          </cell>
          <cell r="Q711" t="str">
            <v>SSP</v>
          </cell>
          <cell r="R711" t="str">
            <v>SAO PAULO</v>
          </cell>
        </row>
        <row r="712">
          <cell r="A712" t="str">
            <v>MARIO AUGUSTO DOS SANTOS</v>
          </cell>
          <cell r="B712" t="str">
            <v>União Estável</v>
          </cell>
          <cell r="C712" t="str">
            <v>R Almirante Ernesto de Mello Júnior</v>
          </cell>
          <cell r="D712" t="str">
            <v>Aparecida</v>
          </cell>
          <cell r="E712" t="str">
            <v>SANTOS</v>
          </cell>
          <cell r="F712" t="str">
            <v>SP</v>
          </cell>
          <cell r="G712" t="str">
            <v>53</v>
          </cell>
          <cell r="H712" t="str">
            <v>Bloco 02 apto 103</v>
          </cell>
          <cell r="I712" t="str">
            <v>11035-300</v>
          </cell>
          <cell r="J712" t="str">
            <v>981400958</v>
          </cell>
          <cell r="K712" t="str">
            <v/>
          </cell>
          <cell r="L712" t="str">
            <v>Masculino</v>
          </cell>
          <cell r="M712" t="str">
            <v>Parda</v>
          </cell>
          <cell r="N712">
            <v>24776</v>
          </cell>
          <cell r="O712" t="str">
            <v>205864326</v>
          </cell>
          <cell r="P712" t="str">
            <v>SP</v>
          </cell>
          <cell r="Q712" t="str">
            <v>SSP</v>
          </cell>
          <cell r="R712" t="str">
            <v>SANTOS</v>
          </cell>
        </row>
        <row r="713">
          <cell r="A713" t="str">
            <v>PAULO ROGERIO RODRIGUES DOS SANTOS</v>
          </cell>
          <cell r="B713" t="str">
            <v>Casado</v>
          </cell>
          <cell r="C713" t="str">
            <v>O São Sebastião</v>
          </cell>
          <cell r="D713" t="str">
            <v>Rádio Clube</v>
          </cell>
          <cell r="E713" t="str">
            <v>SANTOS</v>
          </cell>
          <cell r="F713" t="str">
            <v>SP</v>
          </cell>
          <cell r="G713" t="str">
            <v>157</v>
          </cell>
          <cell r="H713" t="str">
            <v/>
          </cell>
          <cell r="I713" t="str">
            <v>11088-450</v>
          </cell>
          <cell r="J713" t="str">
            <v/>
          </cell>
          <cell r="K713" t="str">
            <v/>
          </cell>
          <cell r="L713" t="str">
            <v>Masculino</v>
          </cell>
          <cell r="M713" t="str">
            <v>Parda</v>
          </cell>
          <cell r="N713">
            <v>32202</v>
          </cell>
          <cell r="O713" t="str">
            <v>359240872</v>
          </cell>
          <cell r="P713" t="str">
            <v>SP</v>
          </cell>
          <cell r="Q713" t="str">
            <v>SSP</v>
          </cell>
          <cell r="R713" t="str">
            <v>SANTOS</v>
          </cell>
        </row>
        <row r="714">
          <cell r="A714" t="str">
            <v>MAYCON DAVID DOS SANTOS LUZ</v>
          </cell>
          <cell r="B714" t="str">
            <v>União Estável</v>
          </cell>
          <cell r="C714" t="str">
            <v>R Walter Rossi</v>
          </cell>
          <cell r="D714" t="str">
            <v>Jardim Gloria</v>
          </cell>
          <cell r="E714" t="str">
            <v>PRAIA GRANDE</v>
          </cell>
          <cell r="F714" t="str">
            <v>SP</v>
          </cell>
          <cell r="G714" t="str">
            <v>66</v>
          </cell>
          <cell r="H714" t="str">
            <v>Casa 01</v>
          </cell>
          <cell r="I714" t="str">
            <v>11721-285</v>
          </cell>
          <cell r="J714" t="str">
            <v>988095098</v>
          </cell>
          <cell r="K714" t="str">
            <v/>
          </cell>
          <cell r="L714" t="str">
            <v>Masculino</v>
          </cell>
          <cell r="M714" t="str">
            <v>Parda</v>
          </cell>
          <cell r="N714">
            <v>33558</v>
          </cell>
          <cell r="O714" t="str">
            <v>481079658</v>
          </cell>
          <cell r="P714" t="str">
            <v>SP</v>
          </cell>
          <cell r="Q714" t="str">
            <v>SSP</v>
          </cell>
          <cell r="R714" t="str">
            <v>SANTOS</v>
          </cell>
        </row>
        <row r="715">
          <cell r="A715" t="str">
            <v>ROSEMEYRE DA CONCEICAO DUARTE</v>
          </cell>
          <cell r="B715" t="str">
            <v>Solteiro</v>
          </cell>
          <cell r="C715" t="str">
            <v>R Américo Martins dos Santos</v>
          </cell>
          <cell r="D715" t="str">
            <v>Jardim Paraíso</v>
          </cell>
          <cell r="E715" t="str">
            <v>SAO VICENTE</v>
          </cell>
          <cell r="F715" t="str">
            <v>SP</v>
          </cell>
          <cell r="G715" t="str">
            <v>489</v>
          </cell>
          <cell r="H715" t="str">
            <v/>
          </cell>
          <cell r="I715" t="str">
            <v>11370-550</v>
          </cell>
          <cell r="J715" t="str">
            <v>992098448</v>
          </cell>
          <cell r="K715" t="str">
            <v/>
          </cell>
          <cell r="L715" t="str">
            <v>Feminino</v>
          </cell>
          <cell r="M715" t="str">
            <v>Parda</v>
          </cell>
          <cell r="N715">
            <v>27037</v>
          </cell>
          <cell r="O715" t="str">
            <v>236700467</v>
          </cell>
          <cell r="P715" t="str">
            <v>SP</v>
          </cell>
          <cell r="Q715" t="str">
            <v>SSP</v>
          </cell>
          <cell r="R715" t="str">
            <v>SANTOS</v>
          </cell>
        </row>
        <row r="716">
          <cell r="A716" t="str">
            <v>HEMIR MIGLIANI</v>
          </cell>
          <cell r="B716" t="str">
            <v>Casado</v>
          </cell>
          <cell r="C716" t="str">
            <v>R Liberdade</v>
          </cell>
          <cell r="D716" t="str">
            <v>Embare</v>
          </cell>
          <cell r="E716" t="str">
            <v>SANTOS</v>
          </cell>
          <cell r="F716" t="str">
            <v>SP</v>
          </cell>
          <cell r="G716" t="str">
            <v>406</v>
          </cell>
          <cell r="H716" t="str">
            <v>AP 22</v>
          </cell>
          <cell r="I716" t="str">
            <v>11025-031</v>
          </cell>
          <cell r="J716" t="str">
            <v>33856984</v>
          </cell>
          <cell r="K716" t="str">
            <v/>
          </cell>
          <cell r="L716" t="str">
            <v>Masculino</v>
          </cell>
          <cell r="M716" t="str">
            <v>Parda</v>
          </cell>
          <cell r="N716">
            <v>27300</v>
          </cell>
          <cell r="O716" t="str">
            <v>24682489</v>
          </cell>
          <cell r="P716" t="str">
            <v>SP</v>
          </cell>
          <cell r="Q716" t="str">
            <v>SSP</v>
          </cell>
          <cell r="R716" t="str">
            <v>SAO CAETANO DO SUL</v>
          </cell>
        </row>
        <row r="717">
          <cell r="A717" t="str">
            <v>SAMUEL ROSA DE OLIVEIRA</v>
          </cell>
          <cell r="B717" t="str">
            <v>Casado</v>
          </cell>
          <cell r="C717" t="str">
            <v>R Cândido Rodrigues</v>
          </cell>
          <cell r="D717" t="str">
            <v>Centro</v>
          </cell>
          <cell r="E717" t="str">
            <v>SAO VICENTE</v>
          </cell>
          <cell r="F717" t="str">
            <v>SP</v>
          </cell>
          <cell r="G717" t="str">
            <v>118</v>
          </cell>
          <cell r="H717" t="str">
            <v>Apto 104</v>
          </cell>
          <cell r="I717" t="str">
            <v>11320-050</v>
          </cell>
          <cell r="J717" t="str">
            <v>974226409</v>
          </cell>
          <cell r="K717" t="str">
            <v/>
          </cell>
          <cell r="L717" t="str">
            <v>Masculino</v>
          </cell>
          <cell r="M717" t="str">
            <v>Parda</v>
          </cell>
          <cell r="N717">
            <v>30456</v>
          </cell>
          <cell r="O717" t="str">
            <v>306641252</v>
          </cell>
          <cell r="P717" t="str">
            <v>SP</v>
          </cell>
          <cell r="Q717" t="str">
            <v>SSP</v>
          </cell>
          <cell r="R717" t="str">
            <v>CUBATAO</v>
          </cell>
        </row>
        <row r="718">
          <cell r="A718" t="str">
            <v>RENATO BISPO DE FARIA</v>
          </cell>
          <cell r="B718" t="str">
            <v>Divorciado</v>
          </cell>
          <cell r="C718" t="str">
            <v>R MARCILIO DIAS</v>
          </cell>
          <cell r="D718" t="str">
            <v>Canto do Forte</v>
          </cell>
          <cell r="E718" t="str">
            <v>PRAIA GRANDE</v>
          </cell>
          <cell r="F718" t="str">
            <v>SP</v>
          </cell>
          <cell r="G718" t="str">
            <v>620</v>
          </cell>
          <cell r="H718" t="str">
            <v>AP 47</v>
          </cell>
          <cell r="I718" t="str">
            <v>11700-420</v>
          </cell>
          <cell r="J718" t="str">
            <v>996388617</v>
          </cell>
          <cell r="K718" t="str">
            <v/>
          </cell>
          <cell r="L718" t="str">
            <v>Masculino</v>
          </cell>
          <cell r="M718" t="str">
            <v>Parda</v>
          </cell>
          <cell r="N718">
            <v>33528</v>
          </cell>
          <cell r="O718" t="str">
            <v>480221443</v>
          </cell>
          <cell r="P718" t="str">
            <v>SP</v>
          </cell>
          <cell r="Q718" t="str">
            <v>SSP</v>
          </cell>
          <cell r="R718" t="str">
            <v>GUARUJA</v>
          </cell>
        </row>
        <row r="719">
          <cell r="A719" t="str">
            <v>MATHEUS SANTA CRUZ</v>
          </cell>
          <cell r="B719" t="str">
            <v>Divorciado</v>
          </cell>
          <cell r="C719" t="str">
            <v>R Francisco Sá</v>
          </cell>
          <cell r="D719" t="str">
            <v>Vila Sao Jorge</v>
          </cell>
          <cell r="E719" t="str">
            <v>SAO VICENTE</v>
          </cell>
          <cell r="F719" t="str">
            <v>SP</v>
          </cell>
          <cell r="G719" t="str">
            <v>197</v>
          </cell>
          <cell r="H719" t="str">
            <v/>
          </cell>
          <cell r="I719" t="str">
            <v>11380-030</v>
          </cell>
          <cell r="J719" t="str">
            <v>991415445</v>
          </cell>
          <cell r="K719" t="str">
            <v/>
          </cell>
          <cell r="L719" t="str">
            <v>Masculino</v>
          </cell>
          <cell r="M719" t="str">
            <v>Parda</v>
          </cell>
          <cell r="N719">
            <v>32245</v>
          </cell>
          <cell r="O719" t="str">
            <v>354883768</v>
          </cell>
          <cell r="P719" t="str">
            <v>SP</v>
          </cell>
          <cell r="Q719" t="str">
            <v>SSP</v>
          </cell>
          <cell r="R719" t="str">
            <v>SANTOS</v>
          </cell>
        </row>
        <row r="720">
          <cell r="A720" t="str">
            <v>EDUARDO SOARES BEZERRA</v>
          </cell>
          <cell r="B720" t="str">
            <v>Casado</v>
          </cell>
          <cell r="C720" t="str">
            <v>AV Doutor Moura Ribeiro</v>
          </cell>
          <cell r="D720" t="str">
            <v>Marapé</v>
          </cell>
          <cell r="E720" t="str">
            <v>SANTOS</v>
          </cell>
          <cell r="F720" t="str">
            <v>SP</v>
          </cell>
          <cell r="G720" t="str">
            <v>125</v>
          </cell>
          <cell r="H720" t="str">
            <v>APT 201 BLOCO C</v>
          </cell>
          <cell r="I720" t="str">
            <v>11070-060</v>
          </cell>
          <cell r="J720" t="str">
            <v>981110807</v>
          </cell>
          <cell r="K720" t="str">
            <v/>
          </cell>
          <cell r="L720" t="str">
            <v>Masculino</v>
          </cell>
          <cell r="M720" t="str">
            <v>Parda</v>
          </cell>
          <cell r="N720">
            <v>26070</v>
          </cell>
          <cell r="O720" t="str">
            <v>18588507X</v>
          </cell>
          <cell r="P720" t="str">
            <v>SP</v>
          </cell>
          <cell r="Q720" t="str">
            <v>SSP</v>
          </cell>
          <cell r="R720" t="str">
            <v>SAO LUIS</v>
          </cell>
        </row>
        <row r="721">
          <cell r="A721" t="str">
            <v>ALEXANDRE FERNANDES MARTINS</v>
          </cell>
          <cell r="B721" t="str">
            <v>Solteiro</v>
          </cell>
          <cell r="C721" t="str">
            <v>AV Eleonor Roosevelt</v>
          </cell>
          <cell r="D721" t="str">
            <v>São Jorge</v>
          </cell>
          <cell r="E721" t="str">
            <v>SANTOS</v>
          </cell>
          <cell r="F721" t="str">
            <v>SP</v>
          </cell>
          <cell r="G721" t="str">
            <v>617</v>
          </cell>
          <cell r="H721" t="str">
            <v>FDOS</v>
          </cell>
          <cell r="I721" t="str">
            <v>11085-691</v>
          </cell>
          <cell r="J721" t="str">
            <v>974064346</v>
          </cell>
          <cell r="K721" t="str">
            <v/>
          </cell>
          <cell r="L721" t="str">
            <v>Masculino</v>
          </cell>
          <cell r="M721" t="str">
            <v>Parda</v>
          </cell>
          <cell r="N721">
            <v>26107</v>
          </cell>
          <cell r="O721" t="str">
            <v>192928387</v>
          </cell>
          <cell r="P721" t="str">
            <v>SP</v>
          </cell>
          <cell r="Q721" t="str">
            <v>SSP</v>
          </cell>
          <cell r="R721" t="str">
            <v>SANTOS</v>
          </cell>
        </row>
        <row r="722">
          <cell r="A722" t="str">
            <v>DAGOBERTO SALES RAMOS</v>
          </cell>
          <cell r="B722" t="str">
            <v>Casado</v>
          </cell>
          <cell r="C722" t="str">
            <v>R Cazil Franzon</v>
          </cell>
          <cell r="D722" t="str">
            <v>Jardim Conceiçãozinh</v>
          </cell>
          <cell r="E722" t="str">
            <v>GUARUJA</v>
          </cell>
          <cell r="F722" t="str">
            <v>SP</v>
          </cell>
          <cell r="G722" t="str">
            <v>483</v>
          </cell>
          <cell r="H722" t="str">
            <v/>
          </cell>
          <cell r="I722" t="str">
            <v>11472-030</v>
          </cell>
          <cell r="J722" t="str">
            <v>974826934</v>
          </cell>
          <cell r="K722" t="str">
            <v/>
          </cell>
          <cell r="L722" t="str">
            <v>Masculino</v>
          </cell>
          <cell r="M722" t="str">
            <v>Parda</v>
          </cell>
          <cell r="N722">
            <v>23286</v>
          </cell>
          <cell r="O722" t="str">
            <v>180606177</v>
          </cell>
          <cell r="P722" t="str">
            <v>SP</v>
          </cell>
          <cell r="Q722" t="str">
            <v>SSP</v>
          </cell>
          <cell r="R722" t="str">
            <v>SANTOS</v>
          </cell>
        </row>
        <row r="723">
          <cell r="A723" t="str">
            <v>JUSTINO APARECIDO OLIVEIRA CARVALHO</v>
          </cell>
          <cell r="B723" t="str">
            <v>Casado</v>
          </cell>
          <cell r="C723" t="str">
            <v>R Tolentino Filgueiras</v>
          </cell>
          <cell r="D723" t="str">
            <v>Gonzaga</v>
          </cell>
          <cell r="E723" t="str">
            <v>SANTOS</v>
          </cell>
          <cell r="F723" t="str">
            <v>SP</v>
          </cell>
          <cell r="G723" t="str">
            <v>131</v>
          </cell>
          <cell r="H723" t="str">
            <v>Apto 21</v>
          </cell>
          <cell r="I723" t="str">
            <v>11060-471</v>
          </cell>
          <cell r="J723" t="str">
            <v>0974118259</v>
          </cell>
          <cell r="K723" t="str">
            <v>974118259</v>
          </cell>
          <cell r="L723" t="str">
            <v>Masculino</v>
          </cell>
          <cell r="M723" t="str">
            <v>Parda</v>
          </cell>
          <cell r="N723">
            <v>24671</v>
          </cell>
          <cell r="O723" t="str">
            <v>201289672</v>
          </cell>
          <cell r="P723" t="str">
            <v>SP</v>
          </cell>
          <cell r="Q723" t="str">
            <v>SSP</v>
          </cell>
          <cell r="R723" t="str">
            <v>SANTOS</v>
          </cell>
        </row>
        <row r="724">
          <cell r="A724" t="str">
            <v>CARLOS ALEXANDRE DOS SANTOS</v>
          </cell>
          <cell r="B724" t="str">
            <v>Casado</v>
          </cell>
          <cell r="C724" t="str">
            <v>R Antônio Ludgero dos Santos</v>
          </cell>
          <cell r="D724" t="str">
            <v>Vila Cascatinha</v>
          </cell>
          <cell r="E724" t="str">
            <v>SAO VICENTE</v>
          </cell>
          <cell r="F724" t="str">
            <v>SP</v>
          </cell>
          <cell r="G724" t="str">
            <v>174</v>
          </cell>
          <cell r="H724" t="str">
            <v>CASA</v>
          </cell>
          <cell r="I724" t="str">
            <v>11370-220</v>
          </cell>
          <cell r="J724" t="str">
            <v>991426690</v>
          </cell>
          <cell r="K724" t="str">
            <v/>
          </cell>
          <cell r="L724" t="str">
            <v>Masculino</v>
          </cell>
          <cell r="M724" t="str">
            <v>Parda</v>
          </cell>
          <cell r="N724">
            <v>27511</v>
          </cell>
          <cell r="O724" t="str">
            <v>254273610</v>
          </cell>
          <cell r="P724" t="str">
            <v>SP</v>
          </cell>
          <cell r="Q724" t="str">
            <v>SSP</v>
          </cell>
          <cell r="R724" t="str">
            <v>SAO VICENTE</v>
          </cell>
        </row>
        <row r="725">
          <cell r="A725" t="str">
            <v>MARCOS DANIEL ALVES DOS SANTOS</v>
          </cell>
          <cell r="B725" t="str">
            <v>Casado</v>
          </cell>
          <cell r="C725" t="str">
            <v>R Corretor Álvaro de Freitas Pimentel</v>
          </cell>
          <cell r="D725" t="str">
            <v>Samambaia</v>
          </cell>
          <cell r="E725" t="str">
            <v>PRAIA GRANDE</v>
          </cell>
          <cell r="F725" t="str">
            <v>SP</v>
          </cell>
          <cell r="G725" t="str">
            <v>71</v>
          </cell>
          <cell r="H725" t="str">
            <v/>
          </cell>
          <cell r="I725" t="str">
            <v>11712-420</v>
          </cell>
          <cell r="J725" t="str">
            <v>34777632</v>
          </cell>
          <cell r="K725" t="str">
            <v/>
          </cell>
          <cell r="L725" t="str">
            <v>Masculino</v>
          </cell>
          <cell r="M725" t="str">
            <v>Parda</v>
          </cell>
          <cell r="N725">
            <v>25202</v>
          </cell>
          <cell r="O725" t="str">
            <v>205843323</v>
          </cell>
          <cell r="P725" t="str">
            <v>SP</v>
          </cell>
          <cell r="Q725" t="str">
            <v>SSP</v>
          </cell>
          <cell r="R725" t="str">
            <v>SANTOS</v>
          </cell>
        </row>
        <row r="726">
          <cell r="A726" t="str">
            <v>CARLOS IVAN GOMES GUIMARAES</v>
          </cell>
          <cell r="B726" t="str">
            <v>Casado</v>
          </cell>
          <cell r="C726" t="str">
            <v>AV AFONSO CELSO DE PAULA LIMA</v>
          </cell>
          <cell r="D726" t="str">
            <v>Ponta da Praia</v>
          </cell>
          <cell r="E726" t="str">
            <v>SANTOS</v>
          </cell>
          <cell r="F726" t="str">
            <v>SP</v>
          </cell>
          <cell r="G726" t="str">
            <v>43</v>
          </cell>
          <cell r="H726" t="str">
            <v>AP 51</v>
          </cell>
          <cell r="I726" t="str">
            <v>11030-460</v>
          </cell>
          <cell r="J726" t="str">
            <v>38775713</v>
          </cell>
          <cell r="K726" t="str">
            <v>974211880</v>
          </cell>
          <cell r="L726" t="str">
            <v>Masculino</v>
          </cell>
          <cell r="M726" t="str">
            <v>Parda</v>
          </cell>
          <cell r="N726">
            <v>26949</v>
          </cell>
          <cell r="O726" t="str">
            <v>22680429</v>
          </cell>
          <cell r="P726" t="str">
            <v>SP</v>
          </cell>
          <cell r="Q726" t="str">
            <v>SSP</v>
          </cell>
          <cell r="R726" t="str">
            <v>VOLTA REDONDA</v>
          </cell>
        </row>
        <row r="727">
          <cell r="A727" t="str">
            <v>DIANE MARTA DOS SANTOS</v>
          </cell>
          <cell r="B727" t="str">
            <v>Casado</v>
          </cell>
          <cell r="C727" t="str">
            <v>R Flaminio Levy</v>
          </cell>
          <cell r="D727" t="str">
            <v>Saboo</v>
          </cell>
          <cell r="E727" t="str">
            <v>SANTOS</v>
          </cell>
          <cell r="F727" t="str">
            <v>SP</v>
          </cell>
          <cell r="G727" t="str">
            <v>71</v>
          </cell>
          <cell r="H727" t="str">
            <v>bl 01 APT 31</v>
          </cell>
          <cell r="I727" t="str">
            <v>11085-080</v>
          </cell>
          <cell r="J727" t="str">
            <v>981738805</v>
          </cell>
          <cell r="K727" t="str">
            <v/>
          </cell>
          <cell r="L727" t="str">
            <v>Feminino</v>
          </cell>
          <cell r="M727" t="str">
            <v>Parda</v>
          </cell>
          <cell r="N727">
            <v>30131</v>
          </cell>
          <cell r="O727" t="str">
            <v>40934454</v>
          </cell>
          <cell r="P727" t="str">
            <v>SP</v>
          </cell>
          <cell r="Q727" t="str">
            <v>SSP</v>
          </cell>
          <cell r="R727" t="str">
            <v>SANTOS</v>
          </cell>
        </row>
        <row r="728">
          <cell r="A728" t="str">
            <v>DAVI DE ALMEIDA</v>
          </cell>
          <cell r="B728" t="str">
            <v>Casado</v>
          </cell>
          <cell r="C728" t="str">
            <v>R Duarte da Costa</v>
          </cell>
          <cell r="D728" t="str">
            <v>Aviação</v>
          </cell>
          <cell r="E728" t="str">
            <v>PRAIA GRANDE</v>
          </cell>
          <cell r="F728" t="str">
            <v>SP</v>
          </cell>
          <cell r="G728" t="str">
            <v>1503</v>
          </cell>
          <cell r="H728" t="str">
            <v/>
          </cell>
          <cell r="I728" t="str">
            <v>11702-650</v>
          </cell>
          <cell r="J728" t="str">
            <v>34812768</v>
          </cell>
          <cell r="K728" t="str">
            <v>988746137</v>
          </cell>
          <cell r="L728" t="str">
            <v>Masculino</v>
          </cell>
          <cell r="M728" t="str">
            <v>Parda</v>
          </cell>
          <cell r="N728">
            <v>29641</v>
          </cell>
          <cell r="O728" t="str">
            <v>28961938</v>
          </cell>
          <cell r="P728" t="str">
            <v>SP</v>
          </cell>
          <cell r="Q728" t="str">
            <v>SSP</v>
          </cell>
          <cell r="R728" t="str">
            <v>SAO PAULO</v>
          </cell>
        </row>
        <row r="729">
          <cell r="A729" t="str">
            <v>THIAGO DOS SANTOS ANDRADE</v>
          </cell>
          <cell r="B729" t="str">
            <v>Casado</v>
          </cell>
          <cell r="C729" t="str">
            <v>R Almirante Ernesto de Mello Júnior</v>
          </cell>
          <cell r="D729" t="str">
            <v>Aparecida</v>
          </cell>
          <cell r="E729" t="str">
            <v>SANTOS</v>
          </cell>
          <cell r="F729" t="str">
            <v>SP</v>
          </cell>
          <cell r="G729" t="str">
            <v>28</v>
          </cell>
          <cell r="H729" t="str">
            <v>BL 03 apt 405</v>
          </cell>
          <cell r="I729" t="str">
            <v>11035-300</v>
          </cell>
          <cell r="J729" t="str">
            <v>991041831</v>
          </cell>
          <cell r="K729" t="str">
            <v/>
          </cell>
          <cell r="L729" t="str">
            <v>Masculino</v>
          </cell>
          <cell r="M729" t="str">
            <v>Parda</v>
          </cell>
          <cell r="N729">
            <v>31526</v>
          </cell>
          <cell r="O729" t="str">
            <v>444568645</v>
          </cell>
          <cell r="P729" t="str">
            <v>SP</v>
          </cell>
          <cell r="Q729" t="str">
            <v>SSP</v>
          </cell>
          <cell r="R729" t="str">
            <v>SANTOS</v>
          </cell>
        </row>
        <row r="730">
          <cell r="A730" t="str">
            <v>JOAO VITOR SILVA REIS</v>
          </cell>
          <cell r="B730" t="str">
            <v>Solteiro</v>
          </cell>
          <cell r="C730" t="str">
            <v>R Marilucia dos Santos Brito</v>
          </cell>
          <cell r="D730" t="str">
            <v>Vila Santa Rosa</v>
          </cell>
          <cell r="E730" t="str">
            <v>GUARUJA</v>
          </cell>
          <cell r="F730" t="str">
            <v>SP</v>
          </cell>
          <cell r="G730" t="str">
            <v>61</v>
          </cell>
          <cell r="H730" t="str">
            <v>Casa</v>
          </cell>
          <cell r="I730" t="str">
            <v>11431-410</v>
          </cell>
          <cell r="J730" t="str">
            <v>974152855</v>
          </cell>
          <cell r="K730" t="str">
            <v/>
          </cell>
          <cell r="L730" t="str">
            <v>Masculino</v>
          </cell>
          <cell r="M730" t="str">
            <v>Parda</v>
          </cell>
          <cell r="N730">
            <v>32622</v>
          </cell>
          <cell r="O730" t="str">
            <v>44992627</v>
          </cell>
          <cell r="P730" t="str">
            <v>SP</v>
          </cell>
          <cell r="Q730" t="str">
            <v>SSP</v>
          </cell>
          <cell r="R730" t="str">
            <v>SANTOS</v>
          </cell>
        </row>
        <row r="731">
          <cell r="A731" t="str">
            <v>DALADIER BARBOZA DE ALBUQUERQUE</v>
          </cell>
          <cell r="B731" t="str">
            <v>Casado</v>
          </cell>
          <cell r="C731" t="str">
            <v>R Rangel Pestana</v>
          </cell>
          <cell r="D731" t="str">
            <v>Centro</v>
          </cell>
          <cell r="E731" t="str">
            <v>SAO VICENTE</v>
          </cell>
          <cell r="F731" t="str">
            <v>SP</v>
          </cell>
          <cell r="G731" t="str">
            <v>66</v>
          </cell>
          <cell r="H731" t="str">
            <v>22</v>
          </cell>
          <cell r="I731" t="str">
            <v>11320-120</v>
          </cell>
          <cell r="J731" t="str">
            <v>988118171</v>
          </cell>
          <cell r="K731" t="str">
            <v/>
          </cell>
          <cell r="L731" t="str">
            <v>Masculino</v>
          </cell>
          <cell r="M731" t="str">
            <v>Parda</v>
          </cell>
          <cell r="N731">
            <v>30214</v>
          </cell>
          <cell r="O731" t="str">
            <v>45566918</v>
          </cell>
          <cell r="P731" t="str">
            <v>SP</v>
          </cell>
          <cell r="Q731" t="str">
            <v>SSP</v>
          </cell>
          <cell r="R731" t="str">
            <v>NATAL</v>
          </cell>
        </row>
        <row r="732">
          <cell r="A732" t="str">
            <v>ROGERIO OLIVEIRA LIMA</v>
          </cell>
          <cell r="B732" t="str">
            <v>Casado</v>
          </cell>
          <cell r="C732" t="str">
            <v>R Cláudio dos Santos</v>
          </cell>
          <cell r="D732" t="str">
            <v>Jardim Três Marias</v>
          </cell>
          <cell r="E732" t="str">
            <v>GUARUJA</v>
          </cell>
          <cell r="F732" t="str">
            <v>SP</v>
          </cell>
          <cell r="G732" t="str">
            <v>119</v>
          </cell>
          <cell r="H732" t="str">
            <v>CASA 01</v>
          </cell>
          <cell r="I732" t="str">
            <v>11440-260</v>
          </cell>
          <cell r="J732" t="str">
            <v>33513342</v>
          </cell>
          <cell r="K732" t="str">
            <v>996107004</v>
          </cell>
          <cell r="L732" t="str">
            <v>Masculino</v>
          </cell>
          <cell r="M732" t="str">
            <v>Parda</v>
          </cell>
          <cell r="N732">
            <v>30427</v>
          </cell>
          <cell r="O732" t="str">
            <v>338766509</v>
          </cell>
          <cell r="P732" t="str">
            <v>SP</v>
          </cell>
          <cell r="Q732" t="str">
            <v>SSP</v>
          </cell>
          <cell r="R732" t="str">
            <v>JOAO PESSOA</v>
          </cell>
        </row>
        <row r="733">
          <cell r="A733" t="str">
            <v>MARCELO ALVES</v>
          </cell>
          <cell r="B733" t="str">
            <v>Casado</v>
          </cell>
          <cell r="C733" t="str">
            <v>R Professor Nelson Espíndola Lobato</v>
          </cell>
          <cell r="D733" t="str">
            <v>Rádio Clube</v>
          </cell>
          <cell r="E733" t="str">
            <v>SANTOS</v>
          </cell>
          <cell r="F733" t="str">
            <v>SP</v>
          </cell>
          <cell r="G733" t="str">
            <v>BL G2</v>
          </cell>
          <cell r="H733" t="str">
            <v>AP 41</v>
          </cell>
          <cell r="I733" t="str">
            <v>11088-330</v>
          </cell>
          <cell r="J733" t="str">
            <v>32919530</v>
          </cell>
          <cell r="K733" t="str">
            <v/>
          </cell>
          <cell r="L733" t="str">
            <v>Masculino</v>
          </cell>
          <cell r="M733" t="str">
            <v>Parda</v>
          </cell>
          <cell r="N733">
            <v>25718</v>
          </cell>
          <cell r="O733" t="str">
            <v>203244199</v>
          </cell>
          <cell r="P733" t="str">
            <v>SP</v>
          </cell>
          <cell r="Q733" t="str">
            <v>SSP</v>
          </cell>
          <cell r="R733" t="str">
            <v>SANTOS</v>
          </cell>
        </row>
        <row r="734">
          <cell r="A734" t="str">
            <v>CLEBER VEIGA DOS SANTOS</v>
          </cell>
          <cell r="B734" t="str">
            <v>Casado</v>
          </cell>
          <cell r="C734" t="str">
            <v>R Saul de Oliveira Ventura</v>
          </cell>
          <cell r="D734" t="str">
            <v>Conjunto Residencial</v>
          </cell>
          <cell r="E734" t="str">
            <v>SAO VICENTE</v>
          </cell>
          <cell r="F734" t="str">
            <v>SP</v>
          </cell>
          <cell r="G734" t="str">
            <v>229</v>
          </cell>
          <cell r="H734" t="str">
            <v/>
          </cell>
          <cell r="I734" t="str">
            <v>11349-060</v>
          </cell>
          <cell r="J734" t="str">
            <v>32962500</v>
          </cell>
          <cell r="K734" t="str">
            <v/>
          </cell>
          <cell r="L734" t="str">
            <v>Masculino</v>
          </cell>
          <cell r="M734" t="str">
            <v>Parda</v>
          </cell>
          <cell r="N734">
            <v>26299</v>
          </cell>
          <cell r="O734" t="str">
            <v>233193480</v>
          </cell>
          <cell r="P734" t="str">
            <v>SP</v>
          </cell>
          <cell r="Q734" t="str">
            <v>SSP</v>
          </cell>
          <cell r="R734" t="str">
            <v>SANTOS</v>
          </cell>
        </row>
        <row r="735">
          <cell r="A735" t="str">
            <v>LUIZ CLAUDIO MOREIRA SERRA</v>
          </cell>
          <cell r="B735" t="str">
            <v>Casado</v>
          </cell>
          <cell r="C735" t="str">
            <v>R Antônio Francisco Arruda</v>
          </cell>
          <cell r="D735" t="str">
            <v>Sítio Paecara (Vicen</v>
          </cell>
          <cell r="E735" t="str">
            <v>GUARUJA</v>
          </cell>
          <cell r="F735" t="str">
            <v>SP</v>
          </cell>
          <cell r="G735" t="str">
            <v>247</v>
          </cell>
          <cell r="H735" t="str">
            <v/>
          </cell>
          <cell r="I735" t="str">
            <v>11461-290</v>
          </cell>
          <cell r="J735" t="str">
            <v>974033018</v>
          </cell>
          <cell r="K735" t="str">
            <v/>
          </cell>
          <cell r="L735" t="str">
            <v>Masculino</v>
          </cell>
          <cell r="M735" t="str">
            <v>Parda</v>
          </cell>
          <cell r="N735">
            <v>26603</v>
          </cell>
          <cell r="O735" t="str">
            <v>24960814</v>
          </cell>
          <cell r="P735" t="str">
            <v>SP</v>
          </cell>
          <cell r="Q735" t="str">
            <v>SSP</v>
          </cell>
          <cell r="R735" t="str">
            <v>GUARUJA</v>
          </cell>
        </row>
        <row r="736">
          <cell r="A736" t="str">
            <v>WILSON RODRIGUES LOPES JUNIOR</v>
          </cell>
          <cell r="B736" t="str">
            <v>Casado</v>
          </cell>
          <cell r="C736" t="str">
            <v>R Doutor Vital Brasil</v>
          </cell>
          <cell r="D736" t="str">
            <v>Vila Belmiro</v>
          </cell>
          <cell r="E736" t="str">
            <v>SANTOS</v>
          </cell>
          <cell r="F736" t="str">
            <v>SP</v>
          </cell>
          <cell r="G736" t="str">
            <v>90</v>
          </cell>
          <cell r="H736" t="str">
            <v>A Baixos</v>
          </cell>
          <cell r="I736" t="str">
            <v>11070-190</v>
          </cell>
          <cell r="J736" t="str">
            <v>35967270</v>
          </cell>
          <cell r="K736" t="str">
            <v>997617072</v>
          </cell>
          <cell r="L736" t="str">
            <v>Masculino</v>
          </cell>
          <cell r="M736" t="str">
            <v>Parda</v>
          </cell>
          <cell r="N736">
            <v>25141</v>
          </cell>
          <cell r="O736" t="str">
            <v>21935939</v>
          </cell>
          <cell r="P736" t="str">
            <v>SP</v>
          </cell>
          <cell r="Q736" t="str">
            <v>SSP</v>
          </cell>
          <cell r="R736" t="str">
            <v>SANTOS</v>
          </cell>
        </row>
        <row r="737">
          <cell r="A737" t="str">
            <v>MARCELO DE SOUZA LIMA</v>
          </cell>
          <cell r="B737" t="str">
            <v>Casado</v>
          </cell>
          <cell r="C737" t="str">
            <v>R Simão Jahjah</v>
          </cell>
          <cell r="D737" t="str">
            <v>Parque das Bandeiras</v>
          </cell>
          <cell r="E737" t="str">
            <v>SAO VICENTE</v>
          </cell>
          <cell r="F737" t="str">
            <v>SP</v>
          </cell>
          <cell r="G737" t="str">
            <v>331</v>
          </cell>
          <cell r="H737" t="str">
            <v/>
          </cell>
          <cell r="I737" t="str">
            <v>11346-200</v>
          </cell>
          <cell r="J737" t="str">
            <v>988050283</v>
          </cell>
          <cell r="K737" t="str">
            <v/>
          </cell>
          <cell r="L737" t="str">
            <v>Masculino</v>
          </cell>
          <cell r="M737" t="str">
            <v>Parda</v>
          </cell>
          <cell r="N737">
            <v>31001</v>
          </cell>
          <cell r="O737" t="str">
            <v>28301115</v>
          </cell>
          <cell r="P737" t="str">
            <v>SP</v>
          </cell>
          <cell r="Q737" t="str">
            <v>SSP</v>
          </cell>
          <cell r="R737" t="str">
            <v>CUBATAO</v>
          </cell>
        </row>
        <row r="738">
          <cell r="A738" t="str">
            <v>LUCIO RENE ONESTI</v>
          </cell>
          <cell r="B738" t="str">
            <v>Casado</v>
          </cell>
          <cell r="C738" t="str">
            <v>R Evaristo da Veiga</v>
          </cell>
          <cell r="D738" t="str">
            <v>Campo Grande</v>
          </cell>
          <cell r="E738" t="str">
            <v>SANTOS</v>
          </cell>
          <cell r="F738" t="str">
            <v>SP</v>
          </cell>
          <cell r="G738" t="str">
            <v>178</v>
          </cell>
          <cell r="H738" t="str">
            <v>Apto 33</v>
          </cell>
          <cell r="I738" t="str">
            <v>11075-660</v>
          </cell>
          <cell r="J738" t="str">
            <v/>
          </cell>
          <cell r="K738" t="str">
            <v/>
          </cell>
          <cell r="L738" t="str">
            <v>Masculino</v>
          </cell>
          <cell r="M738" t="str">
            <v>Parda</v>
          </cell>
          <cell r="N738">
            <v>28125</v>
          </cell>
          <cell r="O738" t="str">
            <v>268890882</v>
          </cell>
          <cell r="P738" t="str">
            <v>SP</v>
          </cell>
          <cell r="Q738" t="str">
            <v>SSP</v>
          </cell>
          <cell r="R738" t="str">
            <v>SANTOS</v>
          </cell>
        </row>
        <row r="739">
          <cell r="A739" t="str">
            <v>CAROLINA FERNANDES PINTO FRANCA</v>
          </cell>
          <cell r="B739" t="str">
            <v>Divorciado</v>
          </cell>
          <cell r="C739" t="str">
            <v>R Bolivar</v>
          </cell>
          <cell r="D739" t="str">
            <v>Boqueirao</v>
          </cell>
          <cell r="E739" t="str">
            <v>SANTOS</v>
          </cell>
          <cell r="F739" t="str">
            <v>SP</v>
          </cell>
          <cell r="G739" t="str">
            <v>74</v>
          </cell>
          <cell r="H739" t="str">
            <v>AP 161</v>
          </cell>
          <cell r="I739" t="str">
            <v>11045-360</v>
          </cell>
          <cell r="J739" t="str">
            <v>988865152</v>
          </cell>
          <cell r="K739" t="str">
            <v/>
          </cell>
          <cell r="L739" t="str">
            <v>Feminino</v>
          </cell>
          <cell r="M739" t="str">
            <v>Parda</v>
          </cell>
          <cell r="N739">
            <v>29515</v>
          </cell>
          <cell r="O739" t="str">
            <v>28852545</v>
          </cell>
          <cell r="P739" t="str">
            <v>SP</v>
          </cell>
          <cell r="Q739" t="str">
            <v>SSP</v>
          </cell>
          <cell r="R739" t="str">
            <v>SANTOS</v>
          </cell>
        </row>
        <row r="740">
          <cell r="A740" t="str">
            <v>SERGIO RODRIGUES JUNIOR</v>
          </cell>
          <cell r="B740" t="str">
            <v>Solteiro</v>
          </cell>
          <cell r="C740" t="str">
            <v>R Jacob Emerick</v>
          </cell>
          <cell r="D740" t="str">
            <v>Centro</v>
          </cell>
          <cell r="E740" t="str">
            <v>SAO VICENTE</v>
          </cell>
          <cell r="F740" t="str">
            <v>SP</v>
          </cell>
          <cell r="G740" t="str">
            <v>60</v>
          </cell>
          <cell r="H740" t="str">
            <v>apartamento 1109</v>
          </cell>
          <cell r="I740" t="str">
            <v>11310-070</v>
          </cell>
          <cell r="J740" t="str">
            <v>991894181</v>
          </cell>
          <cell r="K740" t="str">
            <v/>
          </cell>
          <cell r="L740" t="str">
            <v>Masculino</v>
          </cell>
          <cell r="M740" t="str">
            <v>Parda</v>
          </cell>
          <cell r="N740">
            <v>32982</v>
          </cell>
          <cell r="O740" t="str">
            <v>46377921</v>
          </cell>
          <cell r="P740" t="str">
            <v>SP</v>
          </cell>
          <cell r="Q740" t="str">
            <v>SSP</v>
          </cell>
          <cell r="R740" t="str">
            <v>INDAIATUBA</v>
          </cell>
        </row>
        <row r="741">
          <cell r="A741" t="str">
            <v>BRUNO DE SOUZA ALEXANDRE</v>
          </cell>
          <cell r="B741" t="str">
            <v>Casado</v>
          </cell>
          <cell r="C741" t="str">
            <v>R Liberdade</v>
          </cell>
          <cell r="D741" t="str">
            <v>Aparecida</v>
          </cell>
          <cell r="E741" t="str">
            <v>SANTOS</v>
          </cell>
          <cell r="F741" t="str">
            <v>SP</v>
          </cell>
          <cell r="G741" t="str">
            <v>791</v>
          </cell>
          <cell r="H741" t="str">
            <v/>
          </cell>
          <cell r="I741" t="str">
            <v>11025-032</v>
          </cell>
          <cell r="J741" t="str">
            <v>974040337</v>
          </cell>
          <cell r="K741" t="str">
            <v/>
          </cell>
          <cell r="L741" t="str">
            <v>Masculino</v>
          </cell>
          <cell r="M741" t="str">
            <v>Parda</v>
          </cell>
          <cell r="N741">
            <v>32757</v>
          </cell>
          <cell r="O741" t="str">
            <v>467138357</v>
          </cell>
          <cell r="P741" t="str">
            <v>SP</v>
          </cell>
          <cell r="Q741" t="str">
            <v>SSP</v>
          </cell>
          <cell r="R741" t="str">
            <v>SANTOS</v>
          </cell>
        </row>
        <row r="742">
          <cell r="A742" t="str">
            <v>PEDRO HENRIQUE SANTANA DE LIMA</v>
          </cell>
          <cell r="B742" t="str">
            <v>Casado</v>
          </cell>
          <cell r="C742" t="str">
            <v>R Paraná</v>
          </cell>
          <cell r="D742" t="str">
            <v>Vila Mathias</v>
          </cell>
          <cell r="E742" t="str">
            <v>SANTOS</v>
          </cell>
          <cell r="F742" t="str">
            <v>SP</v>
          </cell>
          <cell r="G742" t="str">
            <v>174</v>
          </cell>
          <cell r="H742" t="str">
            <v/>
          </cell>
          <cell r="I742" t="str">
            <v>11075-320</v>
          </cell>
          <cell r="J742" t="str">
            <v>33017742</v>
          </cell>
          <cell r="K742" t="str">
            <v/>
          </cell>
          <cell r="L742" t="str">
            <v>Masculino</v>
          </cell>
          <cell r="M742" t="str">
            <v>Parda</v>
          </cell>
          <cell r="N742">
            <v>34119</v>
          </cell>
          <cell r="O742" t="str">
            <v>492874219</v>
          </cell>
          <cell r="P742" t="str">
            <v>SP</v>
          </cell>
          <cell r="Q742" t="str">
            <v>SSP</v>
          </cell>
          <cell r="R742" t="str">
            <v>SANTOS</v>
          </cell>
        </row>
        <row r="743">
          <cell r="A743" t="str">
            <v>MARCOS DOMICIANO DE SOUZA</v>
          </cell>
          <cell r="B743" t="str">
            <v>Casado</v>
          </cell>
          <cell r="C743" t="str">
            <v>R Elaine Rosa dos Santos Fraga</v>
          </cell>
          <cell r="D743" t="str">
            <v>Vila Ema</v>
          </cell>
          <cell r="E743" t="str">
            <v>SAO VICENTE</v>
          </cell>
          <cell r="F743" t="str">
            <v>SP</v>
          </cell>
          <cell r="G743" t="str">
            <v>321</v>
          </cell>
          <cell r="H743" t="str">
            <v/>
          </cell>
          <cell r="I743" t="str">
            <v>11345-330</v>
          </cell>
          <cell r="J743" t="str">
            <v>35667887</v>
          </cell>
          <cell r="K743" t="str">
            <v/>
          </cell>
          <cell r="L743" t="str">
            <v>Masculino</v>
          </cell>
          <cell r="M743" t="str">
            <v>Parda</v>
          </cell>
          <cell r="N743">
            <v>31748</v>
          </cell>
          <cell r="O743" t="str">
            <v>30069413</v>
          </cell>
          <cell r="P743" t="str">
            <v>SP</v>
          </cell>
          <cell r="Q743" t="str">
            <v>SSP</v>
          </cell>
          <cell r="R743" t="str">
            <v>SANTOS</v>
          </cell>
        </row>
        <row r="744">
          <cell r="A744" t="str">
            <v>ROSEVANDRO SILVA DA CRUZ</v>
          </cell>
          <cell r="B744" t="str">
            <v>Casado</v>
          </cell>
          <cell r="C744" t="str">
            <v>AV Thiago Ferreira</v>
          </cell>
          <cell r="D744" t="str">
            <v>Vila Alice (Vicente</v>
          </cell>
          <cell r="E744" t="str">
            <v>GUARUJA</v>
          </cell>
          <cell r="F744" t="str">
            <v>SP</v>
          </cell>
          <cell r="G744" t="str">
            <v>283</v>
          </cell>
          <cell r="H744" t="str">
            <v>AP 11</v>
          </cell>
          <cell r="I744" t="str">
            <v>11450-001</v>
          </cell>
          <cell r="J744" t="str">
            <v>978092160</v>
          </cell>
          <cell r="K744" t="str">
            <v/>
          </cell>
          <cell r="L744" t="str">
            <v>Masculino</v>
          </cell>
          <cell r="M744" t="str">
            <v>Parda</v>
          </cell>
          <cell r="N744">
            <v>27703</v>
          </cell>
          <cell r="O744" t="str">
            <v>255139780</v>
          </cell>
          <cell r="P744" t="str">
            <v>SP</v>
          </cell>
          <cell r="Q744" t="str">
            <v>SSP</v>
          </cell>
          <cell r="R744" t="str">
            <v>GUARUJA</v>
          </cell>
        </row>
        <row r="745">
          <cell r="A745" t="str">
            <v>MARCELO BARBOSA SOARES</v>
          </cell>
          <cell r="B745" t="str">
            <v>Divorciado</v>
          </cell>
          <cell r="C745" t="str">
            <v>R Conselheiro João Alfredo</v>
          </cell>
          <cell r="D745" t="str">
            <v>Macuco</v>
          </cell>
          <cell r="E745" t="str">
            <v>SANTOS</v>
          </cell>
          <cell r="F745" t="str">
            <v>SP</v>
          </cell>
          <cell r="G745" t="str">
            <v>349</v>
          </cell>
          <cell r="H745" t="str">
            <v>CS B</v>
          </cell>
          <cell r="I745" t="str">
            <v>11015-220</v>
          </cell>
          <cell r="J745" t="str">
            <v>974066333</v>
          </cell>
          <cell r="K745" t="str">
            <v/>
          </cell>
          <cell r="L745" t="str">
            <v>Masculino</v>
          </cell>
          <cell r="M745" t="str">
            <v>Parda</v>
          </cell>
          <cell r="N745">
            <v>26299</v>
          </cell>
          <cell r="O745" t="str">
            <v>233193650</v>
          </cell>
          <cell r="P745" t="str">
            <v>SP</v>
          </cell>
          <cell r="Q745" t="str">
            <v>SSP</v>
          </cell>
          <cell r="R745" t="str">
            <v>SANTOS</v>
          </cell>
        </row>
        <row r="746">
          <cell r="A746" t="str">
            <v>ALEXANDRE ANDRADE DOS SANTOS</v>
          </cell>
          <cell r="B746" t="str">
            <v>Casado</v>
          </cell>
          <cell r="C746" t="str">
            <v>R Joaquim Osório Duque Estrada</v>
          </cell>
          <cell r="D746" t="str">
            <v>Ribeirópolis</v>
          </cell>
          <cell r="E746" t="str">
            <v>PRAIA GRANDE</v>
          </cell>
          <cell r="F746" t="str">
            <v>SP</v>
          </cell>
          <cell r="G746" t="str">
            <v>285</v>
          </cell>
          <cell r="H746" t="str">
            <v>QD L5PT C1</v>
          </cell>
          <cell r="I746" t="str">
            <v>11714-005</v>
          </cell>
          <cell r="J746" t="str">
            <v>991276723</v>
          </cell>
          <cell r="K746" t="str">
            <v/>
          </cell>
          <cell r="L746" t="str">
            <v>Masculino</v>
          </cell>
          <cell r="M746" t="str">
            <v>Parda</v>
          </cell>
          <cell r="N746">
            <v>27152</v>
          </cell>
          <cell r="O746" t="str">
            <v>243998041</v>
          </cell>
          <cell r="P746" t="str">
            <v>SP</v>
          </cell>
          <cell r="Q746" t="str">
            <v>SSP</v>
          </cell>
          <cell r="R746" t="str">
            <v>SANTOS</v>
          </cell>
        </row>
        <row r="747">
          <cell r="A747" t="str">
            <v>LUCAS DE BRITO RODRIGUES</v>
          </cell>
          <cell r="B747" t="str">
            <v>Solteiro</v>
          </cell>
          <cell r="C747" t="str">
            <v>R César Augusto de Castro Rios</v>
          </cell>
          <cell r="D747" t="str">
            <v>Areia Branca</v>
          </cell>
          <cell r="E747" t="str">
            <v>SANTOS</v>
          </cell>
          <cell r="F747" t="str">
            <v>SP</v>
          </cell>
          <cell r="G747" t="str">
            <v>332</v>
          </cell>
          <cell r="H747" t="str">
            <v>Torre 2 apt 152</v>
          </cell>
          <cell r="I747" t="str">
            <v>11086-415</v>
          </cell>
          <cell r="J747" t="str">
            <v/>
          </cell>
          <cell r="K747" t="str">
            <v/>
          </cell>
          <cell r="L747" t="str">
            <v>Masculino</v>
          </cell>
          <cell r="M747" t="str">
            <v>Parda</v>
          </cell>
          <cell r="N747">
            <v>32491</v>
          </cell>
          <cell r="O747" t="str">
            <v>448422761</v>
          </cell>
          <cell r="P747" t="str">
            <v>SP</v>
          </cell>
          <cell r="Q747" t="str">
            <v>SSP</v>
          </cell>
          <cell r="R747" t="str">
            <v>SANTOS</v>
          </cell>
        </row>
        <row r="748">
          <cell r="A748" t="str">
            <v>LUCAS MACIEL DE OLIVEIRA</v>
          </cell>
          <cell r="B748" t="str">
            <v>Solteiro</v>
          </cell>
          <cell r="C748" t="str">
            <v>AV Washington Luís</v>
          </cell>
          <cell r="D748" t="str">
            <v>Gonzaga</v>
          </cell>
          <cell r="E748" t="str">
            <v>SANTOS</v>
          </cell>
          <cell r="F748" t="str">
            <v>SP</v>
          </cell>
          <cell r="G748" t="str">
            <v>350</v>
          </cell>
          <cell r="H748" t="str">
            <v>AP 43</v>
          </cell>
          <cell r="I748" t="str">
            <v>11055-000</v>
          </cell>
          <cell r="J748" t="str">
            <v>32315820</v>
          </cell>
          <cell r="K748" t="str">
            <v/>
          </cell>
          <cell r="L748" t="str">
            <v>Masculino</v>
          </cell>
          <cell r="M748" t="str">
            <v>Parda</v>
          </cell>
          <cell r="N748">
            <v>34811</v>
          </cell>
          <cell r="O748" t="str">
            <v>452157638</v>
          </cell>
          <cell r="P748" t="str">
            <v>SP</v>
          </cell>
          <cell r="Q748" t="str">
            <v>SSP</v>
          </cell>
          <cell r="R748" t="str">
            <v>SANTOS</v>
          </cell>
        </row>
        <row r="749">
          <cell r="A749" t="str">
            <v>FERNANDO JOSE FERREIRA PEREIRA</v>
          </cell>
          <cell r="B749" t="str">
            <v>União Estável</v>
          </cell>
          <cell r="C749" t="str">
            <v>AV Ana Costa</v>
          </cell>
          <cell r="D749" t="str">
            <v>Gonzaga</v>
          </cell>
          <cell r="E749" t="str">
            <v>SANTOS</v>
          </cell>
          <cell r="F749" t="str">
            <v>SP</v>
          </cell>
          <cell r="G749" t="str">
            <v>524</v>
          </cell>
          <cell r="H749" t="str">
            <v>ap 504</v>
          </cell>
          <cell r="I749" t="str">
            <v>11060-002</v>
          </cell>
          <cell r="J749" t="str">
            <v>992008819</v>
          </cell>
          <cell r="K749" t="str">
            <v/>
          </cell>
          <cell r="L749" t="str">
            <v>Masculino</v>
          </cell>
          <cell r="M749" t="str">
            <v>Parda</v>
          </cell>
          <cell r="N749">
            <v>27138</v>
          </cell>
          <cell r="O749" t="str">
            <v>258395886</v>
          </cell>
          <cell r="P749" t="str">
            <v>SP</v>
          </cell>
          <cell r="Q749" t="str">
            <v>SSP</v>
          </cell>
          <cell r="R749" t="str">
            <v>SANTOS</v>
          </cell>
        </row>
        <row r="750">
          <cell r="A750" t="str">
            <v>MARCOS JOSE BRAGA</v>
          </cell>
          <cell r="B750" t="str">
            <v>União Estável</v>
          </cell>
          <cell r="C750" t="str">
            <v>AV Washington Luís</v>
          </cell>
          <cell r="D750" t="str">
            <v>Vila Mathias</v>
          </cell>
          <cell r="E750" t="str">
            <v>SANTOS</v>
          </cell>
          <cell r="F750" t="str">
            <v>SP</v>
          </cell>
          <cell r="G750" t="str">
            <v>203</v>
          </cell>
          <cell r="H750" t="str">
            <v>BL B AP2</v>
          </cell>
          <cell r="I750" t="str">
            <v>11050-201</v>
          </cell>
          <cell r="J750" t="str">
            <v>992106394</v>
          </cell>
          <cell r="K750" t="str">
            <v/>
          </cell>
          <cell r="L750" t="str">
            <v>Masculino</v>
          </cell>
          <cell r="M750" t="str">
            <v>Parda</v>
          </cell>
          <cell r="N750">
            <v>24691</v>
          </cell>
          <cell r="O750" t="str">
            <v>20323019</v>
          </cell>
          <cell r="P750" t="str">
            <v>SP</v>
          </cell>
          <cell r="Q750" t="str">
            <v>SSP</v>
          </cell>
          <cell r="R750" t="str">
            <v>SAO PAULO</v>
          </cell>
        </row>
        <row r="751">
          <cell r="A751" t="str">
            <v>MAURICIO SANTANA DE CAMARGO</v>
          </cell>
          <cell r="B751" t="str">
            <v>União Estável</v>
          </cell>
          <cell r="C751" t="str">
            <v>R Cunhambebe</v>
          </cell>
          <cell r="D751" t="str">
            <v>Jardim Cunhambebe (V</v>
          </cell>
          <cell r="E751" t="str">
            <v>GUARUJA</v>
          </cell>
          <cell r="F751" t="str">
            <v>SP</v>
          </cell>
          <cell r="G751" t="str">
            <v>56</v>
          </cell>
          <cell r="H751" t="str">
            <v/>
          </cell>
          <cell r="I751" t="str">
            <v>11450-090</v>
          </cell>
          <cell r="J751" t="str">
            <v>33524672</v>
          </cell>
          <cell r="K751" t="str">
            <v/>
          </cell>
          <cell r="L751" t="str">
            <v>Masculino</v>
          </cell>
          <cell r="M751" t="str">
            <v>Parda</v>
          </cell>
          <cell r="N751">
            <v>28156</v>
          </cell>
          <cell r="O751" t="str">
            <v>25912438</v>
          </cell>
          <cell r="P751" t="str">
            <v>SP</v>
          </cell>
          <cell r="Q751" t="str">
            <v>SSP</v>
          </cell>
          <cell r="R751" t="str">
            <v>SANTOS</v>
          </cell>
        </row>
        <row r="752">
          <cell r="A752" t="str">
            <v>NILSON DA SILVA BISPO</v>
          </cell>
          <cell r="B752" t="str">
            <v>Casado</v>
          </cell>
          <cell r="C752" t="str">
            <v>AV Jovino de Mello</v>
          </cell>
          <cell r="D752" t="str">
            <v>Areia Branca</v>
          </cell>
          <cell r="E752" t="str">
            <v>SANTOS</v>
          </cell>
          <cell r="F752" t="str">
            <v>SP</v>
          </cell>
          <cell r="G752" t="str">
            <v>1319</v>
          </cell>
          <cell r="H752" t="str">
            <v>Baixo</v>
          </cell>
          <cell r="I752" t="str">
            <v>11089-001</v>
          </cell>
          <cell r="J752" t="str">
            <v/>
          </cell>
          <cell r="K752" t="str">
            <v>974123390</v>
          </cell>
          <cell r="L752" t="str">
            <v>Masculino</v>
          </cell>
          <cell r="M752" t="str">
            <v>Parda</v>
          </cell>
          <cell r="N752">
            <v>27792</v>
          </cell>
          <cell r="O752" t="str">
            <v>26841838</v>
          </cell>
          <cell r="P752" t="str">
            <v>SP</v>
          </cell>
          <cell r="Q752" t="str">
            <v>SSP</v>
          </cell>
          <cell r="R752" t="str">
            <v>SANTOS</v>
          </cell>
        </row>
        <row r="753">
          <cell r="A753" t="str">
            <v>PAULO ROGERIO LUCIO</v>
          </cell>
          <cell r="B753" t="str">
            <v>Casado</v>
          </cell>
          <cell r="C753" t="str">
            <v>R São Marcos</v>
          </cell>
          <cell r="D753" t="str">
            <v>Morro Sao Bento</v>
          </cell>
          <cell r="E753" t="str">
            <v>SANTOS</v>
          </cell>
          <cell r="F753" t="str">
            <v>SP</v>
          </cell>
          <cell r="G753" t="str">
            <v>1630</v>
          </cell>
          <cell r="H753" t="str">
            <v/>
          </cell>
          <cell r="I753" t="str">
            <v>11082-500</v>
          </cell>
          <cell r="J753" t="str">
            <v>988258261</v>
          </cell>
          <cell r="K753" t="str">
            <v>988258261</v>
          </cell>
          <cell r="L753" t="str">
            <v>Masculino</v>
          </cell>
          <cell r="M753" t="str">
            <v>Parda</v>
          </cell>
          <cell r="N753">
            <v>24873</v>
          </cell>
          <cell r="O753" t="str">
            <v>193777721</v>
          </cell>
          <cell r="P753" t="str">
            <v>SP</v>
          </cell>
          <cell r="Q753" t="str">
            <v>SSP</v>
          </cell>
          <cell r="R753" t="str">
            <v>SANTOS</v>
          </cell>
        </row>
        <row r="754">
          <cell r="A754" t="str">
            <v>PAULO CESAR DOS SANTOS OLIVEIRA</v>
          </cell>
          <cell r="B754" t="str">
            <v>União Estável</v>
          </cell>
          <cell r="C754" t="str">
            <v>R Caraguatatuba</v>
          </cell>
          <cell r="D754" t="str">
            <v>Sítio Paecara (Vicen</v>
          </cell>
          <cell r="E754" t="str">
            <v>GUARUJA</v>
          </cell>
          <cell r="F754" t="str">
            <v>SP</v>
          </cell>
          <cell r="G754" t="str">
            <v>7</v>
          </cell>
          <cell r="H754" t="str">
            <v/>
          </cell>
          <cell r="I754" t="str">
            <v>11460-310</v>
          </cell>
          <cell r="J754" t="str">
            <v>33421570</v>
          </cell>
          <cell r="K754" t="str">
            <v/>
          </cell>
          <cell r="L754" t="str">
            <v>Masculino</v>
          </cell>
          <cell r="M754" t="str">
            <v>Parda</v>
          </cell>
          <cell r="N754">
            <v>28873</v>
          </cell>
          <cell r="O754" t="str">
            <v>33825299X</v>
          </cell>
          <cell r="P754" t="str">
            <v>SP</v>
          </cell>
          <cell r="Q754" t="str">
            <v>SSP</v>
          </cell>
          <cell r="R754" t="str">
            <v>GUARUJA</v>
          </cell>
        </row>
        <row r="755">
          <cell r="A755" t="str">
            <v>FABIO JOSE COSTA PESTANA</v>
          </cell>
          <cell r="B755" t="str">
            <v>Casado</v>
          </cell>
          <cell r="C755" t="str">
            <v>R São Marcelo</v>
          </cell>
          <cell r="D755" t="str">
            <v>Morro Sao Bento</v>
          </cell>
          <cell r="E755" t="str">
            <v>SANTOS</v>
          </cell>
          <cell r="F755" t="str">
            <v>SP</v>
          </cell>
          <cell r="G755" t="str">
            <v>1141</v>
          </cell>
          <cell r="H755" t="str">
            <v/>
          </cell>
          <cell r="I755" t="str">
            <v>11081-110</v>
          </cell>
          <cell r="J755" t="str">
            <v>32243596</v>
          </cell>
          <cell r="K755" t="str">
            <v>974176808</v>
          </cell>
          <cell r="L755" t="str">
            <v>Masculino</v>
          </cell>
          <cell r="M755" t="str">
            <v>Parda</v>
          </cell>
          <cell r="N755">
            <v>27497</v>
          </cell>
          <cell r="O755" t="str">
            <v>292857251</v>
          </cell>
          <cell r="P755" t="str">
            <v>SP</v>
          </cell>
          <cell r="Q755" t="str">
            <v>SSP</v>
          </cell>
          <cell r="R755" t="str">
            <v>SANTOS</v>
          </cell>
        </row>
        <row r="756">
          <cell r="A756" t="str">
            <v>LUIZ ALVES DE SOUZA JUNIOR</v>
          </cell>
          <cell r="B756" t="str">
            <v>Casado</v>
          </cell>
          <cell r="C756" t="str">
            <v>R URUGUAI</v>
          </cell>
          <cell r="D756" t="str">
            <v>Guilhermina</v>
          </cell>
          <cell r="E756" t="str">
            <v>PRAIA GRANDE</v>
          </cell>
          <cell r="F756" t="str">
            <v>SP</v>
          </cell>
          <cell r="G756" t="str">
            <v>518</v>
          </cell>
          <cell r="H756" t="str">
            <v>casa</v>
          </cell>
          <cell r="I756" t="str">
            <v>11702-300</v>
          </cell>
          <cell r="J756" t="str">
            <v>991583829</v>
          </cell>
          <cell r="K756" t="str">
            <v>991583829</v>
          </cell>
          <cell r="L756" t="str">
            <v>Masculino</v>
          </cell>
          <cell r="M756" t="str">
            <v>Parda</v>
          </cell>
          <cell r="N756">
            <v>27282</v>
          </cell>
          <cell r="O756" t="str">
            <v>25234053X</v>
          </cell>
          <cell r="P756" t="str">
            <v>SP</v>
          </cell>
          <cell r="Q756" t="str">
            <v>SSP</v>
          </cell>
          <cell r="R756" t="str">
            <v>SANTOS</v>
          </cell>
        </row>
        <row r="757">
          <cell r="A757" t="str">
            <v>NEANDER SHIMIZU</v>
          </cell>
          <cell r="B757" t="str">
            <v>Casado</v>
          </cell>
          <cell r="C757" t="str">
            <v>R Carlos Gomes</v>
          </cell>
          <cell r="D757" t="str">
            <v>Parque Sao Vicente</v>
          </cell>
          <cell r="E757" t="str">
            <v>SAO VICENTE</v>
          </cell>
          <cell r="F757" t="str">
            <v>SP</v>
          </cell>
          <cell r="G757" t="str">
            <v>253</v>
          </cell>
          <cell r="H757" t="str">
            <v/>
          </cell>
          <cell r="I757" t="str">
            <v>11365-230</v>
          </cell>
          <cell r="J757" t="str">
            <v/>
          </cell>
          <cell r="K757" t="str">
            <v/>
          </cell>
          <cell r="L757" t="str">
            <v>Masculino</v>
          </cell>
          <cell r="M757" t="str">
            <v>Parda</v>
          </cell>
          <cell r="N757">
            <v>25702</v>
          </cell>
          <cell r="O757" t="str">
            <v>19653966</v>
          </cell>
          <cell r="P757" t="str">
            <v>SP</v>
          </cell>
          <cell r="Q757" t="str">
            <v>SSP</v>
          </cell>
          <cell r="R757" t="str">
            <v>SAO PAULO</v>
          </cell>
        </row>
        <row r="758">
          <cell r="A758" t="str">
            <v>EUDERIO DE ALCANTARA JUNIOR</v>
          </cell>
          <cell r="B758" t="str">
            <v>Casado</v>
          </cell>
          <cell r="C758" t="str">
            <v>R Quinze de Novembro</v>
          </cell>
          <cell r="D758" t="str">
            <v>Vila Nova</v>
          </cell>
          <cell r="E758" t="str">
            <v>CUBATAO</v>
          </cell>
          <cell r="F758" t="str">
            <v>SP</v>
          </cell>
          <cell r="G758" t="str">
            <v>722</v>
          </cell>
          <cell r="H758" t="str">
            <v>AP11</v>
          </cell>
          <cell r="I758" t="str">
            <v>11520-010</v>
          </cell>
          <cell r="J758" t="str">
            <v>33721230</v>
          </cell>
          <cell r="K758" t="str">
            <v/>
          </cell>
          <cell r="L758" t="str">
            <v>Masculino</v>
          </cell>
          <cell r="M758" t="str">
            <v>Parda</v>
          </cell>
          <cell r="N758">
            <v>28475</v>
          </cell>
          <cell r="O758" t="str">
            <v>28865834</v>
          </cell>
          <cell r="P758" t="str">
            <v>SP</v>
          </cell>
          <cell r="Q758" t="str">
            <v>SSP</v>
          </cell>
          <cell r="R758" t="str">
            <v>CUBATAO</v>
          </cell>
        </row>
        <row r="759">
          <cell r="A759" t="str">
            <v>ANTONIO DE CARVALHO DIAS FILHO</v>
          </cell>
          <cell r="B759" t="str">
            <v>Divorciado</v>
          </cell>
          <cell r="C759" t="str">
            <v>R Almirante Ernesto de Mello Júnior</v>
          </cell>
          <cell r="D759" t="str">
            <v>Aparecida</v>
          </cell>
          <cell r="E759" t="str">
            <v>SANTOS</v>
          </cell>
          <cell r="F759" t="str">
            <v>SP</v>
          </cell>
          <cell r="G759" t="str">
            <v>191</v>
          </cell>
          <cell r="H759" t="str">
            <v>PT 5 AP 309</v>
          </cell>
          <cell r="I759" t="str">
            <v>11035-300</v>
          </cell>
          <cell r="J759" t="str">
            <v>996719498</v>
          </cell>
          <cell r="K759" t="str">
            <v/>
          </cell>
          <cell r="L759" t="str">
            <v>Masculino</v>
          </cell>
          <cell r="M759" t="str">
            <v>Parda</v>
          </cell>
          <cell r="N759">
            <v>24458</v>
          </cell>
          <cell r="O759" t="str">
            <v>187679411</v>
          </cell>
          <cell r="P759" t="str">
            <v>SP</v>
          </cell>
          <cell r="Q759" t="str">
            <v>SSP</v>
          </cell>
          <cell r="R759" t="str">
            <v>SANTOS</v>
          </cell>
        </row>
        <row r="760">
          <cell r="A760" t="str">
            <v>LUCIANO CAMPOS DOS SANTOS</v>
          </cell>
          <cell r="B760" t="str">
            <v>Casado</v>
          </cell>
          <cell r="C760" t="str">
            <v>R Marechal Carmona</v>
          </cell>
          <cell r="D760" t="str">
            <v>Jabaquara</v>
          </cell>
          <cell r="E760" t="str">
            <v>SANTOS</v>
          </cell>
          <cell r="F760" t="str">
            <v>SP</v>
          </cell>
          <cell r="G760" t="str">
            <v>31</v>
          </cell>
          <cell r="H760" t="str">
            <v>AP 22</v>
          </cell>
          <cell r="I760" t="str">
            <v>11013-580</v>
          </cell>
          <cell r="J760" t="str">
            <v>33021070</v>
          </cell>
          <cell r="K760" t="str">
            <v/>
          </cell>
          <cell r="L760" t="str">
            <v>Masculino</v>
          </cell>
          <cell r="M760" t="str">
            <v>Parda</v>
          </cell>
          <cell r="N760">
            <v>29175</v>
          </cell>
          <cell r="O760" t="str">
            <v>334944600</v>
          </cell>
          <cell r="P760" t="str">
            <v>SP</v>
          </cell>
          <cell r="Q760" t="str">
            <v>SSP</v>
          </cell>
          <cell r="R760" t="str">
            <v>SANTOS</v>
          </cell>
        </row>
        <row r="761">
          <cell r="A761" t="str">
            <v>THIAGO ARAUJO FEITOSA</v>
          </cell>
          <cell r="B761" t="str">
            <v>Solteiro</v>
          </cell>
          <cell r="C761" t="str">
            <v>AV Presidente Wilson</v>
          </cell>
          <cell r="D761" t="str">
            <v>Gonzaga</v>
          </cell>
          <cell r="E761" t="str">
            <v>SANTOS</v>
          </cell>
          <cell r="F761" t="str">
            <v>SP</v>
          </cell>
          <cell r="G761" t="str">
            <v>153</v>
          </cell>
          <cell r="H761" t="str">
            <v>apt 34</v>
          </cell>
          <cell r="I761" t="str">
            <v>11065-200</v>
          </cell>
          <cell r="J761" t="str">
            <v>988715301</v>
          </cell>
          <cell r="K761" t="str">
            <v/>
          </cell>
          <cell r="L761" t="str">
            <v>Masculino</v>
          </cell>
          <cell r="M761" t="str">
            <v>Parda</v>
          </cell>
          <cell r="N761">
            <v>33022</v>
          </cell>
          <cell r="O761" t="str">
            <v>248792111</v>
          </cell>
          <cell r="P761" t="str">
            <v>RJ</v>
          </cell>
          <cell r="Q761" t="str">
            <v>RRJ</v>
          </cell>
          <cell r="R761" t="str">
            <v>RIO DE JANEIRO</v>
          </cell>
        </row>
        <row r="762">
          <cell r="A762" t="str">
            <v>EMERSON FERREIRA DOS SANTOS</v>
          </cell>
          <cell r="B762" t="str">
            <v>Casado</v>
          </cell>
          <cell r="C762" t="str">
            <v>R Lauro Sebastião Magalhães</v>
          </cell>
          <cell r="D762" t="str">
            <v>Vila Sonia</v>
          </cell>
          <cell r="E762" t="str">
            <v>PRAIA GRANDE</v>
          </cell>
          <cell r="F762" t="str">
            <v>SP</v>
          </cell>
          <cell r="G762" t="str">
            <v>330</v>
          </cell>
          <cell r="H762" t="str">
            <v>CASA 5</v>
          </cell>
          <cell r="I762" t="str">
            <v>11722-380</v>
          </cell>
          <cell r="J762" t="str">
            <v>991399767</v>
          </cell>
          <cell r="K762" t="str">
            <v/>
          </cell>
          <cell r="L762" t="str">
            <v>Masculino</v>
          </cell>
          <cell r="M762" t="str">
            <v>Parda</v>
          </cell>
          <cell r="N762">
            <v>30632</v>
          </cell>
          <cell r="O762" t="str">
            <v>351477810</v>
          </cell>
          <cell r="P762" t="str">
            <v>SP</v>
          </cell>
          <cell r="Q762" t="str">
            <v>SSP</v>
          </cell>
          <cell r="R762" t="str">
            <v>SAO PAULO</v>
          </cell>
        </row>
        <row r="763">
          <cell r="A763" t="str">
            <v>MARCO MACEDONIO</v>
          </cell>
          <cell r="B763" t="str">
            <v>Casado</v>
          </cell>
          <cell r="C763" t="str">
            <v>R Doutor Gaspar Ricardo</v>
          </cell>
          <cell r="D763" t="str">
            <v>Marapé</v>
          </cell>
          <cell r="E763" t="str">
            <v>SANTOS</v>
          </cell>
          <cell r="F763" t="str">
            <v>SP</v>
          </cell>
          <cell r="G763" t="str">
            <v>66</v>
          </cell>
          <cell r="H763" t="str">
            <v/>
          </cell>
          <cell r="I763" t="str">
            <v>11070-350</v>
          </cell>
          <cell r="J763" t="str">
            <v>982063185</v>
          </cell>
          <cell r="K763" t="str">
            <v/>
          </cell>
          <cell r="L763" t="str">
            <v>Masculino</v>
          </cell>
          <cell r="M763" t="str">
            <v>Parda</v>
          </cell>
          <cell r="N763">
            <v>24976</v>
          </cell>
          <cell r="O763" t="str">
            <v>17598306</v>
          </cell>
          <cell r="P763" t="str">
            <v>SP</v>
          </cell>
          <cell r="Q763" t="str">
            <v>SSP</v>
          </cell>
          <cell r="R763" t="str">
            <v>SANTOS</v>
          </cell>
        </row>
        <row r="764">
          <cell r="A764" t="str">
            <v>JULIO DA SILVA BARBOSA</v>
          </cell>
          <cell r="B764" t="str">
            <v>Casado</v>
          </cell>
          <cell r="C764" t="str">
            <v>R José Roberto Moscariello</v>
          </cell>
          <cell r="D764" t="str">
            <v>Rádio Clube</v>
          </cell>
          <cell r="E764" t="str">
            <v>SANTOS</v>
          </cell>
          <cell r="F764" t="str">
            <v>SP</v>
          </cell>
          <cell r="G764" t="str">
            <v>75</v>
          </cell>
          <cell r="H764" t="str">
            <v/>
          </cell>
          <cell r="I764" t="str">
            <v>11088-420</v>
          </cell>
          <cell r="J764" t="str">
            <v>988494434</v>
          </cell>
          <cell r="K764" t="str">
            <v>981005505</v>
          </cell>
          <cell r="L764" t="str">
            <v>Masculino</v>
          </cell>
          <cell r="M764" t="str">
            <v>Parda</v>
          </cell>
          <cell r="N764">
            <v>24641</v>
          </cell>
          <cell r="O764" t="str">
            <v>19654825</v>
          </cell>
          <cell r="P764" t="str">
            <v>SP</v>
          </cell>
          <cell r="Q764" t="str">
            <v>SSP</v>
          </cell>
          <cell r="R764" t="str">
            <v>SAO VICENTE</v>
          </cell>
        </row>
        <row r="765">
          <cell r="A765" t="str">
            <v>JONATHAN TEIXEIRA DE DEUS</v>
          </cell>
          <cell r="B765" t="str">
            <v>Solteiro</v>
          </cell>
          <cell r="C765" t="str">
            <v>R Alessandria</v>
          </cell>
          <cell r="D765" t="str">
            <v>Vila Margarida</v>
          </cell>
          <cell r="E765" t="str">
            <v>SAO VICENTE</v>
          </cell>
          <cell r="F765" t="str">
            <v>SP</v>
          </cell>
          <cell r="G765" t="str">
            <v>47</v>
          </cell>
          <cell r="H765" t="str">
            <v>CS</v>
          </cell>
          <cell r="I765" t="str">
            <v>11330-630</v>
          </cell>
          <cell r="J765" t="str">
            <v>34631282</v>
          </cell>
          <cell r="K765" t="str">
            <v>991172104</v>
          </cell>
          <cell r="L765" t="str">
            <v>Masculino</v>
          </cell>
          <cell r="M765" t="str">
            <v>Parda</v>
          </cell>
          <cell r="N765">
            <v>33840</v>
          </cell>
          <cell r="O765" t="str">
            <v>488564347</v>
          </cell>
          <cell r="P765" t="str">
            <v>SP</v>
          </cell>
          <cell r="Q765" t="str">
            <v>SSP</v>
          </cell>
          <cell r="R765" t="str">
            <v>SAO VICENTE</v>
          </cell>
        </row>
        <row r="766">
          <cell r="A766" t="str">
            <v>REGINALDO JOSE DOS SANTOS</v>
          </cell>
          <cell r="B766" t="str">
            <v>Casado</v>
          </cell>
          <cell r="C766" t="str">
            <v>R Luiz Bezzi</v>
          </cell>
          <cell r="D766" t="str">
            <v>Rádio Clube</v>
          </cell>
          <cell r="E766" t="str">
            <v>SANTOS</v>
          </cell>
          <cell r="F766" t="str">
            <v>SP</v>
          </cell>
          <cell r="G766" t="str">
            <v>50</v>
          </cell>
          <cell r="H766" t="str">
            <v>A</v>
          </cell>
          <cell r="I766" t="str">
            <v>11088-205</v>
          </cell>
          <cell r="J766" t="str">
            <v>33231137</v>
          </cell>
          <cell r="K766" t="str">
            <v>997310332</v>
          </cell>
          <cell r="L766" t="str">
            <v>Masculino</v>
          </cell>
          <cell r="M766" t="str">
            <v>Parda</v>
          </cell>
          <cell r="N766">
            <v>25432</v>
          </cell>
          <cell r="O766" t="str">
            <v>191913236</v>
          </cell>
          <cell r="P766" t="str">
            <v>SP</v>
          </cell>
          <cell r="Q766" t="str">
            <v>SSP</v>
          </cell>
          <cell r="R766" t="str">
            <v>LAGARTO</v>
          </cell>
        </row>
        <row r="767">
          <cell r="A767" t="str">
            <v>MARCOS ROBERTO VIEIRA DE SENA</v>
          </cell>
          <cell r="B767" t="str">
            <v>Solteiro</v>
          </cell>
          <cell r="C767" t="str">
            <v>R Vereador Lourival Moreira do Amaral</v>
          </cell>
          <cell r="D767" t="str">
            <v>Parque Sao Vicente</v>
          </cell>
          <cell r="E767" t="str">
            <v>SAO VICENTE</v>
          </cell>
          <cell r="F767" t="str">
            <v>SP</v>
          </cell>
          <cell r="G767" t="str">
            <v>2610</v>
          </cell>
          <cell r="H767" t="str">
            <v/>
          </cell>
          <cell r="I767" t="str">
            <v>11365-100</v>
          </cell>
          <cell r="J767" t="str">
            <v/>
          </cell>
          <cell r="K767" t="str">
            <v/>
          </cell>
          <cell r="L767" t="str">
            <v>Masculino</v>
          </cell>
          <cell r="M767" t="str">
            <v>Parda</v>
          </cell>
          <cell r="N767">
            <v>29945</v>
          </cell>
          <cell r="O767" t="str">
            <v>32807281</v>
          </cell>
          <cell r="P767" t="str">
            <v>SP</v>
          </cell>
          <cell r="Q767" t="str">
            <v>SSP</v>
          </cell>
          <cell r="R767" t="str">
            <v>SAO VICENTE</v>
          </cell>
        </row>
        <row r="768">
          <cell r="A768" t="str">
            <v>SERGIO DOS SANTOS SILVEIRA</v>
          </cell>
          <cell r="B768" t="str">
            <v>Casado</v>
          </cell>
          <cell r="C768" t="str">
            <v>R Marília</v>
          </cell>
          <cell r="D768" t="str">
            <v>Vila Áurea (Vicente</v>
          </cell>
          <cell r="E768" t="str">
            <v>GUARUJA</v>
          </cell>
          <cell r="F768" t="str">
            <v>SP</v>
          </cell>
          <cell r="G768" t="str">
            <v>204</v>
          </cell>
          <cell r="H768" t="str">
            <v/>
          </cell>
          <cell r="I768" t="str">
            <v>11454-370</v>
          </cell>
          <cell r="J768" t="str">
            <v>991813936</v>
          </cell>
          <cell r="K768" t="str">
            <v>997784184</v>
          </cell>
          <cell r="L768" t="str">
            <v>Masculino</v>
          </cell>
          <cell r="M768" t="str">
            <v>Parda</v>
          </cell>
          <cell r="N768">
            <v>28629</v>
          </cell>
          <cell r="O768" t="str">
            <v>30266520</v>
          </cell>
          <cell r="P768" t="str">
            <v>SP</v>
          </cell>
          <cell r="Q768" t="str">
            <v>SSP</v>
          </cell>
          <cell r="R768" t="str">
            <v>GUARUJA</v>
          </cell>
        </row>
        <row r="769">
          <cell r="A769" t="str">
            <v>ALEXANDRE MAGALHAES COELHO</v>
          </cell>
          <cell r="B769" t="str">
            <v>União Estável</v>
          </cell>
          <cell r="C769" t="str">
            <v>AV das Araucárias</v>
          </cell>
          <cell r="D769" t="str">
            <v>Samambaia</v>
          </cell>
          <cell r="E769" t="str">
            <v>PRAIA GRANDE</v>
          </cell>
          <cell r="F769" t="str">
            <v>SP</v>
          </cell>
          <cell r="G769" t="str">
            <v>166</v>
          </cell>
          <cell r="H769" t="str">
            <v>Jardim</v>
          </cell>
          <cell r="I769" t="str">
            <v>11712-490</v>
          </cell>
          <cell r="J769" t="str">
            <v>991501698</v>
          </cell>
          <cell r="K769" t="str">
            <v/>
          </cell>
          <cell r="L769" t="str">
            <v>Masculino</v>
          </cell>
          <cell r="M769" t="str">
            <v>Parda</v>
          </cell>
          <cell r="N769">
            <v>27435</v>
          </cell>
          <cell r="O769" t="str">
            <v>275240915</v>
          </cell>
          <cell r="P769" t="str">
            <v>SP</v>
          </cell>
          <cell r="Q769" t="str">
            <v>SSP</v>
          </cell>
          <cell r="R769" t="str">
            <v>SANTOS</v>
          </cell>
        </row>
        <row r="770">
          <cell r="A770" t="str">
            <v>THAYANA CRISTINE RODRIGUES DA SILVA</v>
          </cell>
          <cell r="B770" t="str">
            <v>Solteiro</v>
          </cell>
          <cell r="C770" t="str">
            <v>R Maria Martins Baptista</v>
          </cell>
          <cell r="D770" t="str">
            <v>Vila Sonia</v>
          </cell>
          <cell r="E770" t="str">
            <v>PRAIA GRANDE</v>
          </cell>
          <cell r="F770" t="str">
            <v>SP</v>
          </cell>
          <cell r="G770" t="str">
            <v>1181</v>
          </cell>
          <cell r="H770" t="str">
            <v/>
          </cell>
          <cell r="I770" t="str">
            <v>11722-050</v>
          </cell>
          <cell r="J770" t="str">
            <v>981034330</v>
          </cell>
          <cell r="K770" t="str">
            <v/>
          </cell>
          <cell r="L770" t="str">
            <v>Masculino</v>
          </cell>
          <cell r="M770" t="str">
            <v>Parda</v>
          </cell>
          <cell r="N770">
            <v>32784</v>
          </cell>
          <cell r="O770" t="str">
            <v>460050229</v>
          </cell>
          <cell r="P770" t="str">
            <v>SP</v>
          </cell>
          <cell r="Q770" t="str">
            <v>SSP</v>
          </cell>
          <cell r="R770" t="str">
            <v>SANTOS</v>
          </cell>
        </row>
        <row r="771">
          <cell r="A771" t="str">
            <v>MAURICIO FERNANDES</v>
          </cell>
          <cell r="B771" t="str">
            <v>Casado</v>
          </cell>
          <cell r="C771" t="str">
            <v>R Luiz Marques Gaspar</v>
          </cell>
          <cell r="D771" t="str">
            <v>Aparecida</v>
          </cell>
          <cell r="E771" t="str">
            <v>SANTOS</v>
          </cell>
          <cell r="F771" t="str">
            <v>SP</v>
          </cell>
          <cell r="G771" t="str">
            <v>89</v>
          </cell>
          <cell r="H771" t="str">
            <v>Apto</v>
          </cell>
          <cell r="I771" t="str">
            <v>11040-040</v>
          </cell>
          <cell r="J771" t="str">
            <v>991738152</v>
          </cell>
          <cell r="K771" t="str">
            <v/>
          </cell>
          <cell r="L771" t="str">
            <v>Masculino</v>
          </cell>
          <cell r="M771" t="str">
            <v>Parda</v>
          </cell>
          <cell r="N771">
            <v>32959</v>
          </cell>
          <cell r="O771" t="str">
            <v>46710346</v>
          </cell>
          <cell r="P771" t="str">
            <v>SP</v>
          </cell>
          <cell r="Q771" t="str">
            <v>SSP</v>
          </cell>
          <cell r="R771" t="str">
            <v>GUARUJA</v>
          </cell>
        </row>
        <row r="772">
          <cell r="A772" t="str">
            <v>JEFFERSON RODRIGUES LIMA</v>
          </cell>
          <cell r="B772" t="str">
            <v>União Estável</v>
          </cell>
          <cell r="C772" t="str">
            <v>R Guilherme Guinler</v>
          </cell>
          <cell r="D772" t="str">
            <v>Jardim Nosso Lar</v>
          </cell>
          <cell r="E772" t="str">
            <v>SAO VICENTE</v>
          </cell>
          <cell r="F772" t="str">
            <v>SP</v>
          </cell>
          <cell r="G772" t="str">
            <v>185</v>
          </cell>
          <cell r="H772" t="str">
            <v/>
          </cell>
          <cell r="I772" t="str">
            <v>11370-460</v>
          </cell>
          <cell r="J772" t="str">
            <v>991076010</v>
          </cell>
          <cell r="K772" t="str">
            <v/>
          </cell>
          <cell r="L772" t="str">
            <v>Masculino</v>
          </cell>
          <cell r="M772" t="str">
            <v>Parda</v>
          </cell>
          <cell r="N772">
            <v>28071</v>
          </cell>
          <cell r="O772" t="str">
            <v>30130773</v>
          </cell>
          <cell r="P772" t="str">
            <v>SP</v>
          </cell>
          <cell r="Q772" t="str">
            <v>SSP</v>
          </cell>
          <cell r="R772" t="str">
            <v>SAO VICENTE</v>
          </cell>
        </row>
        <row r="773">
          <cell r="A773" t="str">
            <v>RODOLFO DANTAS DE OLIVEIRA</v>
          </cell>
          <cell r="B773" t="str">
            <v>União Estável</v>
          </cell>
          <cell r="C773" t="str">
            <v>R Visconde de Inhaúma</v>
          </cell>
          <cell r="D773" t="str">
            <v>Parque Estuário (Vic</v>
          </cell>
          <cell r="E773" t="str">
            <v>GUARUJA</v>
          </cell>
          <cell r="F773" t="str">
            <v>SP</v>
          </cell>
          <cell r="G773" t="str">
            <v>188</v>
          </cell>
          <cell r="H773" t="str">
            <v>L12 Q24 LC</v>
          </cell>
          <cell r="I773" t="str">
            <v>11451-080</v>
          </cell>
          <cell r="J773" t="str">
            <v>974071820</v>
          </cell>
          <cell r="K773" t="str">
            <v/>
          </cell>
          <cell r="L773" t="str">
            <v>Masculino</v>
          </cell>
          <cell r="M773" t="str">
            <v>Parda</v>
          </cell>
          <cell r="N773">
            <v>27493</v>
          </cell>
          <cell r="O773" t="str">
            <v>256869686</v>
          </cell>
          <cell r="P773" t="str">
            <v>SP</v>
          </cell>
          <cell r="Q773" t="str">
            <v>SSP</v>
          </cell>
          <cell r="R773" t="str">
            <v>GUARUJA</v>
          </cell>
        </row>
        <row r="774">
          <cell r="A774" t="str">
            <v>CLAUDIO MATHIAS JUNIOR</v>
          </cell>
          <cell r="B774" t="str">
            <v>Casado</v>
          </cell>
          <cell r="C774" t="str">
            <v>R Doutor Bernardo Browne</v>
          </cell>
          <cell r="D774" t="str">
            <v>Estuario</v>
          </cell>
          <cell r="E774" t="str">
            <v>SANTOS</v>
          </cell>
          <cell r="F774" t="str">
            <v>SP</v>
          </cell>
          <cell r="G774" t="str">
            <v>77</v>
          </cell>
          <cell r="H774" t="str">
            <v/>
          </cell>
          <cell r="I774" t="str">
            <v>11025-240</v>
          </cell>
          <cell r="J774" t="str">
            <v>32739600</v>
          </cell>
          <cell r="K774" t="str">
            <v>982272721</v>
          </cell>
          <cell r="L774" t="str">
            <v>Masculino</v>
          </cell>
          <cell r="M774" t="str">
            <v>Parda</v>
          </cell>
          <cell r="N774">
            <v>30424</v>
          </cell>
          <cell r="O774" t="str">
            <v>325239629</v>
          </cell>
          <cell r="P774" t="str">
            <v>SP</v>
          </cell>
          <cell r="Q774" t="str">
            <v>SSP</v>
          </cell>
          <cell r="R774" t="str">
            <v>SANTOS</v>
          </cell>
        </row>
        <row r="775">
          <cell r="A775" t="str">
            <v>ELIVELTON DE MIRANDA ROCHA</v>
          </cell>
          <cell r="B775" t="str">
            <v>Casado</v>
          </cell>
          <cell r="C775" t="str">
            <v>R Doutor Donald Alexandre Kealman</v>
          </cell>
          <cell r="D775" t="str">
            <v>Jardim Rio Branco</v>
          </cell>
          <cell r="E775" t="str">
            <v>SAO VICENTE</v>
          </cell>
          <cell r="F775" t="str">
            <v>SP</v>
          </cell>
          <cell r="G775" t="str">
            <v>564</v>
          </cell>
          <cell r="H775" t="str">
            <v>casa 03</v>
          </cell>
          <cell r="I775" t="str">
            <v>11347-040</v>
          </cell>
          <cell r="J775" t="str">
            <v>997015867</v>
          </cell>
          <cell r="K775" t="str">
            <v>997015867</v>
          </cell>
          <cell r="L775" t="str">
            <v>Masculino</v>
          </cell>
          <cell r="M775" t="str">
            <v>Parda</v>
          </cell>
          <cell r="N775">
            <v>33820</v>
          </cell>
          <cell r="O775" t="str">
            <v>486246966</v>
          </cell>
          <cell r="P775" t="str">
            <v>SP</v>
          </cell>
          <cell r="Q775" t="str">
            <v>SSP</v>
          </cell>
          <cell r="R775" t="str">
            <v>SANTOS</v>
          </cell>
        </row>
        <row r="776">
          <cell r="A776" t="str">
            <v>ALLAN FERREIRA DE ALMEIDA</v>
          </cell>
          <cell r="B776" t="str">
            <v>Casado</v>
          </cell>
          <cell r="C776" t="str">
            <v>R REINALDO DOS SANTOS</v>
          </cell>
          <cell r="D776" t="str">
            <v>Jardim Gloria</v>
          </cell>
          <cell r="E776" t="str">
            <v>PRAIA GRANDE</v>
          </cell>
          <cell r="F776" t="str">
            <v>SP</v>
          </cell>
          <cell r="G776" t="str">
            <v>783</v>
          </cell>
          <cell r="H776" t="str">
            <v>Q31-C4-SITIO SÃO SEBASTIA</v>
          </cell>
          <cell r="I776" t="str">
            <v>11700-000</v>
          </cell>
          <cell r="J776" t="str">
            <v/>
          </cell>
          <cell r="K776" t="str">
            <v/>
          </cell>
          <cell r="L776" t="str">
            <v>Masculino</v>
          </cell>
          <cell r="M776" t="str">
            <v>Parda</v>
          </cell>
          <cell r="N776">
            <v>29965</v>
          </cell>
          <cell r="O776" t="str">
            <v>336384674</v>
          </cell>
          <cell r="P776" t="str">
            <v>SP</v>
          </cell>
          <cell r="Q776" t="str">
            <v>SSP</v>
          </cell>
          <cell r="R776" t="str">
            <v>SAO VICENTE</v>
          </cell>
        </row>
        <row r="777">
          <cell r="A777" t="str">
            <v>FLAVIO DA MACENA CIRINO DE SOUZA</v>
          </cell>
          <cell r="B777" t="str">
            <v>Casado</v>
          </cell>
          <cell r="C777" t="str">
            <v>R Ambrosina Amélia Caldeira Tolentino</v>
          </cell>
          <cell r="D777" t="str">
            <v>Castelo</v>
          </cell>
          <cell r="E777" t="str">
            <v>SANTOS</v>
          </cell>
          <cell r="F777" t="str">
            <v>SP</v>
          </cell>
          <cell r="G777" t="str">
            <v>209</v>
          </cell>
          <cell r="H777" t="str">
            <v>Ap 23 bloco F5</v>
          </cell>
          <cell r="I777" t="str">
            <v>11087-300</v>
          </cell>
          <cell r="J777" t="str">
            <v>988350183</v>
          </cell>
          <cell r="K777" t="str">
            <v/>
          </cell>
          <cell r="L777" t="str">
            <v>Masculino</v>
          </cell>
          <cell r="M777" t="str">
            <v>Parda</v>
          </cell>
          <cell r="N777">
            <v>31668</v>
          </cell>
          <cell r="O777" t="str">
            <v>44663976X</v>
          </cell>
          <cell r="P777" t="str">
            <v>SP</v>
          </cell>
          <cell r="Q777" t="str">
            <v>SSP</v>
          </cell>
          <cell r="R777" t="str">
            <v>SANTOS</v>
          </cell>
        </row>
        <row r="778">
          <cell r="A778" t="str">
            <v>CAMILA MARIANA DA SILVA SANTOS</v>
          </cell>
          <cell r="B778" t="str">
            <v>Solteiro</v>
          </cell>
          <cell r="C778" t="str">
            <v>R Campos Mello</v>
          </cell>
          <cell r="D778" t="str">
            <v>Encruzilhada</v>
          </cell>
          <cell r="E778" t="str">
            <v>SANTOS</v>
          </cell>
          <cell r="F778" t="str">
            <v>SP</v>
          </cell>
          <cell r="G778" t="str">
            <v>447</v>
          </cell>
          <cell r="H778" t="str">
            <v>58</v>
          </cell>
          <cell r="I778" t="str">
            <v>11015-013</v>
          </cell>
          <cell r="J778" t="str">
            <v>974073296</v>
          </cell>
          <cell r="K778" t="str">
            <v>33219643</v>
          </cell>
          <cell r="L778" t="str">
            <v>Feminino</v>
          </cell>
          <cell r="M778" t="str">
            <v>Parda</v>
          </cell>
          <cell r="N778">
            <v>30256</v>
          </cell>
          <cell r="O778" t="str">
            <v>341530931</v>
          </cell>
          <cell r="P778" t="str">
            <v>SP</v>
          </cell>
          <cell r="Q778" t="str">
            <v>SSP</v>
          </cell>
          <cell r="R778" t="str">
            <v>SANTOS</v>
          </cell>
        </row>
        <row r="779">
          <cell r="A779" t="str">
            <v>ELLEN THAIS NOVOA</v>
          </cell>
          <cell r="B779" t="str">
            <v>Solteiro</v>
          </cell>
          <cell r="C779" t="str">
            <v>R Olavo Bilac</v>
          </cell>
          <cell r="D779" t="str">
            <v>Pompéia</v>
          </cell>
          <cell r="E779" t="str">
            <v>SANTOS</v>
          </cell>
          <cell r="F779" t="str">
            <v>SP</v>
          </cell>
          <cell r="G779" t="str">
            <v>22 AP</v>
          </cell>
          <cell r="H779" t="str">
            <v>AP 13</v>
          </cell>
          <cell r="I779" t="str">
            <v>11065-220</v>
          </cell>
          <cell r="J779" t="str">
            <v>974050836</v>
          </cell>
          <cell r="K779" t="str">
            <v/>
          </cell>
          <cell r="L779" t="str">
            <v>Feminino</v>
          </cell>
          <cell r="M779" t="str">
            <v>Parda</v>
          </cell>
          <cell r="N779">
            <v>28406</v>
          </cell>
          <cell r="O779" t="str">
            <v>295295004</v>
          </cell>
          <cell r="P779" t="str">
            <v>SP</v>
          </cell>
          <cell r="Q779" t="str">
            <v>SSP</v>
          </cell>
          <cell r="R779" t="str">
            <v>SANTOS</v>
          </cell>
        </row>
        <row r="780">
          <cell r="A780" t="str">
            <v>MARCOS ROGERIO DOS SANTOS BARRETO</v>
          </cell>
          <cell r="B780" t="str">
            <v>Casado</v>
          </cell>
          <cell r="C780" t="str">
            <v>R Doutor Nilo Rodrigues Paz</v>
          </cell>
          <cell r="D780" t="str">
            <v>Castelo</v>
          </cell>
          <cell r="E780" t="str">
            <v>SANTOS</v>
          </cell>
          <cell r="F780" t="str">
            <v>SP</v>
          </cell>
          <cell r="G780" t="str">
            <v>101</v>
          </cell>
          <cell r="H780" t="str">
            <v/>
          </cell>
          <cell r="I780" t="str">
            <v>11088-120</v>
          </cell>
          <cell r="J780" t="str">
            <v>34622697</v>
          </cell>
          <cell r="K780" t="str">
            <v/>
          </cell>
          <cell r="L780" t="str">
            <v>Masculino</v>
          </cell>
          <cell r="M780" t="str">
            <v>Parda</v>
          </cell>
          <cell r="N780">
            <v>30579</v>
          </cell>
          <cell r="O780" t="str">
            <v>347436055</v>
          </cell>
          <cell r="P780" t="str">
            <v>SP</v>
          </cell>
          <cell r="Q780" t="str">
            <v>SSP</v>
          </cell>
          <cell r="R780" t="str">
            <v>SANTOS</v>
          </cell>
        </row>
        <row r="781">
          <cell r="A781" t="str">
            <v>VALMIR BIANO DA SILVA</v>
          </cell>
          <cell r="B781" t="str">
            <v>Casado</v>
          </cell>
          <cell r="C781" t="str">
            <v>R Professor Torres Homem</v>
          </cell>
          <cell r="D781" t="str">
            <v>Boqueirao</v>
          </cell>
          <cell r="E781" t="str">
            <v>SANTOS</v>
          </cell>
          <cell r="F781" t="str">
            <v>SP</v>
          </cell>
          <cell r="G781" t="str">
            <v>233</v>
          </cell>
          <cell r="H781" t="str">
            <v>701</v>
          </cell>
          <cell r="I781" t="str">
            <v>11025-020</v>
          </cell>
          <cell r="J781" t="str">
            <v>974168867</v>
          </cell>
          <cell r="K781" t="str">
            <v/>
          </cell>
          <cell r="L781" t="str">
            <v>Masculino</v>
          </cell>
          <cell r="M781" t="str">
            <v>Parda</v>
          </cell>
          <cell r="N781">
            <v>27920</v>
          </cell>
          <cell r="O781" t="str">
            <v>27107016</v>
          </cell>
          <cell r="P781" t="str">
            <v>SP</v>
          </cell>
          <cell r="Q781" t="str">
            <v>SSP</v>
          </cell>
          <cell r="R781" t="str">
            <v>SANTOS</v>
          </cell>
        </row>
        <row r="782">
          <cell r="A782" t="str">
            <v>PAIXAO GIVALDO DE OLIVEIRA</v>
          </cell>
          <cell r="B782" t="str">
            <v>Casado</v>
          </cell>
          <cell r="C782" t="str">
            <v>R VIELA SÃO LAZARO</v>
          </cell>
          <cell r="D782" t="str">
            <v>Cachoeira</v>
          </cell>
          <cell r="E782" t="str">
            <v>GUARUJA</v>
          </cell>
          <cell r="F782" t="str">
            <v>SP</v>
          </cell>
          <cell r="G782" t="str">
            <v>235</v>
          </cell>
          <cell r="H782" t="str">
            <v/>
          </cell>
          <cell r="I782" t="str">
            <v>11435-014</v>
          </cell>
          <cell r="J782" t="str">
            <v>981431899</v>
          </cell>
          <cell r="K782" t="str">
            <v/>
          </cell>
          <cell r="L782" t="str">
            <v>Masculino</v>
          </cell>
          <cell r="M782" t="str">
            <v>Parda</v>
          </cell>
          <cell r="N782">
            <v>27131</v>
          </cell>
          <cell r="O782" t="str">
            <v>35733906</v>
          </cell>
          <cell r="P782" t="str">
            <v>SP</v>
          </cell>
          <cell r="Q782" t="str">
            <v>SSP</v>
          </cell>
          <cell r="R782" t="str">
            <v>TOBIAS BARRETO</v>
          </cell>
        </row>
        <row r="783">
          <cell r="A783" t="str">
            <v>ALEXANDRE GALVAO FERREIRA</v>
          </cell>
          <cell r="B783" t="str">
            <v>Casado</v>
          </cell>
          <cell r="C783" t="str">
            <v>R Castro Alves</v>
          </cell>
          <cell r="D783" t="str">
            <v>Jardim Costa e Silva</v>
          </cell>
          <cell r="E783" t="str">
            <v>CUBATAO</v>
          </cell>
          <cell r="F783" t="str">
            <v>SP</v>
          </cell>
          <cell r="G783" t="str">
            <v>26</v>
          </cell>
          <cell r="H783" t="str">
            <v/>
          </cell>
          <cell r="I783" t="str">
            <v>11500-530</v>
          </cell>
          <cell r="J783" t="str">
            <v>33611549</v>
          </cell>
          <cell r="K783" t="str">
            <v/>
          </cell>
          <cell r="L783" t="str">
            <v>Masculino</v>
          </cell>
          <cell r="M783" t="str">
            <v>Parda</v>
          </cell>
          <cell r="N783">
            <v>30812</v>
          </cell>
          <cell r="O783" t="str">
            <v>295371390</v>
          </cell>
          <cell r="P783" t="str">
            <v>SP</v>
          </cell>
          <cell r="Q783" t="str">
            <v>SSP</v>
          </cell>
          <cell r="R783" t="str">
            <v>CUBATAO</v>
          </cell>
        </row>
        <row r="784">
          <cell r="A784" t="str">
            <v>RODOLFO BESERRA ARAUJO</v>
          </cell>
          <cell r="B784" t="str">
            <v>União Estável</v>
          </cell>
          <cell r="C784" t="str">
            <v>R Beira Mar</v>
          </cell>
          <cell r="D784" t="str">
            <v>Sítio Paecara (Vicen</v>
          </cell>
          <cell r="E784" t="str">
            <v>GUARUJA</v>
          </cell>
          <cell r="F784" t="str">
            <v>SP</v>
          </cell>
          <cell r="G784" t="str">
            <v>50</v>
          </cell>
          <cell r="H784" t="str">
            <v/>
          </cell>
          <cell r="I784" t="str">
            <v>11450-490</v>
          </cell>
          <cell r="J784" t="str">
            <v>33426810</v>
          </cell>
          <cell r="K784" t="str">
            <v/>
          </cell>
          <cell r="L784" t="str">
            <v>Masculino</v>
          </cell>
          <cell r="M784" t="str">
            <v>Parda</v>
          </cell>
          <cell r="N784">
            <v>34218</v>
          </cell>
          <cell r="O784" t="str">
            <v>417474532</v>
          </cell>
          <cell r="P784" t="str">
            <v>SP</v>
          </cell>
          <cell r="Q784" t="str">
            <v>SSP</v>
          </cell>
          <cell r="R784" t="str">
            <v>SANTOS</v>
          </cell>
        </row>
        <row r="785">
          <cell r="A785" t="str">
            <v>CRISTIANO SILVA DE MENEZES</v>
          </cell>
          <cell r="B785" t="str">
            <v>Divorciado</v>
          </cell>
          <cell r="C785" t="str">
            <v>R Coronel Silva Teles</v>
          </cell>
          <cell r="D785" t="str">
            <v>Parque Sao Vicente</v>
          </cell>
          <cell r="E785" t="str">
            <v>SAO VICENTE</v>
          </cell>
          <cell r="F785" t="str">
            <v>SP</v>
          </cell>
          <cell r="G785" t="str">
            <v>142</v>
          </cell>
          <cell r="H785" t="str">
            <v>C 09</v>
          </cell>
          <cell r="I785" t="str">
            <v>11355-420</v>
          </cell>
          <cell r="J785" t="str">
            <v>988121964</v>
          </cell>
          <cell r="K785" t="str">
            <v/>
          </cell>
          <cell r="L785" t="str">
            <v>Masculino</v>
          </cell>
          <cell r="M785" t="str">
            <v>Parda</v>
          </cell>
          <cell r="N785">
            <v>28543</v>
          </cell>
          <cell r="O785" t="str">
            <v>295009123</v>
          </cell>
          <cell r="P785" t="str">
            <v>SP</v>
          </cell>
          <cell r="Q785" t="str">
            <v>SSP</v>
          </cell>
          <cell r="R785" t="str">
            <v>SANTOS</v>
          </cell>
        </row>
        <row r="786">
          <cell r="A786" t="str">
            <v>PAULO SERGIO CUSTODIO</v>
          </cell>
          <cell r="B786" t="str">
            <v>Casado</v>
          </cell>
          <cell r="C786" t="str">
            <v>R Dolores Mourão de Oliveira</v>
          </cell>
          <cell r="D786" t="str">
            <v>Sitio do Campo</v>
          </cell>
          <cell r="E786" t="str">
            <v>PRAIA GRANDE</v>
          </cell>
          <cell r="F786" t="str">
            <v>SP</v>
          </cell>
          <cell r="G786" t="str">
            <v>10</v>
          </cell>
          <cell r="H786" t="str">
            <v/>
          </cell>
          <cell r="I786" t="str">
            <v>11724-340</v>
          </cell>
          <cell r="J786" t="str">
            <v>34739943</v>
          </cell>
          <cell r="K786" t="str">
            <v/>
          </cell>
          <cell r="L786" t="str">
            <v>Masculino</v>
          </cell>
          <cell r="M786" t="str">
            <v>Parda</v>
          </cell>
          <cell r="N786">
            <v>26404</v>
          </cell>
          <cell r="O786" t="str">
            <v>22682689</v>
          </cell>
          <cell r="P786" t="str">
            <v>SP</v>
          </cell>
          <cell r="Q786" t="str">
            <v>SSP</v>
          </cell>
          <cell r="R786" t="str">
            <v>SAO VICENTE</v>
          </cell>
        </row>
        <row r="787">
          <cell r="A787" t="str">
            <v>LUIZ SERGIO RAMOS JUNIOR</v>
          </cell>
          <cell r="B787" t="str">
            <v>Casado</v>
          </cell>
          <cell r="C787" t="str">
            <v>R Equador</v>
          </cell>
          <cell r="D787" t="str">
            <v>Vila Nossa Senhora d</v>
          </cell>
          <cell r="E787" t="str">
            <v>SAO VICENTE</v>
          </cell>
          <cell r="F787" t="str">
            <v>SP</v>
          </cell>
          <cell r="G787" t="str">
            <v>430</v>
          </cell>
          <cell r="H787" t="str">
            <v>C 01</v>
          </cell>
          <cell r="I787" t="str">
            <v>11355-350</v>
          </cell>
          <cell r="J787" t="str">
            <v>34693936</v>
          </cell>
          <cell r="K787" t="str">
            <v/>
          </cell>
          <cell r="L787" t="str">
            <v>Masculino</v>
          </cell>
          <cell r="M787" t="str">
            <v>Parda</v>
          </cell>
          <cell r="N787">
            <v>30426</v>
          </cell>
          <cell r="O787" t="str">
            <v>4300851909</v>
          </cell>
          <cell r="P787" t="str">
            <v>SP</v>
          </cell>
          <cell r="Q787" t="str">
            <v>SSP</v>
          </cell>
          <cell r="R787" t="str">
            <v>SANTOS</v>
          </cell>
        </row>
        <row r="788">
          <cell r="A788" t="str">
            <v>COSME FERNANDES DA SILVA</v>
          </cell>
          <cell r="B788" t="str">
            <v>União Estável</v>
          </cell>
          <cell r="C788" t="str">
            <v>R Tocantins</v>
          </cell>
          <cell r="D788" t="str">
            <v>Balneario Praia do P</v>
          </cell>
          <cell r="E788" t="str">
            <v>GUARUJA</v>
          </cell>
          <cell r="F788" t="str">
            <v>SP</v>
          </cell>
          <cell r="G788" t="str">
            <v>177</v>
          </cell>
          <cell r="H788" t="str">
            <v>CS B</v>
          </cell>
          <cell r="I788" t="str">
            <v>11446-060</v>
          </cell>
          <cell r="J788" t="str">
            <v>996313544</v>
          </cell>
          <cell r="K788" t="str">
            <v/>
          </cell>
          <cell r="L788" t="str">
            <v>Masculino</v>
          </cell>
          <cell r="M788" t="str">
            <v>Parda</v>
          </cell>
          <cell r="N788">
            <v>29228</v>
          </cell>
          <cell r="O788" t="str">
            <v>324684083</v>
          </cell>
          <cell r="P788" t="str">
            <v>SP</v>
          </cell>
          <cell r="Q788" t="str">
            <v>SSP</v>
          </cell>
          <cell r="R788" t="str">
            <v>SAO PAULO</v>
          </cell>
        </row>
        <row r="789">
          <cell r="A789" t="str">
            <v>LUIZ FERNANDO DOS SANTOS GOMES</v>
          </cell>
          <cell r="B789" t="str">
            <v>Casado</v>
          </cell>
          <cell r="C789" t="str">
            <v>R José Gomes dos Santos Neto</v>
          </cell>
          <cell r="D789" t="str">
            <v>Macuco</v>
          </cell>
          <cell r="E789" t="str">
            <v>SANTOS</v>
          </cell>
          <cell r="F789" t="str">
            <v>SP</v>
          </cell>
          <cell r="G789" t="str">
            <v>29</v>
          </cell>
          <cell r="H789" t="str">
            <v>BA</v>
          </cell>
          <cell r="I789" t="str">
            <v>11020-270</v>
          </cell>
          <cell r="J789" t="str">
            <v>32319407</v>
          </cell>
          <cell r="K789" t="str">
            <v>974050635</v>
          </cell>
          <cell r="L789" t="str">
            <v>Masculino</v>
          </cell>
          <cell r="M789" t="str">
            <v>Parda</v>
          </cell>
          <cell r="N789">
            <v>29692</v>
          </cell>
          <cell r="O789" t="str">
            <v>444547678</v>
          </cell>
          <cell r="P789" t="str">
            <v>SP</v>
          </cell>
          <cell r="Q789" t="str">
            <v>SSP</v>
          </cell>
          <cell r="R789" t="str">
            <v>SANTOS</v>
          </cell>
        </row>
        <row r="790">
          <cell r="A790" t="str">
            <v>MOISES CLEMENTE FERREIRA</v>
          </cell>
          <cell r="B790" t="str">
            <v>Divorciado</v>
          </cell>
          <cell r="C790" t="str">
            <v>R José Evaristo Silva</v>
          </cell>
          <cell r="D790" t="str">
            <v>Parque das Bandeiras</v>
          </cell>
          <cell r="E790" t="str">
            <v>SAO VICENTE</v>
          </cell>
          <cell r="F790" t="str">
            <v>SP</v>
          </cell>
          <cell r="G790" t="str">
            <v>310</v>
          </cell>
          <cell r="H790" t="str">
            <v/>
          </cell>
          <cell r="I790" t="str">
            <v>11346-020</v>
          </cell>
          <cell r="J790" t="str">
            <v>997295921</v>
          </cell>
          <cell r="K790" t="str">
            <v/>
          </cell>
          <cell r="L790" t="str">
            <v>Masculino</v>
          </cell>
          <cell r="M790" t="str">
            <v>Parda</v>
          </cell>
          <cell r="N790">
            <v>30713</v>
          </cell>
          <cell r="O790" t="str">
            <v>441076439</v>
          </cell>
          <cell r="P790" t="str">
            <v>SP</v>
          </cell>
          <cell r="Q790" t="str">
            <v>SSP</v>
          </cell>
          <cell r="R790" t="str">
            <v>SAO VICENTE</v>
          </cell>
        </row>
        <row r="791">
          <cell r="A791" t="str">
            <v>RAFAEL RIBEIRO CORREA</v>
          </cell>
          <cell r="B791" t="str">
            <v>Solteiro</v>
          </cell>
          <cell r="C791" t="str">
            <v>R Amadeo Barbiellini</v>
          </cell>
          <cell r="D791" t="str">
            <v>Santa Maria</v>
          </cell>
          <cell r="E791" t="str">
            <v>SANTOS</v>
          </cell>
          <cell r="F791" t="str">
            <v>SP</v>
          </cell>
          <cell r="G791" t="str">
            <v>562</v>
          </cell>
          <cell r="H791" t="str">
            <v/>
          </cell>
          <cell r="I791" t="str">
            <v>11089-080</v>
          </cell>
          <cell r="J791" t="str">
            <v>33213304</v>
          </cell>
          <cell r="K791" t="str">
            <v/>
          </cell>
          <cell r="L791" t="str">
            <v>Masculino</v>
          </cell>
          <cell r="M791" t="str">
            <v>Parda</v>
          </cell>
          <cell r="N791">
            <v>33371</v>
          </cell>
          <cell r="O791" t="str">
            <v>478822096</v>
          </cell>
          <cell r="P791" t="str">
            <v>SP</v>
          </cell>
          <cell r="Q791" t="str">
            <v>SSP</v>
          </cell>
          <cell r="R791" t="str">
            <v>SANTOS</v>
          </cell>
        </row>
        <row r="792">
          <cell r="A792" t="str">
            <v>EDUARDO HENRIQUE GOMES DA SILVA</v>
          </cell>
          <cell r="B792" t="str">
            <v>Casado</v>
          </cell>
          <cell r="C792" t="str">
            <v>R Carmozina de Freitas Abreu</v>
          </cell>
          <cell r="D792" t="str">
            <v>Santa Cruz dos Naveg</v>
          </cell>
          <cell r="E792" t="str">
            <v>GUARUJA</v>
          </cell>
          <cell r="F792" t="str">
            <v>SP</v>
          </cell>
          <cell r="G792" t="str">
            <v>179</v>
          </cell>
          <cell r="H792" t="str">
            <v/>
          </cell>
          <cell r="I792" t="str">
            <v>11425-120</v>
          </cell>
          <cell r="J792" t="str">
            <v>981035019</v>
          </cell>
          <cell r="K792" t="str">
            <v/>
          </cell>
          <cell r="L792" t="str">
            <v>Masculino</v>
          </cell>
          <cell r="M792" t="str">
            <v>Parda</v>
          </cell>
          <cell r="N792">
            <v>27308</v>
          </cell>
          <cell r="O792" t="str">
            <v>251860802</v>
          </cell>
          <cell r="P792" t="str">
            <v>SP</v>
          </cell>
          <cell r="Q792" t="str">
            <v>SSP</v>
          </cell>
          <cell r="R792" t="str">
            <v>ASSIS</v>
          </cell>
        </row>
        <row r="793">
          <cell r="A793" t="str">
            <v>JOSUE DE OLIVEIRA SANTOS</v>
          </cell>
          <cell r="B793" t="str">
            <v>Casado</v>
          </cell>
          <cell r="C793" t="str">
            <v>AV Eng. Manoel Ferramenta JR</v>
          </cell>
          <cell r="D793" t="str">
            <v>Areia Branca</v>
          </cell>
          <cell r="E793" t="str">
            <v>SANTOS</v>
          </cell>
          <cell r="F793" t="str">
            <v>SP</v>
          </cell>
          <cell r="G793" t="str">
            <v>363</v>
          </cell>
          <cell r="H793" t="str">
            <v>BL -D AP 25</v>
          </cell>
          <cell r="I793" t="str">
            <v>11086-400</v>
          </cell>
          <cell r="J793" t="str">
            <v>978235736</v>
          </cell>
          <cell r="K793" t="str">
            <v>974121969</v>
          </cell>
          <cell r="L793" t="str">
            <v>Masculino</v>
          </cell>
          <cell r="M793" t="str">
            <v>Parda</v>
          </cell>
          <cell r="N793">
            <v>26425</v>
          </cell>
          <cell r="O793" t="str">
            <v>215227281</v>
          </cell>
          <cell r="P793" t="str">
            <v>SP</v>
          </cell>
          <cell r="Q793" t="str">
            <v>SSP</v>
          </cell>
          <cell r="R793" t="str">
            <v>SANTOS</v>
          </cell>
        </row>
        <row r="794">
          <cell r="A794" t="str">
            <v>ROGERIO TENORIO LIMA</v>
          </cell>
          <cell r="B794" t="str">
            <v>Casado</v>
          </cell>
          <cell r="C794" t="str">
            <v>AV BARTOLOMEU DE GUSMAO</v>
          </cell>
          <cell r="D794" t="str">
            <v>Aparecida</v>
          </cell>
          <cell r="E794" t="str">
            <v>SANTOS</v>
          </cell>
          <cell r="F794" t="str">
            <v>SP</v>
          </cell>
          <cell r="G794" t="str">
            <v>122</v>
          </cell>
          <cell r="H794" t="str">
            <v>AP 708</v>
          </cell>
          <cell r="I794" t="str">
            <v>11045-401</v>
          </cell>
          <cell r="J794" t="str">
            <v/>
          </cell>
          <cell r="K794" t="str">
            <v/>
          </cell>
          <cell r="L794" t="str">
            <v>Masculino</v>
          </cell>
          <cell r="M794" t="str">
            <v>Parda</v>
          </cell>
          <cell r="N794">
            <v>31696</v>
          </cell>
          <cell r="O794" t="str">
            <v>407956232</v>
          </cell>
          <cell r="P794" t="str">
            <v>SP</v>
          </cell>
          <cell r="Q794" t="str">
            <v>SSP</v>
          </cell>
          <cell r="R794" t="str">
            <v>SAO PAULO</v>
          </cell>
        </row>
        <row r="795">
          <cell r="A795" t="str">
            <v>KLEBER ALEXANDRE DA CRUZ BOTANI</v>
          </cell>
          <cell r="B795" t="str">
            <v>Casado</v>
          </cell>
          <cell r="C795" t="str">
            <v>R José Bispo Santos</v>
          </cell>
          <cell r="D795" t="str">
            <v>Sítio Paecara (Vicen</v>
          </cell>
          <cell r="E795" t="str">
            <v>GUARUJA</v>
          </cell>
          <cell r="F795" t="str">
            <v>SP</v>
          </cell>
          <cell r="G795" t="str">
            <v>332</v>
          </cell>
          <cell r="H795" t="str">
            <v/>
          </cell>
          <cell r="I795" t="str">
            <v>11460-160</v>
          </cell>
          <cell r="J795" t="str">
            <v>33527229</v>
          </cell>
          <cell r="K795" t="str">
            <v/>
          </cell>
          <cell r="L795" t="str">
            <v>Masculino</v>
          </cell>
          <cell r="M795" t="str">
            <v>Parda</v>
          </cell>
          <cell r="N795">
            <v>26120</v>
          </cell>
          <cell r="O795" t="str">
            <v>224640732</v>
          </cell>
          <cell r="P795" t="str">
            <v>SP</v>
          </cell>
          <cell r="Q795" t="str">
            <v>SSP</v>
          </cell>
          <cell r="R795" t="str">
            <v>GUARUJA</v>
          </cell>
        </row>
        <row r="796">
          <cell r="A796" t="str">
            <v>THIAGO DA SILVA MAURINO DE MENEZES</v>
          </cell>
          <cell r="B796" t="str">
            <v>Casado</v>
          </cell>
          <cell r="C796" t="str">
            <v>EST Alexandre Migues Rodrigues</v>
          </cell>
          <cell r="D796" t="str">
            <v>Jardim Las Palmas</v>
          </cell>
          <cell r="E796" t="str">
            <v>GUARUJA</v>
          </cell>
          <cell r="F796" t="str">
            <v>SP</v>
          </cell>
          <cell r="G796" t="str">
            <v>191</v>
          </cell>
          <cell r="H796" t="str">
            <v/>
          </cell>
          <cell r="I796" t="str">
            <v>11420-125</v>
          </cell>
          <cell r="J796" t="str">
            <v>997027677</v>
          </cell>
          <cell r="K796" t="str">
            <v/>
          </cell>
          <cell r="L796" t="str">
            <v>Masculino</v>
          </cell>
          <cell r="M796" t="str">
            <v>Parda</v>
          </cell>
          <cell r="N796">
            <v>32400</v>
          </cell>
          <cell r="O796" t="str">
            <v>443074434</v>
          </cell>
          <cell r="P796" t="str">
            <v>SP</v>
          </cell>
          <cell r="Q796" t="str">
            <v>SSP</v>
          </cell>
          <cell r="R796" t="str">
            <v>GUARUJA</v>
          </cell>
        </row>
        <row r="797">
          <cell r="A797" t="str">
            <v>MARCELO DOS SANTOS</v>
          </cell>
          <cell r="B797" t="str">
            <v>Casado</v>
          </cell>
          <cell r="C797" t="str">
            <v>R GODOFREDO FRAGA</v>
          </cell>
          <cell r="D797" t="str">
            <v>Marapé</v>
          </cell>
          <cell r="E797" t="str">
            <v>SANTOS</v>
          </cell>
          <cell r="F797" t="str">
            <v>SP</v>
          </cell>
          <cell r="G797" t="str">
            <v>61</v>
          </cell>
          <cell r="H797" t="str">
            <v>AP 4</v>
          </cell>
          <cell r="I797" t="str">
            <v>11070-400</v>
          </cell>
          <cell r="J797" t="str">
            <v>974175353</v>
          </cell>
          <cell r="K797" t="str">
            <v/>
          </cell>
          <cell r="L797" t="str">
            <v>Masculino</v>
          </cell>
          <cell r="M797" t="str">
            <v>Parda</v>
          </cell>
          <cell r="N797">
            <v>26862</v>
          </cell>
          <cell r="O797" t="str">
            <v>23217610</v>
          </cell>
          <cell r="P797" t="str">
            <v>SP</v>
          </cell>
          <cell r="Q797" t="str">
            <v>SSP</v>
          </cell>
          <cell r="R797" t="str">
            <v>SANTOS</v>
          </cell>
        </row>
        <row r="798">
          <cell r="A798" t="str">
            <v>JOAO CARLOS DA SILVA</v>
          </cell>
          <cell r="B798" t="str">
            <v>Casado</v>
          </cell>
          <cell r="C798" t="str">
            <v>R Benedito Ernesto Guimarães</v>
          </cell>
          <cell r="D798" t="str">
            <v>Marapé</v>
          </cell>
          <cell r="E798" t="str">
            <v>SANTOS</v>
          </cell>
          <cell r="F798" t="str">
            <v>SP</v>
          </cell>
          <cell r="G798" t="str">
            <v>77</v>
          </cell>
          <cell r="H798" t="str">
            <v>BL 14</v>
          </cell>
          <cell r="I798" t="str">
            <v>11070-020</v>
          </cell>
          <cell r="J798" t="str">
            <v>974097640</v>
          </cell>
          <cell r="K798" t="str">
            <v/>
          </cell>
          <cell r="L798" t="str">
            <v>Masculino</v>
          </cell>
          <cell r="M798" t="str">
            <v>Parda</v>
          </cell>
          <cell r="N798">
            <v>24951</v>
          </cell>
          <cell r="O798" t="str">
            <v>19377690X</v>
          </cell>
          <cell r="P798" t="str">
            <v>SP</v>
          </cell>
          <cell r="Q798" t="str">
            <v>SSP</v>
          </cell>
          <cell r="R798" t="str">
            <v>SANTOS</v>
          </cell>
        </row>
        <row r="799">
          <cell r="A799" t="str">
            <v>FABIO DE JESUS MARTINS</v>
          </cell>
          <cell r="B799" t="str">
            <v>Casado</v>
          </cell>
          <cell r="C799" t="str">
            <v>R Eduardo</v>
          </cell>
          <cell r="D799" t="str">
            <v>Jardim Santana (Vicente de Carvalho)</v>
          </cell>
          <cell r="E799" t="str">
            <v>GUARUJA</v>
          </cell>
          <cell r="F799" t="str">
            <v>SP</v>
          </cell>
          <cell r="G799" t="str">
            <v>310</v>
          </cell>
          <cell r="H799" t="str">
            <v/>
          </cell>
          <cell r="I799" t="str">
            <v>11470-170</v>
          </cell>
          <cell r="J799" t="str">
            <v>997360660</v>
          </cell>
          <cell r="K799" t="str">
            <v/>
          </cell>
          <cell r="L799" t="str">
            <v>Masculino</v>
          </cell>
          <cell r="M799" t="str">
            <v>Parda</v>
          </cell>
          <cell r="N799">
            <v>26862</v>
          </cell>
          <cell r="O799" t="str">
            <v>248221577</v>
          </cell>
          <cell r="P799" t="str">
            <v>SP</v>
          </cell>
          <cell r="Q799" t="str">
            <v>SSP</v>
          </cell>
          <cell r="R799" t="str">
            <v>GUARUJA</v>
          </cell>
        </row>
        <row r="800">
          <cell r="A800" t="str">
            <v>PETTERSON SANTOS DE BARROS</v>
          </cell>
          <cell r="B800" t="str">
            <v>Solteiro</v>
          </cell>
          <cell r="C800" t="str">
            <v>AV Manuel Albino</v>
          </cell>
          <cell r="D800" t="str">
            <v>Jardim Helena Maria</v>
          </cell>
          <cell r="E800" t="str">
            <v>GUARUJA</v>
          </cell>
          <cell r="F800" t="str">
            <v>SP</v>
          </cell>
          <cell r="G800" t="str">
            <v>651</v>
          </cell>
          <cell r="H800" t="str">
            <v>Casa 2</v>
          </cell>
          <cell r="I800" t="str">
            <v>11431-030</v>
          </cell>
          <cell r="J800" t="str">
            <v>991167098</v>
          </cell>
          <cell r="K800" t="str">
            <v/>
          </cell>
          <cell r="L800" t="str">
            <v>Masculino</v>
          </cell>
          <cell r="M800" t="str">
            <v>Parda</v>
          </cell>
          <cell r="N800">
            <v>34096</v>
          </cell>
          <cell r="O800" t="str">
            <v>490861404</v>
          </cell>
          <cell r="P800" t="str">
            <v>SP</v>
          </cell>
          <cell r="Q800" t="str">
            <v>SSP</v>
          </cell>
          <cell r="R800" t="str">
            <v>SANTOS</v>
          </cell>
        </row>
        <row r="801">
          <cell r="A801" t="str">
            <v>VALDEMAR SAMPAIO</v>
          </cell>
          <cell r="B801" t="str">
            <v>Casado</v>
          </cell>
          <cell r="C801" t="str">
            <v>R F</v>
          </cell>
          <cell r="D801" t="str">
            <v>Jose Menino</v>
          </cell>
          <cell r="E801" t="str">
            <v>SANTOS</v>
          </cell>
          <cell r="F801" t="str">
            <v>SP</v>
          </cell>
          <cell r="G801" t="str">
            <v>2115</v>
          </cell>
          <cell r="H801" t="str">
            <v>CA 2</v>
          </cell>
          <cell r="I801" t="str">
            <v>11065-740</v>
          </cell>
          <cell r="J801" t="str">
            <v>32255180</v>
          </cell>
          <cell r="K801" t="str">
            <v/>
          </cell>
          <cell r="L801" t="str">
            <v>Masculino</v>
          </cell>
          <cell r="M801" t="str">
            <v>Parda</v>
          </cell>
          <cell r="N801">
            <v>26454</v>
          </cell>
          <cell r="O801" t="str">
            <v>219369331</v>
          </cell>
          <cell r="P801" t="str">
            <v>SP</v>
          </cell>
          <cell r="Q801" t="str">
            <v>SSP</v>
          </cell>
          <cell r="R801" t="str">
            <v>SANTOS</v>
          </cell>
        </row>
        <row r="802">
          <cell r="A802" t="str">
            <v>ALESSANDRO SOLDA COELHO</v>
          </cell>
          <cell r="B802" t="str">
            <v>Casado</v>
          </cell>
          <cell r="C802" t="str">
            <v>R Flaminio Levy</v>
          </cell>
          <cell r="D802" t="str">
            <v>Saboo</v>
          </cell>
          <cell r="E802" t="str">
            <v>SANTOS</v>
          </cell>
          <cell r="F802" t="str">
            <v>SP</v>
          </cell>
          <cell r="G802" t="str">
            <v>33</v>
          </cell>
          <cell r="H802" t="str">
            <v>BL 10 AP 12</v>
          </cell>
          <cell r="I802" t="str">
            <v>11085-080</v>
          </cell>
          <cell r="J802" t="str">
            <v>32963529</v>
          </cell>
          <cell r="K802" t="str">
            <v/>
          </cell>
          <cell r="L802" t="str">
            <v>Masculino</v>
          </cell>
          <cell r="M802" t="str">
            <v>Parda</v>
          </cell>
          <cell r="N802">
            <v>28942</v>
          </cell>
          <cell r="O802" t="str">
            <v>307724128</v>
          </cell>
          <cell r="P802" t="str">
            <v>SP</v>
          </cell>
          <cell r="Q802" t="str">
            <v>SSP</v>
          </cell>
          <cell r="R802" t="str">
            <v>SAO PAULO</v>
          </cell>
        </row>
        <row r="803">
          <cell r="A803" t="str">
            <v>WALACE VALDEVINO DA SILVA</v>
          </cell>
          <cell r="B803" t="str">
            <v>Casado</v>
          </cell>
          <cell r="C803" t="str">
            <v>AV Francisco da Costa Pires</v>
          </cell>
          <cell r="D803" t="str">
            <v>São Jorge</v>
          </cell>
          <cell r="E803" t="str">
            <v>SANTOS</v>
          </cell>
          <cell r="F803" t="str">
            <v>SP</v>
          </cell>
          <cell r="G803" t="str">
            <v>88</v>
          </cell>
          <cell r="H803" t="str">
            <v>PL 6 AP 32 BL 2</v>
          </cell>
          <cell r="I803" t="str">
            <v>11085-700</v>
          </cell>
          <cell r="J803" t="str">
            <v>32996483</v>
          </cell>
          <cell r="K803" t="str">
            <v/>
          </cell>
          <cell r="L803" t="str">
            <v>Masculino</v>
          </cell>
          <cell r="M803" t="str">
            <v>Parda</v>
          </cell>
          <cell r="N803">
            <v>24036</v>
          </cell>
          <cell r="O803" t="str">
            <v>159574377</v>
          </cell>
          <cell r="P803" t="str">
            <v>SP</v>
          </cell>
          <cell r="Q803" t="str">
            <v>SSP</v>
          </cell>
          <cell r="R803" t="str">
            <v>SANTOS</v>
          </cell>
        </row>
        <row r="804">
          <cell r="A804" t="str">
            <v>THIAGO ALVES DE SOUZA</v>
          </cell>
          <cell r="B804" t="str">
            <v>Casado</v>
          </cell>
          <cell r="C804" t="str">
            <v>R Doutor Antônio Alves Arantes</v>
          </cell>
          <cell r="D804" t="str">
            <v>Castelo</v>
          </cell>
          <cell r="E804" t="str">
            <v>SANTOS</v>
          </cell>
          <cell r="F804" t="str">
            <v>SP</v>
          </cell>
          <cell r="G804" t="str">
            <v>95</v>
          </cell>
          <cell r="H804" t="str">
            <v/>
          </cell>
          <cell r="I804" t="str">
            <v>11087-510</v>
          </cell>
          <cell r="J804" t="str">
            <v>32999719</v>
          </cell>
          <cell r="K804" t="str">
            <v/>
          </cell>
          <cell r="L804" t="str">
            <v>Masculino</v>
          </cell>
          <cell r="M804" t="str">
            <v>Parda</v>
          </cell>
          <cell r="N804">
            <v>31124</v>
          </cell>
          <cell r="O804" t="str">
            <v>443612705</v>
          </cell>
          <cell r="P804" t="str">
            <v>SP</v>
          </cell>
          <cell r="Q804" t="str">
            <v>SSP</v>
          </cell>
          <cell r="R804" t="str">
            <v>SAO VICENTE</v>
          </cell>
        </row>
        <row r="805">
          <cell r="A805" t="str">
            <v>DANIELA TAVARES DE ANDRADE</v>
          </cell>
          <cell r="B805" t="str">
            <v>Solteiro</v>
          </cell>
          <cell r="C805" t="str">
            <v>R Três</v>
          </cell>
          <cell r="D805" t="str">
            <v>Morro Santa Maria</v>
          </cell>
          <cell r="E805" t="str">
            <v>SANTOS</v>
          </cell>
          <cell r="F805" t="str">
            <v>SP</v>
          </cell>
          <cell r="G805" t="str">
            <v>4597</v>
          </cell>
          <cell r="H805" t="str">
            <v>CS 03</v>
          </cell>
          <cell r="I805" t="str">
            <v>11080-690</v>
          </cell>
          <cell r="J805" t="str">
            <v>974189117</v>
          </cell>
          <cell r="K805" t="str">
            <v/>
          </cell>
          <cell r="L805" t="str">
            <v>Feminino</v>
          </cell>
          <cell r="M805" t="str">
            <v>Parda</v>
          </cell>
          <cell r="N805">
            <v>31288</v>
          </cell>
          <cell r="O805" t="str">
            <v>357344297</v>
          </cell>
          <cell r="P805" t="str">
            <v>SP</v>
          </cell>
          <cell r="Q805" t="str">
            <v>SSP</v>
          </cell>
          <cell r="R805" t="str">
            <v>SANTOS</v>
          </cell>
        </row>
        <row r="806">
          <cell r="A806" t="str">
            <v>ERICK BERNARDO DO NASCIMENTO</v>
          </cell>
          <cell r="B806" t="str">
            <v>Casado</v>
          </cell>
          <cell r="C806" t="str">
            <v>AV Professor Reinaldo Porchart</v>
          </cell>
          <cell r="D806" t="str">
            <v>Vila Belmiro</v>
          </cell>
          <cell r="E806" t="str">
            <v>SANTOS</v>
          </cell>
          <cell r="F806" t="str">
            <v>SP</v>
          </cell>
          <cell r="G806" t="str">
            <v>16</v>
          </cell>
          <cell r="H806" t="str">
            <v>Ap. 20 B</v>
          </cell>
          <cell r="I806" t="str">
            <v>11070-220</v>
          </cell>
          <cell r="J806" t="str">
            <v>974184930</v>
          </cell>
          <cell r="K806" t="str">
            <v/>
          </cell>
          <cell r="L806" t="str">
            <v>Masculino</v>
          </cell>
          <cell r="M806" t="str">
            <v>Parda</v>
          </cell>
          <cell r="N806">
            <v>31778</v>
          </cell>
          <cell r="O806" t="str">
            <v>437319726</v>
          </cell>
          <cell r="P806" t="str">
            <v>SP</v>
          </cell>
          <cell r="Q806" t="str">
            <v>SSP</v>
          </cell>
          <cell r="R806" t="str">
            <v>SANTOS</v>
          </cell>
        </row>
        <row r="807">
          <cell r="A807" t="str">
            <v>ROBINSON JOSE MOURA SANTA ROSA</v>
          </cell>
          <cell r="B807" t="str">
            <v>Casado</v>
          </cell>
          <cell r="C807" t="str">
            <v>AV Doutor Moura Ribeiro</v>
          </cell>
          <cell r="D807" t="str">
            <v>Marapé</v>
          </cell>
          <cell r="E807" t="str">
            <v>SANTOS</v>
          </cell>
          <cell r="F807" t="str">
            <v>SP</v>
          </cell>
          <cell r="G807" t="str">
            <v>125</v>
          </cell>
          <cell r="H807" t="str">
            <v>Ap 198 E</v>
          </cell>
          <cell r="I807" t="str">
            <v>11070-061</v>
          </cell>
          <cell r="J807" t="str">
            <v>32732689</v>
          </cell>
          <cell r="K807" t="str">
            <v/>
          </cell>
          <cell r="L807" t="str">
            <v>Masculino</v>
          </cell>
          <cell r="M807" t="str">
            <v>Parda</v>
          </cell>
          <cell r="N807">
            <v>25732</v>
          </cell>
          <cell r="O807" t="str">
            <v>203231971</v>
          </cell>
          <cell r="P807" t="str">
            <v>SP</v>
          </cell>
          <cell r="Q807" t="str">
            <v>SSP</v>
          </cell>
          <cell r="R807" t="str">
            <v>SANTOS</v>
          </cell>
        </row>
        <row r="808">
          <cell r="A808" t="str">
            <v>EDIVALDO QUIRINO DE OLIVEIRA</v>
          </cell>
          <cell r="B808" t="str">
            <v>Casado</v>
          </cell>
          <cell r="C808" t="str">
            <v>R Venezuela</v>
          </cell>
          <cell r="D808" t="str">
            <v>Guilhermina</v>
          </cell>
          <cell r="E808" t="str">
            <v>PRAIA GRANDE</v>
          </cell>
          <cell r="F808" t="str">
            <v>SP</v>
          </cell>
          <cell r="G808" t="str">
            <v>290</v>
          </cell>
          <cell r="H808" t="str">
            <v/>
          </cell>
          <cell r="I808" t="str">
            <v>11702-260</v>
          </cell>
          <cell r="J808" t="str">
            <v>991299000</v>
          </cell>
          <cell r="K808" t="str">
            <v/>
          </cell>
          <cell r="L808" t="str">
            <v>Masculino</v>
          </cell>
          <cell r="M808" t="str">
            <v>Parda</v>
          </cell>
          <cell r="N808">
            <v>26859</v>
          </cell>
          <cell r="O808" t="str">
            <v>22115484X</v>
          </cell>
          <cell r="P808" t="str">
            <v>SP</v>
          </cell>
          <cell r="Q808" t="str">
            <v>SSP</v>
          </cell>
          <cell r="R808" t="str">
            <v>SANTOS</v>
          </cell>
        </row>
        <row r="809">
          <cell r="A809" t="str">
            <v>MOISES MAGALHAES DE LIMA</v>
          </cell>
          <cell r="B809" t="str">
            <v>Casado</v>
          </cell>
          <cell r="C809" t="str">
            <v>AV Vereador Luis Carlos Romazzini</v>
          </cell>
          <cell r="D809" t="str">
            <v>Jardim Conceiçãozinh</v>
          </cell>
          <cell r="E809" t="str">
            <v>GUARUJA</v>
          </cell>
          <cell r="F809" t="str">
            <v>SP</v>
          </cell>
          <cell r="G809" t="str">
            <v>75</v>
          </cell>
          <cell r="H809" t="str">
            <v>BAP 34</v>
          </cell>
          <cell r="I809" t="str">
            <v>11472-110</v>
          </cell>
          <cell r="J809" t="str">
            <v>33844607</v>
          </cell>
          <cell r="K809" t="str">
            <v>974076781</v>
          </cell>
          <cell r="L809" t="str">
            <v>Masculino</v>
          </cell>
          <cell r="M809" t="str">
            <v>Parda</v>
          </cell>
          <cell r="N809">
            <v>24896</v>
          </cell>
          <cell r="O809" t="str">
            <v>142940612</v>
          </cell>
          <cell r="P809" t="str">
            <v>SP</v>
          </cell>
          <cell r="Q809" t="str">
            <v>SSP</v>
          </cell>
          <cell r="R809" t="str">
            <v>SANTOS</v>
          </cell>
        </row>
        <row r="810">
          <cell r="A810" t="str">
            <v>CLAYTON ALVES LIMA</v>
          </cell>
          <cell r="B810" t="str">
            <v>Casado</v>
          </cell>
          <cell r="C810" t="str">
            <v>AV Professor José de Almeida Pinheiro</v>
          </cell>
          <cell r="D810" t="str">
            <v>Conjunto Residencial</v>
          </cell>
          <cell r="E810" t="str">
            <v>SAO VICENTE</v>
          </cell>
          <cell r="F810" t="str">
            <v>SP</v>
          </cell>
          <cell r="G810" t="str">
            <v>794</v>
          </cell>
          <cell r="H810" t="str">
            <v/>
          </cell>
          <cell r="I810" t="str">
            <v>11349-100</v>
          </cell>
          <cell r="J810" t="str">
            <v>974142239</v>
          </cell>
          <cell r="K810" t="str">
            <v/>
          </cell>
          <cell r="L810" t="str">
            <v>Masculino</v>
          </cell>
          <cell r="M810" t="str">
            <v>Parda</v>
          </cell>
          <cell r="N810">
            <v>30769</v>
          </cell>
          <cell r="O810" t="str">
            <v>445326438</v>
          </cell>
          <cell r="P810" t="str">
            <v>SP</v>
          </cell>
          <cell r="Q810" t="str">
            <v>SSP</v>
          </cell>
          <cell r="R810" t="str">
            <v>SANTOS</v>
          </cell>
        </row>
        <row r="811">
          <cell r="A811" t="str">
            <v>LUCIANO SANTOS DE CARVALHO</v>
          </cell>
          <cell r="B811" t="str">
            <v>Casado</v>
          </cell>
          <cell r="C811" t="str">
            <v>R João Maria Júnior</v>
          </cell>
          <cell r="D811" t="str">
            <v>Vila Santa Rosa</v>
          </cell>
          <cell r="E811" t="str">
            <v>GUARUJA</v>
          </cell>
          <cell r="F811" t="str">
            <v>SP</v>
          </cell>
          <cell r="G811" t="str">
            <v>332</v>
          </cell>
          <cell r="H811" t="str">
            <v/>
          </cell>
          <cell r="I811" t="str">
            <v>11431-180</v>
          </cell>
          <cell r="J811" t="str">
            <v>974191670</v>
          </cell>
          <cell r="K811" t="str">
            <v/>
          </cell>
          <cell r="L811" t="str">
            <v>Masculino</v>
          </cell>
          <cell r="M811" t="str">
            <v>Parda</v>
          </cell>
          <cell r="N811">
            <v>27221</v>
          </cell>
          <cell r="O811" t="str">
            <v>245436054</v>
          </cell>
          <cell r="P811" t="str">
            <v>SP</v>
          </cell>
          <cell r="Q811" t="str">
            <v>SSP</v>
          </cell>
          <cell r="R811" t="str">
            <v>SANTOS</v>
          </cell>
        </row>
        <row r="812">
          <cell r="A812" t="str">
            <v>CARLOS ALBERTO CARVALHO DE SANTANA</v>
          </cell>
          <cell r="B812" t="str">
            <v>Casado</v>
          </cell>
          <cell r="C812" t="str">
            <v>R Casa Branca</v>
          </cell>
          <cell r="D812" t="str">
            <v>Sítio Paecara (Vicen</v>
          </cell>
          <cell r="E812" t="str">
            <v>GUARUJA</v>
          </cell>
          <cell r="F812" t="str">
            <v>SP</v>
          </cell>
          <cell r="G812" t="str">
            <v>222</v>
          </cell>
          <cell r="H812" t="str">
            <v/>
          </cell>
          <cell r="I812" t="str">
            <v>11461-580</v>
          </cell>
          <cell r="J812" t="str">
            <v>974036386</v>
          </cell>
          <cell r="K812" t="str">
            <v/>
          </cell>
          <cell r="L812" t="str">
            <v>Masculino</v>
          </cell>
          <cell r="M812" t="str">
            <v>Parda</v>
          </cell>
          <cell r="N812">
            <v>31526</v>
          </cell>
          <cell r="O812" t="str">
            <v>440057152</v>
          </cell>
          <cell r="P812" t="str">
            <v>SP</v>
          </cell>
          <cell r="Q812" t="str">
            <v>SSP</v>
          </cell>
          <cell r="R812" t="str">
            <v>GUARUJA</v>
          </cell>
        </row>
        <row r="813">
          <cell r="A813" t="str">
            <v>CLAUDIONOR GOMES ALVES</v>
          </cell>
          <cell r="B813" t="str">
            <v>Casado</v>
          </cell>
          <cell r="C813" t="str">
            <v>AV Alvorada</v>
          </cell>
          <cell r="D813" t="str">
            <v>Jardim Alvorada (Vic</v>
          </cell>
          <cell r="E813" t="str">
            <v>GUARUJA</v>
          </cell>
          <cell r="F813" t="str">
            <v>SP</v>
          </cell>
          <cell r="G813" t="str">
            <v>505</v>
          </cell>
          <cell r="H813" t="str">
            <v>casa A</v>
          </cell>
          <cell r="I813" t="str">
            <v>11470-000</v>
          </cell>
          <cell r="J813" t="str">
            <v>33791605</v>
          </cell>
          <cell r="K813" t="str">
            <v/>
          </cell>
          <cell r="L813" t="str">
            <v>Masculino</v>
          </cell>
          <cell r="M813" t="str">
            <v>Parda</v>
          </cell>
          <cell r="N813">
            <v>28012</v>
          </cell>
          <cell r="O813" t="str">
            <v>27032298X</v>
          </cell>
          <cell r="P813" t="str">
            <v>SP</v>
          </cell>
          <cell r="Q813" t="str">
            <v>SSP</v>
          </cell>
          <cell r="R813" t="str">
            <v>GUARUJA</v>
          </cell>
        </row>
        <row r="814">
          <cell r="A814" t="str">
            <v>DOUGLAS HENRIQUE OLIVEIRA DE SOUSA</v>
          </cell>
          <cell r="B814" t="str">
            <v>Casado</v>
          </cell>
          <cell r="C814" t="str">
            <v>R Vicente Leporace</v>
          </cell>
          <cell r="D814" t="str">
            <v>Vila Jockei Clube</v>
          </cell>
          <cell r="E814" t="str">
            <v>SAO VICENTE</v>
          </cell>
          <cell r="F814" t="str">
            <v>SP</v>
          </cell>
          <cell r="G814" t="str">
            <v>91</v>
          </cell>
          <cell r="H814" t="str">
            <v/>
          </cell>
          <cell r="I814" t="str">
            <v>11360-420</v>
          </cell>
          <cell r="J814" t="str">
            <v>974070695</v>
          </cell>
          <cell r="K814" t="str">
            <v>974070695</v>
          </cell>
          <cell r="L814" t="str">
            <v>Masculino</v>
          </cell>
          <cell r="M814" t="str">
            <v>Parda</v>
          </cell>
          <cell r="N814">
            <v>31754</v>
          </cell>
          <cell r="O814" t="str">
            <v>42002170X</v>
          </cell>
          <cell r="P814" t="str">
            <v>SP</v>
          </cell>
          <cell r="Q814" t="str">
            <v>SSP</v>
          </cell>
          <cell r="R814" t="str">
            <v>SANTOS</v>
          </cell>
        </row>
        <row r="815">
          <cell r="A815" t="str">
            <v>GENILSON SANTOS ARAUJO</v>
          </cell>
          <cell r="B815" t="str">
            <v>Casado</v>
          </cell>
          <cell r="C815" t="str">
            <v>R Três</v>
          </cell>
          <cell r="D815" t="str">
            <v>Jardim Irmã Dolores</v>
          </cell>
          <cell r="E815" t="str">
            <v>SAO VICENTE</v>
          </cell>
          <cell r="F815" t="str">
            <v>SP</v>
          </cell>
          <cell r="G815" t="str">
            <v>211</v>
          </cell>
          <cell r="H815" t="str">
            <v/>
          </cell>
          <cell r="I815" t="str">
            <v>11347-470</v>
          </cell>
          <cell r="J815" t="str">
            <v>997265638</v>
          </cell>
          <cell r="K815" t="str">
            <v/>
          </cell>
          <cell r="L815" t="str">
            <v>Masculino</v>
          </cell>
          <cell r="M815" t="str">
            <v>Parda</v>
          </cell>
          <cell r="N815">
            <v>27922</v>
          </cell>
          <cell r="O815" t="str">
            <v>271074280</v>
          </cell>
          <cell r="P815" t="str">
            <v>SP</v>
          </cell>
          <cell r="Q815" t="str">
            <v>SSP</v>
          </cell>
          <cell r="R815" t="str">
            <v>SANTOS</v>
          </cell>
        </row>
        <row r="816">
          <cell r="A816" t="str">
            <v>CECILIA DE DEUS LEITE PRADO</v>
          </cell>
          <cell r="B816" t="str">
            <v>Casado</v>
          </cell>
          <cell r="C816" t="str">
            <v>R Cuiabá</v>
          </cell>
          <cell r="D816" t="str">
            <v>Vila Nossa Senhora d</v>
          </cell>
          <cell r="E816" t="str">
            <v>SAO VICENTE</v>
          </cell>
          <cell r="F816" t="str">
            <v>SP</v>
          </cell>
          <cell r="G816" t="str">
            <v>421</v>
          </cell>
          <cell r="H816" t="str">
            <v/>
          </cell>
          <cell r="I816" t="str">
            <v>11355-250</v>
          </cell>
          <cell r="J816" t="str">
            <v>996045903</v>
          </cell>
          <cell r="K816" t="str">
            <v>34612235</v>
          </cell>
          <cell r="L816" t="str">
            <v>Feminino</v>
          </cell>
          <cell r="M816" t="str">
            <v>Parda</v>
          </cell>
          <cell r="N816">
            <v>27828</v>
          </cell>
          <cell r="O816" t="str">
            <v>274940504</v>
          </cell>
          <cell r="P816" t="str">
            <v>SP</v>
          </cell>
          <cell r="Q816" t="str">
            <v>SSP</v>
          </cell>
          <cell r="R816" t="str">
            <v>SANTOS</v>
          </cell>
        </row>
        <row r="817">
          <cell r="A817" t="str">
            <v>WAGNER MARTINS ALVES</v>
          </cell>
          <cell r="B817" t="str">
            <v>Solteiro</v>
          </cell>
          <cell r="C817" t="str">
            <v>R Octavio Corrêa</v>
          </cell>
          <cell r="D817" t="str">
            <v>Estuario</v>
          </cell>
          <cell r="E817" t="str">
            <v>SANTOS</v>
          </cell>
          <cell r="F817" t="str">
            <v>SP</v>
          </cell>
          <cell r="G817" t="str">
            <v>68</v>
          </cell>
          <cell r="H817" t="str">
            <v/>
          </cell>
          <cell r="I817" t="str">
            <v>11025-230</v>
          </cell>
          <cell r="J817" t="str">
            <v>974174034</v>
          </cell>
          <cell r="K817" t="str">
            <v/>
          </cell>
          <cell r="L817" t="str">
            <v>Masculino</v>
          </cell>
          <cell r="M817" t="str">
            <v>Parda</v>
          </cell>
          <cell r="N817">
            <v>30960</v>
          </cell>
          <cell r="O817" t="str">
            <v>453572176</v>
          </cell>
          <cell r="P817" t="str">
            <v>SP</v>
          </cell>
          <cell r="Q817" t="str">
            <v>SSP</v>
          </cell>
          <cell r="R817" t="str">
            <v>SANTOS</v>
          </cell>
        </row>
        <row r="818">
          <cell r="A818" t="str">
            <v>VALDIR ALVES DE OLIVEIRA JUNIOR</v>
          </cell>
          <cell r="B818" t="str">
            <v>Casado</v>
          </cell>
          <cell r="C818" t="str">
            <v>TV TV Duzentos e Dez</v>
          </cell>
          <cell r="D818" t="str">
            <v>Morrinhos</v>
          </cell>
          <cell r="E818" t="str">
            <v>GUARUJA</v>
          </cell>
          <cell r="F818" t="str">
            <v>SP</v>
          </cell>
          <cell r="G818" t="str">
            <v>63</v>
          </cell>
          <cell r="H818" t="str">
            <v>MORRINHOS II</v>
          </cell>
          <cell r="I818" t="str">
            <v>11495-100</v>
          </cell>
          <cell r="J818" t="str">
            <v>997593729</v>
          </cell>
          <cell r="K818" t="str">
            <v/>
          </cell>
          <cell r="L818" t="str">
            <v>Masculino</v>
          </cell>
          <cell r="M818" t="str">
            <v>Branca</v>
          </cell>
          <cell r="N818">
            <v>33046</v>
          </cell>
          <cell r="O818" t="str">
            <v>478058822</v>
          </cell>
          <cell r="P818" t="str">
            <v>SP</v>
          </cell>
          <cell r="Q818" t="str">
            <v>SSP</v>
          </cell>
          <cell r="R818" t="str">
            <v>GUARUJA</v>
          </cell>
        </row>
        <row r="819">
          <cell r="A819" t="str">
            <v>EDELMIR DOS SANTOS REIS</v>
          </cell>
          <cell r="B819" t="str">
            <v>Casado</v>
          </cell>
          <cell r="C819" t="str">
            <v>R Maria do Carmo</v>
          </cell>
          <cell r="D819" t="str">
            <v>Jardim Casqueiro</v>
          </cell>
          <cell r="E819" t="str">
            <v>CUBATAO</v>
          </cell>
          <cell r="F819" t="str">
            <v>SP</v>
          </cell>
          <cell r="G819" t="str">
            <v>935</v>
          </cell>
          <cell r="H819" t="str">
            <v>Apto 02</v>
          </cell>
          <cell r="I819" t="str">
            <v>11533-050</v>
          </cell>
          <cell r="J819" t="str">
            <v>33240157</v>
          </cell>
          <cell r="K819" t="str">
            <v>981466175</v>
          </cell>
          <cell r="L819" t="str">
            <v>Masculino</v>
          </cell>
          <cell r="M819" t="str">
            <v>Branca</v>
          </cell>
          <cell r="N819">
            <v>26537</v>
          </cell>
          <cell r="O819" t="str">
            <v>227777852</v>
          </cell>
          <cell r="P819" t="str">
            <v>SP</v>
          </cell>
          <cell r="Q819" t="str">
            <v>SSP</v>
          </cell>
          <cell r="R819" t="str">
            <v>SANTOS</v>
          </cell>
        </row>
        <row r="820">
          <cell r="A820" t="str">
            <v>EDSON DE SOUZA</v>
          </cell>
          <cell r="B820" t="str">
            <v>Divorciado</v>
          </cell>
          <cell r="C820" t="str">
            <v>R Professor Nelson Espíndola Lobato</v>
          </cell>
          <cell r="D820" t="str">
            <v>Rádio Clube</v>
          </cell>
          <cell r="E820" t="str">
            <v>SANTOS</v>
          </cell>
          <cell r="F820" t="str">
            <v>SP</v>
          </cell>
          <cell r="G820" t="str">
            <v>210</v>
          </cell>
          <cell r="H820" t="str">
            <v>QD 21</v>
          </cell>
          <cell r="I820" t="str">
            <v>11088-330</v>
          </cell>
          <cell r="J820" t="str">
            <v>33491541</v>
          </cell>
          <cell r="K820" t="str">
            <v/>
          </cell>
          <cell r="L820" t="str">
            <v>Masculino</v>
          </cell>
          <cell r="M820" t="str">
            <v>Parda</v>
          </cell>
          <cell r="N820">
            <v>25275</v>
          </cell>
          <cell r="O820" t="str">
            <v>226786572</v>
          </cell>
          <cell r="P820" t="str">
            <v>SP</v>
          </cell>
          <cell r="Q820" t="str">
            <v>SSP</v>
          </cell>
          <cell r="R820" t="str">
            <v>SANTOS</v>
          </cell>
        </row>
        <row r="821">
          <cell r="A821" t="str">
            <v>REGINALDO NUNES DA SILVA</v>
          </cell>
          <cell r="B821" t="str">
            <v>Casado</v>
          </cell>
          <cell r="C821" t="str">
            <v>R São Fernando</v>
          </cell>
          <cell r="D821" t="str">
            <v>Morro Sao Bento</v>
          </cell>
          <cell r="E821" t="str">
            <v>SANTOS</v>
          </cell>
          <cell r="F821" t="str">
            <v>SP</v>
          </cell>
          <cell r="G821" t="str">
            <v>4028</v>
          </cell>
          <cell r="H821" t="str">
            <v/>
          </cell>
          <cell r="I821" t="str">
            <v>11081-060</v>
          </cell>
          <cell r="J821" t="str">
            <v>974130779</v>
          </cell>
          <cell r="K821" t="str">
            <v>32588262</v>
          </cell>
          <cell r="L821" t="str">
            <v>Masculino</v>
          </cell>
          <cell r="M821" t="str">
            <v>Parda</v>
          </cell>
          <cell r="N821">
            <v>23873</v>
          </cell>
          <cell r="O821" t="str">
            <v>15949725</v>
          </cell>
          <cell r="P821" t="str">
            <v>SP</v>
          </cell>
          <cell r="Q821" t="str">
            <v>SSP</v>
          </cell>
          <cell r="R821" t="str">
            <v>SANTOS</v>
          </cell>
        </row>
        <row r="822">
          <cell r="A822" t="str">
            <v>ALUIZIO PEREIRA DE OLIVEIRA</v>
          </cell>
          <cell r="B822" t="str">
            <v>Casado</v>
          </cell>
          <cell r="C822" t="str">
            <v>TV Trezentos e Sessenta</v>
          </cell>
          <cell r="D822" t="str">
            <v>Morrinhos</v>
          </cell>
          <cell r="E822" t="str">
            <v>GUARUJA</v>
          </cell>
          <cell r="F822" t="str">
            <v>SP</v>
          </cell>
          <cell r="G822" t="str">
            <v>29</v>
          </cell>
          <cell r="H822" t="str">
            <v>QD 128- LOTE 02</v>
          </cell>
          <cell r="I822" t="str">
            <v>11495-185</v>
          </cell>
          <cell r="J822" t="str">
            <v>991559060</v>
          </cell>
          <cell r="K822" t="str">
            <v>33594420</v>
          </cell>
          <cell r="L822" t="str">
            <v>Masculino</v>
          </cell>
          <cell r="M822" t="str">
            <v>Parda</v>
          </cell>
          <cell r="N822">
            <v>26741</v>
          </cell>
          <cell r="O822" t="str">
            <v>212511014</v>
          </cell>
          <cell r="P822" t="str">
            <v>SP</v>
          </cell>
          <cell r="Q822" t="str">
            <v>SSP</v>
          </cell>
          <cell r="R822" t="str">
            <v>AREIA BRANCA</v>
          </cell>
        </row>
        <row r="823">
          <cell r="A823" t="str">
            <v>HUDSON SANTANA DE SOUZA</v>
          </cell>
          <cell r="B823" t="str">
            <v>Solteiro</v>
          </cell>
          <cell r="C823" t="str">
            <v>R Dona Joana de Menezes Faro</v>
          </cell>
          <cell r="D823" t="str">
            <v>Sítio Paecara (Vicen</v>
          </cell>
          <cell r="E823" t="str">
            <v>GUARUJA</v>
          </cell>
          <cell r="F823" t="str">
            <v>SP</v>
          </cell>
          <cell r="G823" t="str">
            <v>1096</v>
          </cell>
          <cell r="H823" t="str">
            <v/>
          </cell>
          <cell r="I823" t="str">
            <v>11462-000</v>
          </cell>
          <cell r="J823" t="str">
            <v>981396184</v>
          </cell>
          <cell r="K823" t="str">
            <v>982210903</v>
          </cell>
          <cell r="L823" t="str">
            <v>Masculino</v>
          </cell>
          <cell r="M823" t="str">
            <v>Parda</v>
          </cell>
          <cell r="N823">
            <v>33234</v>
          </cell>
          <cell r="O823" t="str">
            <v>48596981</v>
          </cell>
          <cell r="P823" t="str">
            <v>SP</v>
          </cell>
          <cell r="Q823" t="str">
            <v>SSP</v>
          </cell>
          <cell r="R823" t="str">
            <v>SANTOS</v>
          </cell>
        </row>
        <row r="824">
          <cell r="A824" t="str">
            <v>JORGE EVALDO FREIRE DA CRUZ</v>
          </cell>
          <cell r="B824" t="str">
            <v>Solteiro</v>
          </cell>
          <cell r="C824" t="str">
            <v>R Vahia de Abreu</v>
          </cell>
          <cell r="D824" t="str">
            <v>Boqueirao</v>
          </cell>
          <cell r="E824" t="str">
            <v>SANTOS</v>
          </cell>
          <cell r="F824" t="str">
            <v>SP</v>
          </cell>
          <cell r="G824" t="str">
            <v>131</v>
          </cell>
          <cell r="H824" t="str">
            <v>ap 13</v>
          </cell>
          <cell r="I824" t="str">
            <v>11050-120</v>
          </cell>
          <cell r="J824" t="str">
            <v>981022307</v>
          </cell>
          <cell r="K824" t="str">
            <v>981022307</v>
          </cell>
          <cell r="L824" t="str">
            <v>Masculino</v>
          </cell>
          <cell r="M824" t="str">
            <v>Parda</v>
          </cell>
          <cell r="N824">
            <v>27775</v>
          </cell>
          <cell r="O824" t="str">
            <v>230357350</v>
          </cell>
          <cell r="P824" t="str">
            <v>SP</v>
          </cell>
          <cell r="Q824" t="str">
            <v>SSP</v>
          </cell>
          <cell r="R824" t="str">
            <v>FORTALEZA</v>
          </cell>
        </row>
        <row r="825">
          <cell r="A825" t="str">
            <v>WILLIAN SERRA DO NASCIMENTO</v>
          </cell>
          <cell r="B825" t="str">
            <v>Casado</v>
          </cell>
          <cell r="C825" t="str">
            <v>R Santa Isabel</v>
          </cell>
          <cell r="D825" t="str">
            <v>Sítio Paecara (Vicen</v>
          </cell>
          <cell r="E825" t="str">
            <v>GUARUJA</v>
          </cell>
          <cell r="F825" t="str">
            <v>SP</v>
          </cell>
          <cell r="G825" t="str">
            <v>617</v>
          </cell>
          <cell r="H825" t="str">
            <v/>
          </cell>
          <cell r="I825" t="str">
            <v>11460-300</v>
          </cell>
          <cell r="J825" t="str">
            <v>997361056</v>
          </cell>
          <cell r="K825" t="str">
            <v/>
          </cell>
          <cell r="L825" t="str">
            <v>Masculino</v>
          </cell>
          <cell r="M825" t="str">
            <v>Parda</v>
          </cell>
          <cell r="N825">
            <v>31276</v>
          </cell>
          <cell r="O825" t="str">
            <v>440060102</v>
          </cell>
          <cell r="P825" t="str">
            <v>SP</v>
          </cell>
          <cell r="Q825" t="str">
            <v>SSP</v>
          </cell>
          <cell r="R825" t="str">
            <v>GUARUJA</v>
          </cell>
        </row>
        <row r="826">
          <cell r="A826" t="str">
            <v>LEONARDO SOUSA ALVES</v>
          </cell>
          <cell r="B826" t="str">
            <v>Casado</v>
          </cell>
          <cell r="C826" t="str">
            <v>R Indaiatuba</v>
          </cell>
          <cell r="D826" t="str">
            <v>Parque Sao Vicente</v>
          </cell>
          <cell r="E826" t="str">
            <v>SAO VICENTE</v>
          </cell>
          <cell r="F826" t="str">
            <v>SP</v>
          </cell>
          <cell r="G826" t="str">
            <v>555</v>
          </cell>
          <cell r="H826" t="str">
            <v/>
          </cell>
          <cell r="I826" t="str">
            <v>11365-220</v>
          </cell>
          <cell r="J826" t="str">
            <v/>
          </cell>
          <cell r="K826" t="str">
            <v/>
          </cell>
          <cell r="L826" t="str">
            <v>Masculino</v>
          </cell>
          <cell r="M826" t="str">
            <v>Parda</v>
          </cell>
          <cell r="N826">
            <v>32522</v>
          </cell>
          <cell r="O826" t="str">
            <v>311232550</v>
          </cell>
          <cell r="P826" t="str">
            <v>SP</v>
          </cell>
          <cell r="Q826" t="str">
            <v>SSP</v>
          </cell>
          <cell r="R826" t="str">
            <v>SANTOS</v>
          </cell>
        </row>
        <row r="827">
          <cell r="A827" t="str">
            <v>ALEXSANDRO DE OLIVEIRA ANGELINO</v>
          </cell>
          <cell r="B827" t="str">
            <v>Solteiro</v>
          </cell>
          <cell r="C827" t="str">
            <v>R Panamá</v>
          </cell>
          <cell r="D827" t="str">
            <v>Guilhermina</v>
          </cell>
          <cell r="E827" t="str">
            <v>PRAIA GRANDE</v>
          </cell>
          <cell r="F827" t="str">
            <v>SP</v>
          </cell>
          <cell r="G827" t="str">
            <v>268</v>
          </cell>
          <cell r="H827" t="str">
            <v>Ap 26</v>
          </cell>
          <cell r="I827" t="str">
            <v>11702-120</v>
          </cell>
          <cell r="J827" t="str">
            <v>33016689</v>
          </cell>
          <cell r="K827" t="str">
            <v/>
          </cell>
          <cell r="L827" t="str">
            <v>Masculino</v>
          </cell>
          <cell r="M827" t="str">
            <v>Parda</v>
          </cell>
          <cell r="N827">
            <v>31307</v>
          </cell>
          <cell r="O827" t="str">
            <v>438917777</v>
          </cell>
          <cell r="P827" t="str">
            <v>SP</v>
          </cell>
          <cell r="Q827" t="str">
            <v>SSP</v>
          </cell>
          <cell r="R827" t="str">
            <v>SANTOS</v>
          </cell>
        </row>
        <row r="828">
          <cell r="A828" t="str">
            <v>NILTON EDUARDO SILVA AGUIAR</v>
          </cell>
          <cell r="B828" t="str">
            <v>Casado</v>
          </cell>
          <cell r="C828" t="str">
            <v>R PROFESSOR TORRES HOMEM</v>
          </cell>
          <cell r="D828" t="str">
            <v>Embare</v>
          </cell>
          <cell r="E828" t="str">
            <v>SANTOS</v>
          </cell>
          <cell r="F828" t="str">
            <v>SP</v>
          </cell>
          <cell r="G828" t="str">
            <v>471</v>
          </cell>
          <cell r="H828" t="str">
            <v>APARTAMENTO 13</v>
          </cell>
          <cell r="I828" t="str">
            <v>11025-021</v>
          </cell>
          <cell r="J828" t="str">
            <v>992036767</v>
          </cell>
          <cell r="K828" t="str">
            <v/>
          </cell>
          <cell r="L828" t="str">
            <v>Masculino</v>
          </cell>
          <cell r="M828" t="str">
            <v>Parda</v>
          </cell>
          <cell r="N828">
            <v>26664</v>
          </cell>
          <cell r="O828" t="str">
            <v>217844492</v>
          </cell>
          <cell r="P828" t="str">
            <v>SP</v>
          </cell>
          <cell r="Q828" t="str">
            <v>SSP</v>
          </cell>
          <cell r="R828" t="str">
            <v>GUARUJA</v>
          </cell>
        </row>
        <row r="829">
          <cell r="A829" t="str">
            <v>EDUARDO DOS SANTOS</v>
          </cell>
          <cell r="B829" t="str">
            <v>Solteiro</v>
          </cell>
          <cell r="C829" t="str">
            <v>AV CEL JOAQUIM MONTENEGRO</v>
          </cell>
          <cell r="D829" t="str">
            <v>Ponta da Praia</v>
          </cell>
          <cell r="E829" t="str">
            <v>SANTOS</v>
          </cell>
          <cell r="F829" t="str">
            <v>SP</v>
          </cell>
          <cell r="G829" t="str">
            <v>14</v>
          </cell>
          <cell r="H829" t="str">
            <v>AP 63</v>
          </cell>
          <cell r="I829" t="str">
            <v>11035-000</v>
          </cell>
          <cell r="J829" t="str">
            <v>997755105</v>
          </cell>
          <cell r="K829" t="str">
            <v/>
          </cell>
          <cell r="L829" t="str">
            <v>Masculino</v>
          </cell>
          <cell r="M829" t="str">
            <v>Parda</v>
          </cell>
          <cell r="N829">
            <v>24152</v>
          </cell>
          <cell r="O829" t="str">
            <v>17751352</v>
          </cell>
          <cell r="P829" t="str">
            <v>SP</v>
          </cell>
          <cell r="Q829" t="str">
            <v>SSP</v>
          </cell>
          <cell r="R829" t="str">
            <v>SANTOS</v>
          </cell>
        </row>
        <row r="830">
          <cell r="A830" t="str">
            <v>GERSONILDO MENESES SANTOS</v>
          </cell>
          <cell r="B830" t="str">
            <v>Casado</v>
          </cell>
          <cell r="C830" t="str">
            <v>AV ALVARO ALVIN</v>
          </cell>
          <cell r="D830" t="str">
            <v>Embaré</v>
          </cell>
          <cell r="E830" t="str">
            <v>SANTOS</v>
          </cell>
          <cell r="F830" t="str">
            <v>SP</v>
          </cell>
          <cell r="G830" t="str">
            <v>122</v>
          </cell>
          <cell r="H830" t="str">
            <v>APTO 32</v>
          </cell>
          <cell r="I830" t="str">
            <v>11040-130</v>
          </cell>
          <cell r="J830" t="str">
            <v>22028926</v>
          </cell>
          <cell r="K830" t="str">
            <v>988083733</v>
          </cell>
          <cell r="L830" t="str">
            <v>Masculino</v>
          </cell>
          <cell r="M830" t="str">
            <v>Parda</v>
          </cell>
          <cell r="N830">
            <v>27811</v>
          </cell>
          <cell r="O830" t="str">
            <v>290953078</v>
          </cell>
          <cell r="P830" t="str">
            <v>SP</v>
          </cell>
          <cell r="Q830" t="str">
            <v>SSP</v>
          </cell>
          <cell r="R830" t="str">
            <v>COARACI</v>
          </cell>
        </row>
        <row r="831">
          <cell r="A831" t="str">
            <v>MARCOS ROBERTO FERNANDES JUNIOR</v>
          </cell>
          <cell r="B831" t="str">
            <v>Solteiro</v>
          </cell>
          <cell r="C831" t="str">
            <v>R Padre Sabóia</v>
          </cell>
          <cell r="D831" t="str">
            <v>Esplanada dos Barrei</v>
          </cell>
          <cell r="E831" t="str">
            <v>SAO VICENTE</v>
          </cell>
          <cell r="F831" t="str">
            <v>SP</v>
          </cell>
          <cell r="G831" t="str">
            <v>488</v>
          </cell>
          <cell r="H831" t="str">
            <v>CS 02</v>
          </cell>
          <cell r="I831" t="str">
            <v>11340-140</v>
          </cell>
          <cell r="J831" t="str">
            <v>34623780</v>
          </cell>
          <cell r="K831" t="str">
            <v/>
          </cell>
          <cell r="L831" t="str">
            <v>Masculino</v>
          </cell>
          <cell r="M831" t="str">
            <v>Parda</v>
          </cell>
          <cell r="N831">
            <v>34736</v>
          </cell>
          <cell r="O831" t="str">
            <v>412048206</v>
          </cell>
          <cell r="P831" t="str">
            <v>SP</v>
          </cell>
          <cell r="Q831" t="str">
            <v>SSP</v>
          </cell>
          <cell r="R831" t="str">
            <v>SANTOS</v>
          </cell>
        </row>
        <row r="832">
          <cell r="A832" t="str">
            <v>RODRIGO DA SILVA</v>
          </cell>
          <cell r="B832" t="str">
            <v>Casado</v>
          </cell>
          <cell r="C832" t="str">
            <v>R Marechal Floriano Peixoto</v>
          </cell>
          <cell r="D832" t="str">
            <v>Sítio Paecara (Vicente de Carvalho)</v>
          </cell>
          <cell r="E832" t="str">
            <v>GUARUJA</v>
          </cell>
          <cell r="F832" t="str">
            <v>SP</v>
          </cell>
          <cell r="G832" t="str">
            <v>431</v>
          </cell>
          <cell r="H832" t="str">
            <v>Casa</v>
          </cell>
          <cell r="I832" t="str">
            <v>11450-340</v>
          </cell>
          <cell r="J832" t="str">
            <v>991255104</v>
          </cell>
          <cell r="K832" t="str">
            <v/>
          </cell>
          <cell r="L832" t="str">
            <v>Masculino</v>
          </cell>
          <cell r="M832" t="str">
            <v>Parda</v>
          </cell>
          <cell r="N832">
            <v>30486</v>
          </cell>
          <cell r="O832" t="str">
            <v>446560376</v>
          </cell>
          <cell r="P832" t="str">
            <v>SP</v>
          </cell>
          <cell r="Q832" t="str">
            <v>SSP</v>
          </cell>
          <cell r="R832" t="str">
            <v>GUARUJA</v>
          </cell>
        </row>
        <row r="833">
          <cell r="A833" t="str">
            <v>JOSE ADALTO SANTOS</v>
          </cell>
          <cell r="B833" t="str">
            <v>Casado</v>
          </cell>
          <cell r="C833" t="str">
            <v>R Nova</v>
          </cell>
          <cell r="D833" t="str">
            <v>Sítio Paecara (Vicente de Carvalho)</v>
          </cell>
          <cell r="E833" t="str">
            <v>GUARUJA</v>
          </cell>
          <cell r="F833" t="str">
            <v>SP</v>
          </cell>
          <cell r="G833" t="str">
            <v>37</v>
          </cell>
          <cell r="H833" t="str">
            <v>CS 37</v>
          </cell>
          <cell r="I833" t="str">
            <v>11463-430</v>
          </cell>
          <cell r="J833" t="str">
            <v>988226389</v>
          </cell>
          <cell r="K833" t="str">
            <v/>
          </cell>
          <cell r="L833" t="str">
            <v>Masculino</v>
          </cell>
          <cell r="M833" t="str">
            <v>Parda</v>
          </cell>
          <cell r="N833">
            <v>24821</v>
          </cell>
          <cell r="O833" t="str">
            <v>20462583X</v>
          </cell>
          <cell r="P833" t="str">
            <v>SP</v>
          </cell>
          <cell r="Q833" t="str">
            <v>SSP</v>
          </cell>
          <cell r="R833" t="str">
            <v>PACATUBA</v>
          </cell>
        </row>
        <row r="834">
          <cell r="A834" t="str">
            <v>EDUARDO FRANCISCO DOS SANTOS</v>
          </cell>
          <cell r="B834" t="str">
            <v>Casado</v>
          </cell>
          <cell r="C834" t="str">
            <v>R Santo Orlando</v>
          </cell>
          <cell r="D834" t="str">
            <v>Morro Sao Bento</v>
          </cell>
          <cell r="E834" t="str">
            <v>SANTOS</v>
          </cell>
          <cell r="F834" t="str">
            <v>SP</v>
          </cell>
          <cell r="G834" t="str">
            <v>2219</v>
          </cell>
          <cell r="H834" t="str">
            <v>C 1</v>
          </cell>
          <cell r="I834" t="str">
            <v>11082-150</v>
          </cell>
          <cell r="J834" t="str">
            <v>32239928</v>
          </cell>
          <cell r="K834" t="str">
            <v/>
          </cell>
          <cell r="L834" t="str">
            <v>Masculino</v>
          </cell>
          <cell r="M834" t="str">
            <v>Parda</v>
          </cell>
          <cell r="N834">
            <v>26338</v>
          </cell>
          <cell r="O834" t="str">
            <v>21934641</v>
          </cell>
          <cell r="P834" t="str">
            <v>SP</v>
          </cell>
          <cell r="Q834" t="str">
            <v>SSP</v>
          </cell>
          <cell r="R834" t="str">
            <v>SANTOS</v>
          </cell>
        </row>
        <row r="835">
          <cell r="A835" t="str">
            <v>CARLOS EDUARDO MAIA</v>
          </cell>
          <cell r="B835" t="str">
            <v>Divorciado</v>
          </cell>
          <cell r="C835" t="str">
            <v>R Walt Disney</v>
          </cell>
          <cell r="D835" t="str">
            <v>Vila Nossa Senhora d</v>
          </cell>
          <cell r="E835" t="str">
            <v>SAO VICENTE</v>
          </cell>
          <cell r="F835" t="str">
            <v>SP</v>
          </cell>
          <cell r="G835" t="str">
            <v>939</v>
          </cell>
          <cell r="H835" t="str">
            <v>FT</v>
          </cell>
          <cell r="I835" t="str">
            <v>11355-010</v>
          </cell>
          <cell r="J835" t="str">
            <v>991424262</v>
          </cell>
          <cell r="K835" t="str">
            <v>988652373</v>
          </cell>
          <cell r="L835" t="str">
            <v>Masculino</v>
          </cell>
          <cell r="M835" t="str">
            <v>Parda</v>
          </cell>
          <cell r="N835">
            <v>33178</v>
          </cell>
          <cell r="O835" t="str">
            <v>287944542</v>
          </cell>
          <cell r="P835" t="str">
            <v>SP</v>
          </cell>
          <cell r="Q835" t="str">
            <v>SSP</v>
          </cell>
          <cell r="R835" t="str">
            <v>SAO VICENTE</v>
          </cell>
        </row>
        <row r="836">
          <cell r="A836" t="str">
            <v>ROGERIO LOURENCO SOUSA</v>
          </cell>
          <cell r="B836" t="str">
            <v>Casado</v>
          </cell>
          <cell r="C836" t="str">
            <v>AV APROVADA</v>
          </cell>
          <cell r="D836" t="str">
            <v>VISTA LINDA</v>
          </cell>
          <cell r="E836" t="str">
            <v>BERTIOGA</v>
          </cell>
          <cell r="F836" t="str">
            <v>SP</v>
          </cell>
          <cell r="G836" t="str">
            <v>597</v>
          </cell>
          <cell r="H836" t="str">
            <v>95 - 102 - BLOCO A</v>
          </cell>
          <cell r="I836" t="str">
            <v>11250-000</v>
          </cell>
          <cell r="J836" t="str">
            <v>988557270</v>
          </cell>
          <cell r="K836" t="str">
            <v>988557270</v>
          </cell>
          <cell r="L836" t="str">
            <v>Masculino</v>
          </cell>
          <cell r="M836" t="str">
            <v>Parda</v>
          </cell>
          <cell r="N836">
            <v>28594</v>
          </cell>
          <cell r="O836" t="str">
            <v>324681069</v>
          </cell>
          <cell r="P836" t="str">
            <v>SP</v>
          </cell>
          <cell r="Q836" t="str">
            <v>SSP</v>
          </cell>
          <cell r="R836" t="str">
            <v>GUARUJA</v>
          </cell>
        </row>
        <row r="837">
          <cell r="A837" t="str">
            <v>ALESSANDRO DOS SANTOS CURCINO</v>
          </cell>
          <cell r="B837" t="str">
            <v>Casado</v>
          </cell>
          <cell r="C837" t="str">
            <v>R Gerson Ferreira</v>
          </cell>
          <cell r="D837" t="str">
            <v>Sítio Paecara (Vicente de Carvalho)</v>
          </cell>
          <cell r="E837" t="str">
            <v>GUARUJA</v>
          </cell>
          <cell r="F837" t="str">
            <v>SP</v>
          </cell>
          <cell r="G837" t="str">
            <v>163</v>
          </cell>
          <cell r="H837" t="str">
            <v>CA A</v>
          </cell>
          <cell r="I837" t="str">
            <v>11461-650</v>
          </cell>
          <cell r="J837" t="str">
            <v>997175777</v>
          </cell>
          <cell r="K837" t="str">
            <v>33558662</v>
          </cell>
          <cell r="L837" t="str">
            <v>Masculino</v>
          </cell>
          <cell r="M837" t="str">
            <v>Parda</v>
          </cell>
          <cell r="N837">
            <v>29414</v>
          </cell>
          <cell r="O837" t="str">
            <v>293935828</v>
          </cell>
          <cell r="P837" t="str">
            <v>SP</v>
          </cell>
          <cell r="Q837" t="str">
            <v>SSP</v>
          </cell>
          <cell r="R837" t="str">
            <v>GUARUJA</v>
          </cell>
        </row>
        <row r="838">
          <cell r="A838" t="str">
            <v>FABIO SANTOS FERREIRA DA SILVA</v>
          </cell>
          <cell r="B838" t="str">
            <v>Casado</v>
          </cell>
          <cell r="C838" t="str">
            <v>TV Tamirys Piedade Santana</v>
          </cell>
          <cell r="D838" t="str">
            <v>Morrinhos 2</v>
          </cell>
          <cell r="E838" t="str">
            <v>GUARUJA</v>
          </cell>
          <cell r="F838" t="str">
            <v>SP</v>
          </cell>
          <cell r="G838" t="str">
            <v>32</v>
          </cell>
          <cell r="H838" t="str">
            <v>Antiga travessa 240</v>
          </cell>
          <cell r="I838" t="str">
            <v>11495-122</v>
          </cell>
          <cell r="J838" t="str">
            <v>988159732</v>
          </cell>
          <cell r="K838" t="str">
            <v/>
          </cell>
          <cell r="L838" t="str">
            <v>Masculino</v>
          </cell>
          <cell r="M838" t="str">
            <v>Parda</v>
          </cell>
          <cell r="N838">
            <v>29990</v>
          </cell>
          <cell r="O838" t="str">
            <v>283264275</v>
          </cell>
          <cell r="P838" t="str">
            <v>SP</v>
          </cell>
          <cell r="Q838" t="str">
            <v>SSP</v>
          </cell>
          <cell r="R838" t="str">
            <v>GUANAMBI</v>
          </cell>
        </row>
        <row r="839">
          <cell r="A839" t="str">
            <v>PAULO MARCONDES SANTOS</v>
          </cell>
          <cell r="B839" t="str">
            <v>Viúvo</v>
          </cell>
          <cell r="C839" t="str">
            <v>R Santana do Ipanema</v>
          </cell>
          <cell r="D839" t="str">
            <v>Ocian</v>
          </cell>
          <cell r="E839" t="str">
            <v>PRAIA GRANDE</v>
          </cell>
          <cell r="F839" t="str">
            <v>SP</v>
          </cell>
          <cell r="G839" t="str">
            <v>733</v>
          </cell>
          <cell r="H839" t="str">
            <v/>
          </cell>
          <cell r="I839" t="str">
            <v>11704-590</v>
          </cell>
          <cell r="J839" t="str">
            <v>991816534</v>
          </cell>
          <cell r="K839" t="str">
            <v/>
          </cell>
          <cell r="L839" t="str">
            <v>Masculino</v>
          </cell>
          <cell r="M839" t="str">
            <v>Parda</v>
          </cell>
          <cell r="N839">
            <v>25548</v>
          </cell>
          <cell r="O839" t="str">
            <v>223926619</v>
          </cell>
          <cell r="P839" t="str">
            <v>SP</v>
          </cell>
          <cell r="Q839" t="str">
            <v>SSP</v>
          </cell>
          <cell r="R839" t="str">
            <v>SANTOS</v>
          </cell>
        </row>
        <row r="840">
          <cell r="A840" t="str">
            <v>SERGIO PAULO ANDRADE DOS SANTOS</v>
          </cell>
          <cell r="B840" t="str">
            <v>Casado</v>
          </cell>
          <cell r="C840" t="str">
            <v>O da Divisa</v>
          </cell>
          <cell r="D840" t="str">
            <v>Rádio Clube</v>
          </cell>
          <cell r="E840" t="str">
            <v>SANTOS</v>
          </cell>
          <cell r="F840" t="str">
            <v>SP</v>
          </cell>
          <cell r="G840" t="str">
            <v>54</v>
          </cell>
          <cell r="H840" t="str">
            <v>CA 3</v>
          </cell>
          <cell r="I840" t="str">
            <v>11088-650</v>
          </cell>
          <cell r="J840" t="str">
            <v>32199479</v>
          </cell>
          <cell r="K840" t="str">
            <v/>
          </cell>
          <cell r="L840" t="str">
            <v>Masculino</v>
          </cell>
          <cell r="M840" t="str">
            <v>Parda</v>
          </cell>
          <cell r="N840">
            <v>23362</v>
          </cell>
          <cell r="O840" t="str">
            <v>166963744</v>
          </cell>
          <cell r="P840" t="str">
            <v>SP</v>
          </cell>
          <cell r="Q840" t="str">
            <v>SSP</v>
          </cell>
          <cell r="R840" t="str">
            <v>SANTOS</v>
          </cell>
        </row>
        <row r="841">
          <cell r="A841" t="str">
            <v>FRANCIELI GONCALVES FERREIRA</v>
          </cell>
          <cell r="B841" t="str">
            <v>Solteiro</v>
          </cell>
          <cell r="C841" t="str">
            <v>R Frei Gaspar</v>
          </cell>
          <cell r="D841" t="str">
            <v>Parque São Vicente</v>
          </cell>
          <cell r="E841" t="str">
            <v>SAO VICENTE</v>
          </cell>
          <cell r="F841" t="str">
            <v>SP</v>
          </cell>
          <cell r="G841" t="str">
            <v>1638</v>
          </cell>
          <cell r="H841" t="str">
            <v>apartamento 13</v>
          </cell>
          <cell r="I841" t="str">
            <v>11340-000</v>
          </cell>
          <cell r="J841" t="str">
            <v/>
          </cell>
          <cell r="K841" t="str">
            <v/>
          </cell>
          <cell r="L841" t="str">
            <v>Feminino</v>
          </cell>
          <cell r="M841" t="str">
            <v>Parda</v>
          </cell>
          <cell r="N841">
            <v>33673</v>
          </cell>
          <cell r="O841" t="str">
            <v>486188553</v>
          </cell>
          <cell r="P841" t="str">
            <v>SP</v>
          </cell>
          <cell r="Q841" t="str">
            <v>SSP</v>
          </cell>
          <cell r="R841" t="str">
            <v>CUBATAO</v>
          </cell>
        </row>
        <row r="842">
          <cell r="A842" t="str">
            <v>ANDRE RICARDO DE LIMA</v>
          </cell>
          <cell r="B842" t="str">
            <v>Casado</v>
          </cell>
          <cell r="C842" t="str">
            <v>R Dom Pedro II</v>
          </cell>
          <cell r="D842" t="str">
            <v>Vila Nova</v>
          </cell>
          <cell r="E842" t="str">
            <v>CUBATAO</v>
          </cell>
          <cell r="F842" t="str">
            <v>SP</v>
          </cell>
          <cell r="G842" t="str">
            <v>974</v>
          </cell>
          <cell r="H842" t="str">
            <v>AP 02</v>
          </cell>
          <cell r="I842" t="str">
            <v>11520-040</v>
          </cell>
          <cell r="J842" t="str">
            <v>33613372</v>
          </cell>
          <cell r="K842" t="str">
            <v/>
          </cell>
          <cell r="L842" t="str">
            <v>Masculino</v>
          </cell>
          <cell r="M842" t="str">
            <v>Parda</v>
          </cell>
          <cell r="N842">
            <v>29379</v>
          </cell>
          <cell r="O842" t="str">
            <v>32378616</v>
          </cell>
          <cell r="P842" t="str">
            <v>SP</v>
          </cell>
          <cell r="Q842" t="str">
            <v>SSP</v>
          </cell>
          <cell r="R842" t="str">
            <v>CUBATAO</v>
          </cell>
        </row>
        <row r="843">
          <cell r="A843" t="str">
            <v>NILSON PINHEIRO JUNIOR</v>
          </cell>
          <cell r="B843" t="str">
            <v>Casado</v>
          </cell>
          <cell r="C843" t="str">
            <v>R Graúna</v>
          </cell>
          <cell r="D843" t="str">
            <v>Jardim dos Pássaros</v>
          </cell>
          <cell r="E843" t="str">
            <v>GUARUJA</v>
          </cell>
          <cell r="F843" t="str">
            <v>SP</v>
          </cell>
          <cell r="G843" t="str">
            <v>50</v>
          </cell>
          <cell r="H843" t="str">
            <v>AP 94 BL A</v>
          </cell>
          <cell r="I843" t="str">
            <v>11432-100</v>
          </cell>
          <cell r="J843" t="str">
            <v>988170591</v>
          </cell>
          <cell r="K843" t="str">
            <v/>
          </cell>
          <cell r="L843" t="str">
            <v>Masculino</v>
          </cell>
          <cell r="M843" t="str">
            <v>Parda</v>
          </cell>
          <cell r="N843">
            <v>33355</v>
          </cell>
          <cell r="O843" t="str">
            <v>485838357</v>
          </cell>
          <cell r="P843" t="str">
            <v>SP</v>
          </cell>
          <cell r="Q843" t="str">
            <v>SSP</v>
          </cell>
          <cell r="R843" t="str">
            <v>GUARUJA</v>
          </cell>
        </row>
        <row r="844">
          <cell r="A844" t="str">
            <v>EDER DOS SANTOS DA SILVA MELO</v>
          </cell>
          <cell r="B844" t="str">
            <v>Casado</v>
          </cell>
          <cell r="C844" t="str">
            <v>R Antônio da Silva Melo</v>
          </cell>
          <cell r="D844" t="str">
            <v>Santa Cruz dos Naveg</v>
          </cell>
          <cell r="E844" t="str">
            <v>GUARUJA</v>
          </cell>
          <cell r="F844" t="str">
            <v>SP</v>
          </cell>
          <cell r="G844" t="str">
            <v>192</v>
          </cell>
          <cell r="H844" t="str">
            <v>CS 1</v>
          </cell>
          <cell r="I844" t="str">
            <v>11425-180</v>
          </cell>
          <cell r="J844" t="str">
            <v>33541366</v>
          </cell>
          <cell r="K844" t="str">
            <v/>
          </cell>
          <cell r="L844" t="str">
            <v>Masculino</v>
          </cell>
          <cell r="M844" t="str">
            <v>Parda</v>
          </cell>
          <cell r="N844">
            <v>25261</v>
          </cell>
          <cell r="O844" t="str">
            <v>18810965X</v>
          </cell>
          <cell r="P844" t="str">
            <v>SP</v>
          </cell>
          <cell r="Q844" t="str">
            <v>SSP</v>
          </cell>
          <cell r="R844" t="str">
            <v>GUARUJA</v>
          </cell>
        </row>
        <row r="845">
          <cell r="A845" t="str">
            <v>LUCIANO SILVA DOS SANTOS</v>
          </cell>
          <cell r="B845" t="str">
            <v>Casado</v>
          </cell>
          <cell r="C845" t="str">
            <v>TV Duzentos e Sessenta e Cinco</v>
          </cell>
          <cell r="D845" t="str">
            <v>Morrinhos</v>
          </cell>
          <cell r="E845" t="str">
            <v>GUARUJA</v>
          </cell>
          <cell r="F845" t="str">
            <v>SP</v>
          </cell>
          <cell r="G845" t="str">
            <v>23</v>
          </cell>
          <cell r="H845" t="str">
            <v>QD 73 LOTE 12 SUP</v>
          </cell>
          <cell r="I845" t="str">
            <v>11495-137</v>
          </cell>
          <cell r="J845" t="str">
            <v>991596864</v>
          </cell>
          <cell r="K845" t="str">
            <v/>
          </cell>
          <cell r="L845" t="str">
            <v>Masculino</v>
          </cell>
          <cell r="M845" t="str">
            <v>Parda</v>
          </cell>
          <cell r="N845">
            <v>29773</v>
          </cell>
          <cell r="O845" t="str">
            <v>326675596</v>
          </cell>
          <cell r="P845" t="str">
            <v>SP</v>
          </cell>
          <cell r="Q845" t="str">
            <v>SSP</v>
          </cell>
          <cell r="R845" t="str">
            <v>GUARUJA</v>
          </cell>
        </row>
        <row r="846">
          <cell r="A846" t="str">
            <v>ANTONIO HENRIQUE DA SILVA SANTOS</v>
          </cell>
          <cell r="B846" t="str">
            <v>Casado</v>
          </cell>
          <cell r="C846" t="str">
            <v>R Chile</v>
          </cell>
          <cell r="D846" t="str">
            <v>Jardim Santa Genovev</v>
          </cell>
          <cell r="E846" t="str">
            <v>GUARUJA</v>
          </cell>
          <cell r="F846" t="str">
            <v>SP</v>
          </cell>
          <cell r="G846" t="str">
            <v>806</v>
          </cell>
          <cell r="H846" t="str">
            <v>CS 15</v>
          </cell>
          <cell r="I846" t="str">
            <v>11441-070</v>
          </cell>
          <cell r="J846" t="str">
            <v>33595348</v>
          </cell>
          <cell r="K846" t="str">
            <v/>
          </cell>
          <cell r="L846" t="str">
            <v>Masculino</v>
          </cell>
          <cell r="M846" t="str">
            <v>Parda</v>
          </cell>
          <cell r="N846">
            <v>31566</v>
          </cell>
          <cell r="O846" t="str">
            <v>336725516</v>
          </cell>
          <cell r="P846" t="str">
            <v>SP</v>
          </cell>
          <cell r="Q846" t="str">
            <v>SSP</v>
          </cell>
          <cell r="R846" t="str">
            <v>GUARUJA</v>
          </cell>
        </row>
        <row r="847">
          <cell r="A847" t="str">
            <v>VALTERVAN DE JESUS GERALDO</v>
          </cell>
          <cell r="B847" t="str">
            <v>Solteiro</v>
          </cell>
          <cell r="C847" t="str">
            <v>R João Carlos da Silva</v>
          </cell>
          <cell r="D847" t="str">
            <v>São Manoel</v>
          </cell>
          <cell r="E847" t="str">
            <v>SANTOS</v>
          </cell>
          <cell r="F847" t="str">
            <v>SP</v>
          </cell>
          <cell r="G847" t="str">
            <v>4-B</v>
          </cell>
          <cell r="H847" t="str">
            <v>Casa</v>
          </cell>
          <cell r="I847" t="str">
            <v>11095-130</v>
          </cell>
          <cell r="J847" t="str">
            <v>988652275</v>
          </cell>
          <cell r="K847" t="str">
            <v/>
          </cell>
          <cell r="L847" t="str">
            <v>Masculino</v>
          </cell>
          <cell r="M847" t="str">
            <v>Parda</v>
          </cell>
          <cell r="N847">
            <v>33562</v>
          </cell>
          <cell r="O847" t="str">
            <v>485555803</v>
          </cell>
          <cell r="P847" t="str">
            <v>SP</v>
          </cell>
          <cell r="Q847" t="str">
            <v>SSP</v>
          </cell>
          <cell r="R847" t="str">
            <v>CARIRA</v>
          </cell>
        </row>
        <row r="848">
          <cell r="A848" t="str">
            <v>FABIO MARQUES DA SILVA</v>
          </cell>
          <cell r="B848" t="str">
            <v>Casado</v>
          </cell>
          <cell r="C848" t="str">
            <v>R Equador</v>
          </cell>
          <cell r="D848" t="str">
            <v>Vila Nossa Senhora d</v>
          </cell>
          <cell r="E848" t="str">
            <v>SAO VICENTE</v>
          </cell>
          <cell r="F848" t="str">
            <v>SP</v>
          </cell>
          <cell r="G848" t="str">
            <v>370</v>
          </cell>
          <cell r="H848" t="str">
            <v>CA 3</v>
          </cell>
          <cell r="I848" t="str">
            <v>11355-350</v>
          </cell>
          <cell r="J848" t="str">
            <v>34614441</v>
          </cell>
          <cell r="K848" t="str">
            <v/>
          </cell>
          <cell r="L848" t="str">
            <v>Masculino</v>
          </cell>
          <cell r="M848" t="str">
            <v>Parda</v>
          </cell>
          <cell r="N848">
            <v>30894</v>
          </cell>
          <cell r="O848" t="str">
            <v>414471386</v>
          </cell>
          <cell r="P848" t="str">
            <v>SP</v>
          </cell>
          <cell r="Q848" t="str">
            <v>SSP</v>
          </cell>
          <cell r="R848" t="str">
            <v>SAO VICENTE</v>
          </cell>
        </row>
        <row r="849">
          <cell r="A849" t="str">
            <v>ADELINO GONCALVES DE ARAUJO NETO</v>
          </cell>
          <cell r="B849" t="str">
            <v>Casado</v>
          </cell>
          <cell r="C849" t="str">
            <v>R ESTADOS UNIDOS</v>
          </cell>
          <cell r="D849" t="str">
            <v>Jardim Casqueiro</v>
          </cell>
          <cell r="E849" t="str">
            <v>CUBATAO</v>
          </cell>
          <cell r="F849" t="str">
            <v>SP</v>
          </cell>
          <cell r="G849" t="str">
            <v>501</v>
          </cell>
          <cell r="H849" t="str">
            <v/>
          </cell>
          <cell r="I849" t="str">
            <v>11533-040</v>
          </cell>
          <cell r="J849" t="str">
            <v>33726569</v>
          </cell>
          <cell r="K849" t="str">
            <v/>
          </cell>
          <cell r="L849" t="str">
            <v>Masculino</v>
          </cell>
          <cell r="M849" t="str">
            <v>Parda</v>
          </cell>
          <cell r="N849">
            <v>29980</v>
          </cell>
          <cell r="O849" t="str">
            <v>333729158</v>
          </cell>
          <cell r="P849" t="str">
            <v>SP</v>
          </cell>
          <cell r="Q849" t="str">
            <v>SSP</v>
          </cell>
          <cell r="R849" t="str">
            <v>CUBATAO</v>
          </cell>
        </row>
        <row r="850">
          <cell r="A850" t="str">
            <v>THARYK BASILIO DOS SANTOS REIS</v>
          </cell>
          <cell r="B850" t="str">
            <v>Casado</v>
          </cell>
          <cell r="C850" t="str">
            <v>R Jacob Emerick</v>
          </cell>
          <cell r="D850" t="str">
            <v>Centro</v>
          </cell>
          <cell r="E850" t="str">
            <v>SAO VICENTE</v>
          </cell>
          <cell r="F850" t="str">
            <v>SP</v>
          </cell>
          <cell r="G850" t="str">
            <v>436</v>
          </cell>
          <cell r="H850" t="str">
            <v>AP 204</v>
          </cell>
          <cell r="I850" t="str">
            <v>11310-070</v>
          </cell>
          <cell r="J850" t="str">
            <v>991185617</v>
          </cell>
          <cell r="K850" t="str">
            <v/>
          </cell>
          <cell r="L850" t="str">
            <v>Masculino</v>
          </cell>
          <cell r="M850" t="str">
            <v>Parda</v>
          </cell>
          <cell r="N850">
            <v>31509</v>
          </cell>
          <cell r="O850" t="str">
            <v>444240895</v>
          </cell>
          <cell r="P850" t="str">
            <v>SP</v>
          </cell>
          <cell r="Q850" t="str">
            <v>SSP</v>
          </cell>
          <cell r="R850" t="str">
            <v>SANTOS</v>
          </cell>
        </row>
        <row r="851">
          <cell r="A851" t="str">
            <v>LEANDRO DA SILVA DOS SANTOS</v>
          </cell>
          <cell r="B851" t="str">
            <v>Casado</v>
          </cell>
          <cell r="C851" t="str">
            <v>R milton pinto</v>
          </cell>
          <cell r="D851" t="str">
            <v>Parque das Bandeiras</v>
          </cell>
          <cell r="E851" t="str">
            <v>SAO VICENTE</v>
          </cell>
          <cell r="F851" t="str">
            <v>SP</v>
          </cell>
          <cell r="G851" t="str">
            <v>480</v>
          </cell>
          <cell r="H851" t="str">
            <v>casa</v>
          </cell>
          <cell r="I851" t="str">
            <v>11346-140</v>
          </cell>
          <cell r="J851" t="str">
            <v>991645840</v>
          </cell>
          <cell r="K851" t="str">
            <v>991645840</v>
          </cell>
          <cell r="L851" t="str">
            <v>Masculino</v>
          </cell>
          <cell r="M851" t="str">
            <v>Parda</v>
          </cell>
          <cell r="N851">
            <v>30414</v>
          </cell>
          <cell r="O851" t="str">
            <v>35146654</v>
          </cell>
          <cell r="P851" t="str">
            <v>SP</v>
          </cell>
          <cell r="Q851" t="str">
            <v>SSP</v>
          </cell>
          <cell r="R851" t="str">
            <v>SANTOS</v>
          </cell>
        </row>
        <row r="852">
          <cell r="A852" t="str">
            <v>ALESSANDRO DE OLIVEIRA ROSTAL</v>
          </cell>
          <cell r="B852" t="str">
            <v>Solteiro</v>
          </cell>
          <cell r="C852" t="str">
            <v>R Orlando Falcão</v>
          </cell>
          <cell r="D852" t="str">
            <v>Jardim Praiano</v>
          </cell>
          <cell r="E852" t="str">
            <v>GUARUJA</v>
          </cell>
          <cell r="F852" t="str">
            <v>SP</v>
          </cell>
          <cell r="G852" t="str">
            <v>187</v>
          </cell>
          <cell r="H852" t="str">
            <v>CS 20</v>
          </cell>
          <cell r="I852" t="str">
            <v>11440-310</v>
          </cell>
          <cell r="J852" t="str">
            <v/>
          </cell>
          <cell r="K852" t="str">
            <v/>
          </cell>
          <cell r="L852" t="str">
            <v>Masculino</v>
          </cell>
          <cell r="M852" t="str">
            <v>Parda</v>
          </cell>
          <cell r="N852">
            <v>29122</v>
          </cell>
          <cell r="O852" t="str">
            <v>278445780</v>
          </cell>
          <cell r="P852" t="str">
            <v>SP</v>
          </cell>
          <cell r="Q852" t="str">
            <v>SSP</v>
          </cell>
          <cell r="R852" t="str">
            <v>GUARUJA</v>
          </cell>
        </row>
        <row r="853">
          <cell r="A853" t="str">
            <v>IVAN MORAES DOS SANTOS</v>
          </cell>
          <cell r="B853" t="str">
            <v>Casado</v>
          </cell>
          <cell r="C853" t="str">
            <v>AV Brigadeiro Faria Lima</v>
          </cell>
          <cell r="D853" t="str">
            <v>Rádio Clube</v>
          </cell>
          <cell r="E853" t="str">
            <v>SANTOS</v>
          </cell>
          <cell r="F853" t="str">
            <v>SP</v>
          </cell>
          <cell r="G853" t="str">
            <v>1216</v>
          </cell>
          <cell r="H853" t="str">
            <v/>
          </cell>
          <cell r="I853" t="str">
            <v>11088-300</v>
          </cell>
          <cell r="J853" t="str">
            <v>32991888</v>
          </cell>
          <cell r="K853" t="str">
            <v>991062740</v>
          </cell>
          <cell r="L853" t="str">
            <v>Masculino</v>
          </cell>
          <cell r="M853" t="str">
            <v>Parda</v>
          </cell>
          <cell r="N853">
            <v>31459</v>
          </cell>
          <cell r="O853" t="str">
            <v>50104007</v>
          </cell>
          <cell r="P853" t="str">
            <v>SP</v>
          </cell>
          <cell r="Q853" t="str">
            <v>SSP</v>
          </cell>
          <cell r="R853" t="str">
            <v>SANTOS</v>
          </cell>
        </row>
        <row r="854">
          <cell r="A854" t="str">
            <v>EDER ALEXANDRE MOREIRA DO AMARAL</v>
          </cell>
          <cell r="B854" t="str">
            <v>Casado</v>
          </cell>
          <cell r="C854" t="str">
            <v>AV Antenor Pimentel</v>
          </cell>
          <cell r="D854" t="str">
            <v>Morrinhos</v>
          </cell>
          <cell r="E854" t="str">
            <v>GUARUJA</v>
          </cell>
          <cell r="F854" t="str">
            <v>SP</v>
          </cell>
          <cell r="G854" t="str">
            <v>730</v>
          </cell>
          <cell r="H854" t="str">
            <v/>
          </cell>
          <cell r="I854" t="str">
            <v>11495-000</v>
          </cell>
          <cell r="J854" t="str">
            <v>988283485</v>
          </cell>
          <cell r="K854" t="str">
            <v/>
          </cell>
          <cell r="L854" t="str">
            <v>Masculino</v>
          </cell>
          <cell r="M854" t="str">
            <v>Parda</v>
          </cell>
          <cell r="N854">
            <v>29627</v>
          </cell>
          <cell r="O854" t="str">
            <v>43890185X</v>
          </cell>
          <cell r="P854" t="str">
            <v>SP</v>
          </cell>
          <cell r="Q854" t="str">
            <v>SSP</v>
          </cell>
          <cell r="R854" t="str">
            <v>GUARUJA</v>
          </cell>
        </row>
        <row r="855">
          <cell r="A855" t="str">
            <v>DAVISON GONCALVES DE SANTANA</v>
          </cell>
          <cell r="B855" t="str">
            <v>Solteiro</v>
          </cell>
          <cell r="C855" t="str">
            <v>AV Marechal Humberto de Alencar Castelo Bra</v>
          </cell>
          <cell r="D855" t="str">
            <v>Cidade Nautica</v>
          </cell>
          <cell r="E855" t="str">
            <v>SAO VICENTE</v>
          </cell>
          <cell r="F855" t="str">
            <v>SP</v>
          </cell>
          <cell r="G855" t="str">
            <v>1177</v>
          </cell>
          <cell r="H855" t="str">
            <v>Casa 1</v>
          </cell>
          <cell r="I855" t="str">
            <v>11355-000</v>
          </cell>
          <cell r="J855" t="str">
            <v>996121250</v>
          </cell>
          <cell r="K855" t="str">
            <v/>
          </cell>
          <cell r="L855" t="str">
            <v>Masculino</v>
          </cell>
          <cell r="M855" t="str">
            <v>Parda</v>
          </cell>
          <cell r="N855">
            <v>31938</v>
          </cell>
          <cell r="O855" t="str">
            <v>4079574607</v>
          </cell>
          <cell r="P855" t="str">
            <v>SP</v>
          </cell>
          <cell r="Q855" t="str">
            <v>SSP</v>
          </cell>
          <cell r="R855" t="str">
            <v>SAO VICENTE</v>
          </cell>
        </row>
        <row r="856">
          <cell r="A856" t="str">
            <v>VANDERLEI XAVIER DA SILVA MAGALHAES</v>
          </cell>
          <cell r="B856" t="str">
            <v>União Estável</v>
          </cell>
          <cell r="C856" t="str">
            <v>R Professor Nelson Espíndola Lobato</v>
          </cell>
          <cell r="D856" t="str">
            <v>Rádio Clube</v>
          </cell>
          <cell r="E856" t="str">
            <v>SANTOS</v>
          </cell>
          <cell r="F856" t="str">
            <v>SP</v>
          </cell>
          <cell r="G856" t="str">
            <v>270</v>
          </cell>
          <cell r="H856" t="str">
            <v/>
          </cell>
          <cell r="I856" t="str">
            <v>11088-330</v>
          </cell>
          <cell r="J856" t="str">
            <v>991518340</v>
          </cell>
          <cell r="K856" t="str">
            <v/>
          </cell>
          <cell r="L856" t="str">
            <v>Masculino</v>
          </cell>
          <cell r="M856" t="str">
            <v>Parda</v>
          </cell>
          <cell r="N856">
            <v>32708</v>
          </cell>
          <cell r="O856" t="str">
            <v>548560298</v>
          </cell>
          <cell r="P856" t="str">
            <v>SP</v>
          </cell>
          <cell r="Q856" t="str">
            <v>SSP</v>
          </cell>
          <cell r="R856" t="str">
            <v>SANTOS</v>
          </cell>
        </row>
        <row r="857">
          <cell r="A857" t="str">
            <v>JOSE RICARDO FROES JUNIOR</v>
          </cell>
          <cell r="B857" t="str">
            <v>Solteiro</v>
          </cell>
          <cell r="C857" t="str">
            <v>R Professor Celestino Bourroul</v>
          </cell>
          <cell r="D857" t="str">
            <v>Castelo</v>
          </cell>
          <cell r="E857" t="str">
            <v>SANTOS</v>
          </cell>
          <cell r="F857" t="str">
            <v>SP</v>
          </cell>
          <cell r="G857" t="str">
            <v>167</v>
          </cell>
          <cell r="H857" t="str">
            <v/>
          </cell>
          <cell r="I857" t="str">
            <v>11088-110</v>
          </cell>
          <cell r="J857" t="str">
            <v/>
          </cell>
          <cell r="K857" t="str">
            <v/>
          </cell>
          <cell r="L857" t="str">
            <v>Masculino</v>
          </cell>
          <cell r="M857" t="str">
            <v>Parda</v>
          </cell>
          <cell r="N857">
            <v>32626</v>
          </cell>
          <cell r="O857" t="str">
            <v>44842826X</v>
          </cell>
          <cell r="P857" t="str">
            <v>SP</v>
          </cell>
          <cell r="Q857" t="str">
            <v>SSP</v>
          </cell>
          <cell r="R857" t="str">
            <v>SANTOS</v>
          </cell>
        </row>
        <row r="858">
          <cell r="A858" t="str">
            <v>CLAUDIO LUNA SCALISE</v>
          </cell>
          <cell r="B858" t="str">
            <v>Casado</v>
          </cell>
          <cell r="C858" t="str">
            <v>R Tupys</v>
          </cell>
          <cell r="D858" t="str">
            <v>José Menino</v>
          </cell>
          <cell r="E858" t="str">
            <v>SANTOS</v>
          </cell>
          <cell r="F858" t="str">
            <v>SP</v>
          </cell>
          <cell r="G858" t="str">
            <v>2</v>
          </cell>
          <cell r="H858" t="str">
            <v>APTO 34</v>
          </cell>
          <cell r="I858" t="str">
            <v>11065-620</v>
          </cell>
          <cell r="J858" t="str">
            <v/>
          </cell>
          <cell r="K858" t="str">
            <v/>
          </cell>
          <cell r="L858" t="str">
            <v>Masculino</v>
          </cell>
          <cell r="M858" t="str">
            <v>Parda</v>
          </cell>
          <cell r="N858">
            <v>23469</v>
          </cell>
          <cell r="O858" t="str">
            <v>169204819</v>
          </cell>
          <cell r="P858" t="str">
            <v>SP</v>
          </cell>
          <cell r="Q858" t="str">
            <v>SSP</v>
          </cell>
          <cell r="R858" t="str">
            <v>REGINOPOLIS</v>
          </cell>
        </row>
        <row r="859">
          <cell r="A859" t="str">
            <v>RENATO CASSIANO LOPES</v>
          </cell>
          <cell r="B859" t="str">
            <v>Casado</v>
          </cell>
          <cell r="C859" t="str">
            <v>R Doutor Fausto Felicio Brusarosco</v>
          </cell>
          <cell r="D859" t="str">
            <v>Castelo</v>
          </cell>
          <cell r="E859" t="str">
            <v>SANTOS</v>
          </cell>
          <cell r="F859" t="str">
            <v>SP</v>
          </cell>
          <cell r="G859" t="str">
            <v>202</v>
          </cell>
          <cell r="H859" t="str">
            <v>BLOCO 4 - APARTAMENTO 23</v>
          </cell>
          <cell r="I859" t="str">
            <v>11087-400</v>
          </cell>
          <cell r="J859" t="str">
            <v>33277845</v>
          </cell>
          <cell r="K859" t="str">
            <v/>
          </cell>
          <cell r="L859" t="str">
            <v>Masculino</v>
          </cell>
          <cell r="M859" t="str">
            <v>Parda</v>
          </cell>
          <cell r="N859">
            <v>27017</v>
          </cell>
          <cell r="O859" t="str">
            <v>256861493</v>
          </cell>
          <cell r="P859" t="str">
            <v>SP</v>
          </cell>
          <cell r="Q859" t="str">
            <v>SSP</v>
          </cell>
          <cell r="R859" t="str">
            <v>RIO DE JANEIRO</v>
          </cell>
        </row>
        <row r="860">
          <cell r="A860" t="str">
            <v>AUREO DE LARA FILHO</v>
          </cell>
          <cell r="B860" t="str">
            <v>Casado</v>
          </cell>
          <cell r="C860" t="str">
            <v>R Jaú</v>
          </cell>
          <cell r="D860" t="str">
            <v>Canto do Forte</v>
          </cell>
          <cell r="E860" t="str">
            <v>PRAIA GRANDE</v>
          </cell>
          <cell r="F860" t="str">
            <v>SP</v>
          </cell>
          <cell r="G860" t="str">
            <v>760</v>
          </cell>
          <cell r="H860" t="str">
            <v>Apto 31</v>
          </cell>
          <cell r="I860" t="str">
            <v>11700-270</v>
          </cell>
          <cell r="J860" t="str">
            <v>991433230</v>
          </cell>
          <cell r="K860" t="str">
            <v/>
          </cell>
          <cell r="L860" t="str">
            <v>Masculino</v>
          </cell>
          <cell r="M860" t="str">
            <v>Parda</v>
          </cell>
          <cell r="N860">
            <v>26182</v>
          </cell>
          <cell r="O860" t="str">
            <v>215238370</v>
          </cell>
          <cell r="P860" t="str">
            <v>SP</v>
          </cell>
          <cell r="Q860" t="str">
            <v>SSP</v>
          </cell>
          <cell r="R860" t="str">
            <v>SANTOS</v>
          </cell>
        </row>
        <row r="861">
          <cell r="A861" t="str">
            <v>WALBER RENATO CAVALCANTE COSTA</v>
          </cell>
          <cell r="B861" t="str">
            <v>Casado</v>
          </cell>
          <cell r="C861" t="str">
            <v>AV Teresina</v>
          </cell>
          <cell r="D861" t="str">
            <v>Samarita</v>
          </cell>
          <cell r="E861" t="str">
            <v>SAO VICENTE</v>
          </cell>
          <cell r="F861" t="str">
            <v>SP</v>
          </cell>
          <cell r="G861" t="str">
            <v>27</v>
          </cell>
          <cell r="H861" t="str">
            <v/>
          </cell>
          <cell r="I861" t="str">
            <v>11345-020</v>
          </cell>
          <cell r="J861" t="str">
            <v>35662199</v>
          </cell>
          <cell r="K861" t="str">
            <v/>
          </cell>
          <cell r="L861" t="str">
            <v>Masculino</v>
          </cell>
          <cell r="M861" t="str">
            <v>Parda</v>
          </cell>
          <cell r="N861">
            <v>29717</v>
          </cell>
          <cell r="O861" t="str">
            <v>393562724</v>
          </cell>
          <cell r="P861" t="str">
            <v>SP</v>
          </cell>
          <cell r="Q861" t="str">
            <v>SSP</v>
          </cell>
          <cell r="R861" t="str">
            <v>BELEM</v>
          </cell>
        </row>
        <row r="862">
          <cell r="A862" t="str">
            <v>DOUGLAS ARAKAKI</v>
          </cell>
          <cell r="B862" t="str">
            <v>Solteiro</v>
          </cell>
          <cell r="C862" t="str">
            <v>R Benedito Ernesto Guimarães</v>
          </cell>
          <cell r="D862" t="str">
            <v>Marapé</v>
          </cell>
          <cell r="E862" t="str">
            <v>SANTOS</v>
          </cell>
          <cell r="F862" t="str">
            <v>SP</v>
          </cell>
          <cell r="G862" t="str">
            <v>49</v>
          </cell>
          <cell r="H862" t="str">
            <v>CS</v>
          </cell>
          <cell r="I862" t="str">
            <v>11070-020</v>
          </cell>
          <cell r="J862" t="str">
            <v>32256466</v>
          </cell>
          <cell r="K862" t="str">
            <v/>
          </cell>
          <cell r="L862" t="str">
            <v>Masculino</v>
          </cell>
          <cell r="M862" t="str">
            <v>Parda</v>
          </cell>
          <cell r="N862">
            <v>31147</v>
          </cell>
          <cell r="O862" t="str">
            <v>349596943</v>
          </cell>
          <cell r="P862" t="str">
            <v>SP</v>
          </cell>
          <cell r="Q862" t="str">
            <v>SSP</v>
          </cell>
          <cell r="R862" t="str">
            <v>SANTOS</v>
          </cell>
        </row>
        <row r="863">
          <cell r="A863" t="str">
            <v>ANDREI THEODORE SKAVINSKI SILVA</v>
          </cell>
          <cell r="B863" t="str">
            <v>Solteiro</v>
          </cell>
          <cell r="C863" t="str">
            <v>R Soares de Camargo</v>
          </cell>
          <cell r="D863" t="str">
            <v>Boqueirao</v>
          </cell>
          <cell r="E863" t="str">
            <v>SANTOS</v>
          </cell>
          <cell r="F863" t="str">
            <v>SP</v>
          </cell>
          <cell r="G863" t="str">
            <v>60</v>
          </cell>
          <cell r="H863" t="str">
            <v>AP 104</v>
          </cell>
          <cell r="I863" t="str">
            <v>11045-050</v>
          </cell>
          <cell r="J863" t="str">
            <v>997109993</v>
          </cell>
          <cell r="K863" t="str">
            <v/>
          </cell>
          <cell r="L863" t="str">
            <v>Masculino</v>
          </cell>
          <cell r="M863" t="str">
            <v>Parda</v>
          </cell>
          <cell r="N863">
            <v>32766</v>
          </cell>
          <cell r="O863" t="str">
            <v>466999021</v>
          </cell>
          <cell r="P863" t="str">
            <v>SP</v>
          </cell>
          <cell r="Q863" t="str">
            <v>SSP</v>
          </cell>
          <cell r="R863" t="str">
            <v>SANTOS</v>
          </cell>
        </row>
        <row r="864">
          <cell r="A864" t="str">
            <v>VICENTE JOSE DE FREITAS COSTA</v>
          </cell>
          <cell r="B864" t="str">
            <v>Casado</v>
          </cell>
          <cell r="C864" t="str">
            <v>AV Rei Alberto I</v>
          </cell>
          <cell r="D864" t="str">
            <v>Ponta da Praia</v>
          </cell>
          <cell r="E864" t="str">
            <v>SANTOS</v>
          </cell>
          <cell r="F864" t="str">
            <v>SP</v>
          </cell>
          <cell r="G864" t="str">
            <v>315</v>
          </cell>
          <cell r="H864" t="str">
            <v>75</v>
          </cell>
          <cell r="I864" t="str">
            <v>11030-381</v>
          </cell>
          <cell r="J864" t="str">
            <v>32618495</v>
          </cell>
          <cell r="K864" t="str">
            <v>982007310</v>
          </cell>
          <cell r="L864" t="str">
            <v>Masculino</v>
          </cell>
          <cell r="M864" t="str">
            <v>Parda</v>
          </cell>
          <cell r="N864">
            <v>23555</v>
          </cell>
          <cell r="O864" t="str">
            <v>143134565</v>
          </cell>
          <cell r="P864" t="str">
            <v>SP</v>
          </cell>
          <cell r="Q864" t="str">
            <v>SSP</v>
          </cell>
          <cell r="R864" t="str">
            <v>SANTOS</v>
          </cell>
        </row>
        <row r="865">
          <cell r="A865" t="str">
            <v>FELLIPE FRANCA RIGONI PENAS</v>
          </cell>
          <cell r="B865" t="str">
            <v>Casado</v>
          </cell>
          <cell r="C865" t="str">
            <v>R Pará</v>
          </cell>
          <cell r="D865" t="str">
            <v>Parque Bitaru</v>
          </cell>
          <cell r="E865" t="str">
            <v>SAO VICENTE</v>
          </cell>
          <cell r="F865" t="str">
            <v>SP</v>
          </cell>
          <cell r="G865" t="str">
            <v>51</v>
          </cell>
          <cell r="H865" t="str">
            <v>3</v>
          </cell>
          <cell r="I865" t="str">
            <v>11330-080</v>
          </cell>
          <cell r="J865" t="str">
            <v>974066930</v>
          </cell>
          <cell r="K865" t="str">
            <v/>
          </cell>
          <cell r="L865" t="str">
            <v>Masculino</v>
          </cell>
          <cell r="M865" t="str">
            <v>Parda</v>
          </cell>
          <cell r="N865">
            <v>30205</v>
          </cell>
          <cell r="O865" t="str">
            <v>424646328</v>
          </cell>
          <cell r="P865" t="str">
            <v>SP</v>
          </cell>
          <cell r="Q865" t="str">
            <v>SSP</v>
          </cell>
          <cell r="R865" t="str">
            <v>SANTOS</v>
          </cell>
        </row>
        <row r="866">
          <cell r="A866" t="str">
            <v>PAULO VINICIUS ALMEIDA DOS PASSOS</v>
          </cell>
          <cell r="B866" t="str">
            <v>Casado</v>
          </cell>
          <cell r="C866" t="str">
            <v>R Bertioga</v>
          </cell>
          <cell r="D866" t="str">
            <v>Sítio Paecara (Vicen</v>
          </cell>
          <cell r="E866" t="str">
            <v>GUARUJA</v>
          </cell>
          <cell r="F866" t="str">
            <v>SP</v>
          </cell>
          <cell r="G866" t="str">
            <v>104</v>
          </cell>
          <cell r="H866" t="str">
            <v>casa 3</v>
          </cell>
          <cell r="I866" t="str">
            <v>11460-230</v>
          </cell>
          <cell r="J866" t="str">
            <v>991889076</v>
          </cell>
          <cell r="K866" t="str">
            <v/>
          </cell>
          <cell r="L866" t="str">
            <v>Masculino</v>
          </cell>
          <cell r="M866" t="str">
            <v>Parda</v>
          </cell>
          <cell r="N866">
            <v>29285</v>
          </cell>
          <cell r="O866" t="str">
            <v>27006331</v>
          </cell>
          <cell r="P866" t="str">
            <v>SP</v>
          </cell>
          <cell r="Q866" t="str">
            <v>SSP</v>
          </cell>
          <cell r="R866" t="str">
            <v>SANTOS</v>
          </cell>
        </row>
        <row r="867">
          <cell r="A867" t="str">
            <v>RAFAEL ALEXANDRO ARCHANJO</v>
          </cell>
          <cell r="B867" t="str">
            <v>Casado</v>
          </cell>
          <cell r="C867" t="str">
            <v>R Ambrosina Amélia Caldeira Tolentino</v>
          </cell>
          <cell r="D867" t="str">
            <v>Castelo</v>
          </cell>
          <cell r="E867" t="str">
            <v>SANTOS</v>
          </cell>
          <cell r="F867" t="str">
            <v>SP</v>
          </cell>
          <cell r="G867" t="str">
            <v>231</v>
          </cell>
          <cell r="H867" t="str">
            <v>bl f6 - 43</v>
          </cell>
          <cell r="I867" t="str">
            <v>11087-300</v>
          </cell>
          <cell r="J867" t="str">
            <v>974038015</v>
          </cell>
          <cell r="K867" t="str">
            <v/>
          </cell>
          <cell r="L867" t="str">
            <v>Masculino</v>
          </cell>
          <cell r="M867" t="str">
            <v>Parda</v>
          </cell>
          <cell r="N867">
            <v>30785</v>
          </cell>
          <cell r="O867" t="str">
            <v>28968707X</v>
          </cell>
          <cell r="P867" t="str">
            <v>SP</v>
          </cell>
          <cell r="Q867" t="str">
            <v>SSP</v>
          </cell>
          <cell r="R867" t="str">
            <v>SAO PAULO</v>
          </cell>
        </row>
        <row r="868">
          <cell r="A868" t="str">
            <v>FELIPE SAMPAIO GARCIA</v>
          </cell>
          <cell r="B868" t="str">
            <v>Casado</v>
          </cell>
          <cell r="C868" t="str">
            <v>R Rodrigo Silva</v>
          </cell>
          <cell r="D868" t="str">
            <v>Macuco</v>
          </cell>
          <cell r="E868" t="str">
            <v>SANTOS</v>
          </cell>
          <cell r="F868" t="str">
            <v>SP</v>
          </cell>
          <cell r="G868" t="str">
            <v>195</v>
          </cell>
          <cell r="H868" t="str">
            <v>CASA 4</v>
          </cell>
          <cell r="I868" t="str">
            <v>11015-240</v>
          </cell>
          <cell r="J868" t="str">
            <v>974130325</v>
          </cell>
          <cell r="K868" t="str">
            <v>991726627</v>
          </cell>
          <cell r="L868" t="str">
            <v>Masculino</v>
          </cell>
          <cell r="M868" t="str">
            <v>Branca</v>
          </cell>
          <cell r="N868">
            <v>32078</v>
          </cell>
          <cell r="O868" t="str">
            <v>424643479</v>
          </cell>
          <cell r="P868" t="str">
            <v>SP</v>
          </cell>
          <cell r="Q868" t="str">
            <v>SSP</v>
          </cell>
          <cell r="R868" t="str">
            <v>SANTOS</v>
          </cell>
        </row>
        <row r="869">
          <cell r="A869" t="str">
            <v>LEANDRO DA SILVA FLORENCIO</v>
          </cell>
          <cell r="B869" t="str">
            <v>União Estável</v>
          </cell>
          <cell r="C869" t="str">
            <v>R MINISTRO XAVIER DE TOLEDO</v>
          </cell>
          <cell r="D869" t="str">
            <v>Campo Grande</v>
          </cell>
          <cell r="E869" t="str">
            <v>SANTOS</v>
          </cell>
          <cell r="F869" t="str">
            <v>SP</v>
          </cell>
          <cell r="G869" t="str">
            <v>76</v>
          </cell>
          <cell r="H869" t="str">
            <v>206</v>
          </cell>
          <cell r="I869" t="str">
            <v>11070-300</v>
          </cell>
          <cell r="J869" t="str">
            <v>991723897</v>
          </cell>
          <cell r="K869" t="str">
            <v/>
          </cell>
          <cell r="L869" t="str">
            <v>Masculino</v>
          </cell>
          <cell r="M869" t="str">
            <v>Parda</v>
          </cell>
          <cell r="N869">
            <v>32126</v>
          </cell>
          <cell r="O869" t="str">
            <v>426299954</v>
          </cell>
          <cell r="P869" t="str">
            <v>SP</v>
          </cell>
          <cell r="Q869" t="str">
            <v>SSP</v>
          </cell>
          <cell r="R869" t="str">
            <v>SANTOS</v>
          </cell>
        </row>
        <row r="870">
          <cell r="A870" t="str">
            <v>FAGNER GUIMARAES DE ALMEIDA</v>
          </cell>
          <cell r="B870" t="str">
            <v>Solteiro</v>
          </cell>
          <cell r="C870" t="str">
            <v>R das Azaléias</v>
          </cell>
          <cell r="D870" t="str">
            <v>Vila Natal</v>
          </cell>
          <cell r="E870" t="str">
            <v>CUBATAO</v>
          </cell>
          <cell r="F870" t="str">
            <v>SP</v>
          </cell>
          <cell r="G870" t="str">
            <v>58</v>
          </cell>
          <cell r="H870" t="str">
            <v/>
          </cell>
          <cell r="I870" t="str">
            <v>11538-060</v>
          </cell>
          <cell r="J870" t="str">
            <v>988168185</v>
          </cell>
          <cell r="K870" t="str">
            <v/>
          </cell>
          <cell r="L870" t="str">
            <v>Masculino</v>
          </cell>
          <cell r="M870" t="str">
            <v>Parda</v>
          </cell>
          <cell r="N870">
            <v>32756</v>
          </cell>
          <cell r="O870" t="str">
            <v>485617961</v>
          </cell>
          <cell r="P870" t="str">
            <v>SP</v>
          </cell>
          <cell r="Q870" t="str">
            <v>SSP</v>
          </cell>
          <cell r="R870" t="str">
            <v>CUBATAO</v>
          </cell>
        </row>
        <row r="871">
          <cell r="A871" t="str">
            <v>SEBASTIAO CAVALCANTE DA SILVA</v>
          </cell>
          <cell r="B871" t="str">
            <v>Casado</v>
          </cell>
          <cell r="C871" t="str">
            <v>AV Caiubura</v>
          </cell>
          <cell r="D871" t="str">
            <v>Caiubura</v>
          </cell>
          <cell r="E871" t="str">
            <v>BERTIOGA</v>
          </cell>
          <cell r="F871" t="str">
            <v>SP</v>
          </cell>
          <cell r="G871" t="str">
            <v>189</v>
          </cell>
          <cell r="H871" t="str">
            <v/>
          </cell>
          <cell r="I871" t="str">
            <v>11250-000</v>
          </cell>
          <cell r="J871" t="str">
            <v>30345189</v>
          </cell>
          <cell r="K871" t="str">
            <v/>
          </cell>
          <cell r="L871" t="str">
            <v>Masculino</v>
          </cell>
          <cell r="M871" t="str">
            <v>Parda</v>
          </cell>
          <cell r="N871">
            <v>24707</v>
          </cell>
          <cell r="O871" t="str">
            <v>204592884</v>
          </cell>
          <cell r="P871" t="str">
            <v>SP</v>
          </cell>
          <cell r="Q871" t="str">
            <v>SSP</v>
          </cell>
          <cell r="R871" t="str">
            <v>MATA GRANDE</v>
          </cell>
        </row>
        <row r="872">
          <cell r="A872" t="str">
            <v>LUIZ FERNANDO FRANCISCO DE OLIVEIRA</v>
          </cell>
          <cell r="B872" t="str">
            <v>Casado</v>
          </cell>
          <cell r="C872" t="str">
            <v>R João Guerra</v>
          </cell>
          <cell r="D872" t="str">
            <v>Macuco</v>
          </cell>
          <cell r="E872" t="str">
            <v>SANTOS</v>
          </cell>
          <cell r="F872" t="str">
            <v>SP</v>
          </cell>
          <cell r="G872" t="str">
            <v>217</v>
          </cell>
          <cell r="H872" t="str">
            <v>BL A APTO 32</v>
          </cell>
          <cell r="I872" t="str">
            <v>11015-131</v>
          </cell>
          <cell r="J872" t="str">
            <v>33949018</v>
          </cell>
          <cell r="K872" t="str">
            <v/>
          </cell>
          <cell r="L872" t="str">
            <v>Masculino</v>
          </cell>
          <cell r="M872" t="str">
            <v>Parda</v>
          </cell>
          <cell r="N872">
            <v>29231</v>
          </cell>
          <cell r="O872" t="str">
            <v>30130449X</v>
          </cell>
          <cell r="P872" t="str">
            <v>SP</v>
          </cell>
          <cell r="Q872" t="str">
            <v>SSP</v>
          </cell>
          <cell r="R872" t="str">
            <v>SANTOS</v>
          </cell>
        </row>
        <row r="873">
          <cell r="A873" t="str">
            <v>ALEX DOS SANTOS FARIAS</v>
          </cell>
          <cell r="B873" t="str">
            <v>Casado</v>
          </cell>
          <cell r="C873" t="str">
            <v>R São Francisco de Assis</v>
          </cell>
          <cell r="D873" t="str">
            <v>Vila Sao Jose</v>
          </cell>
          <cell r="E873" t="str">
            <v>CUBATAO</v>
          </cell>
          <cell r="F873" t="str">
            <v>SP</v>
          </cell>
          <cell r="G873" t="str">
            <v>67</v>
          </cell>
          <cell r="H873" t="str">
            <v>FUNDOS</v>
          </cell>
          <cell r="I873" t="str">
            <v>11523-000</v>
          </cell>
          <cell r="J873" t="str">
            <v>974097330</v>
          </cell>
          <cell r="K873" t="str">
            <v/>
          </cell>
          <cell r="L873" t="str">
            <v>Masculino</v>
          </cell>
          <cell r="M873" t="str">
            <v>Branca</v>
          </cell>
          <cell r="N873">
            <v>28255</v>
          </cell>
          <cell r="O873" t="str">
            <v>278791980</v>
          </cell>
          <cell r="P873" t="str">
            <v>SP</v>
          </cell>
          <cell r="Q873" t="str">
            <v>SSP</v>
          </cell>
          <cell r="R873" t="str">
            <v>CUBATAO</v>
          </cell>
        </row>
        <row r="874">
          <cell r="A874" t="str">
            <v>DIOGO MARCELINO DA SILVA</v>
          </cell>
          <cell r="B874" t="str">
            <v>Casado</v>
          </cell>
          <cell r="C874" t="str">
            <v>R PT FRANCISCO GONZAGA SILVA</v>
          </cell>
          <cell r="D874" t="str">
            <v>Bom Retiro</v>
          </cell>
          <cell r="E874" t="str">
            <v>SANTOS</v>
          </cell>
          <cell r="F874" t="str">
            <v>SP</v>
          </cell>
          <cell r="G874" t="str">
            <v>190</v>
          </cell>
          <cell r="H874" t="str">
            <v/>
          </cell>
          <cell r="I874" t="str">
            <v>11088-070</v>
          </cell>
          <cell r="J874" t="str">
            <v>991615557</v>
          </cell>
          <cell r="K874" t="str">
            <v/>
          </cell>
          <cell r="L874" t="str">
            <v>Masculino</v>
          </cell>
          <cell r="M874" t="str">
            <v>Parda</v>
          </cell>
          <cell r="N874">
            <v>31306</v>
          </cell>
          <cell r="O874" t="str">
            <v>485997046</v>
          </cell>
          <cell r="P874" t="str">
            <v>SP</v>
          </cell>
          <cell r="Q874" t="str">
            <v>SSP</v>
          </cell>
          <cell r="R874" t="str">
            <v>CUBATAO</v>
          </cell>
        </row>
        <row r="875">
          <cell r="A875" t="str">
            <v>WAGNER GUIMARAES DE ALMEIDA</v>
          </cell>
          <cell r="B875" t="str">
            <v>Solteiro</v>
          </cell>
          <cell r="C875" t="str">
            <v>R das Azaléias</v>
          </cell>
          <cell r="D875" t="str">
            <v>Vila Natal</v>
          </cell>
          <cell r="E875" t="str">
            <v>CUBATAO</v>
          </cell>
          <cell r="F875" t="str">
            <v>SP</v>
          </cell>
          <cell r="G875" t="str">
            <v>222</v>
          </cell>
          <cell r="H875" t="str">
            <v/>
          </cell>
          <cell r="I875" t="str">
            <v>11538-060</v>
          </cell>
          <cell r="J875" t="str">
            <v>988057247</v>
          </cell>
          <cell r="K875" t="str">
            <v/>
          </cell>
          <cell r="L875" t="str">
            <v>Masculino</v>
          </cell>
          <cell r="M875" t="str">
            <v>Parda</v>
          </cell>
          <cell r="N875">
            <v>33556</v>
          </cell>
          <cell r="O875" t="str">
            <v>36096946X</v>
          </cell>
          <cell r="P875" t="str">
            <v>SP</v>
          </cell>
          <cell r="Q875" t="str">
            <v>SSP</v>
          </cell>
          <cell r="R875" t="str">
            <v>CUBATAO</v>
          </cell>
        </row>
        <row r="876">
          <cell r="A876" t="str">
            <v>KARIN APARECIDA DE MOURA SANTOS</v>
          </cell>
          <cell r="B876" t="str">
            <v>Casado</v>
          </cell>
          <cell r="C876" t="str">
            <v>AV Siqueira Campos</v>
          </cell>
          <cell r="D876" t="str">
            <v>Embaré</v>
          </cell>
          <cell r="E876" t="str">
            <v>SANTOS</v>
          </cell>
          <cell r="F876" t="str">
            <v>SP</v>
          </cell>
          <cell r="G876" t="str">
            <v>517</v>
          </cell>
          <cell r="H876" t="str">
            <v>42</v>
          </cell>
          <cell r="I876" t="str">
            <v>11045-201</v>
          </cell>
          <cell r="J876" t="str">
            <v>996764050</v>
          </cell>
          <cell r="K876" t="str">
            <v/>
          </cell>
          <cell r="L876" t="str">
            <v>Feminino</v>
          </cell>
          <cell r="M876" t="str">
            <v>Parda</v>
          </cell>
          <cell r="N876">
            <v>28901</v>
          </cell>
          <cell r="O876" t="str">
            <v>330845470</v>
          </cell>
          <cell r="P876" t="str">
            <v>SP</v>
          </cell>
          <cell r="Q876" t="str">
            <v>SSP</v>
          </cell>
          <cell r="R876" t="str">
            <v>SANTOS</v>
          </cell>
        </row>
        <row r="877">
          <cell r="A877" t="str">
            <v>KARINA KELLER BORGES</v>
          </cell>
          <cell r="B877" t="str">
            <v>Casado</v>
          </cell>
          <cell r="C877" t="str">
            <v>AV Ana Costa</v>
          </cell>
          <cell r="D877" t="str">
            <v>Gonzaga</v>
          </cell>
          <cell r="E877" t="str">
            <v>SANTOS</v>
          </cell>
          <cell r="F877" t="str">
            <v>SP</v>
          </cell>
          <cell r="G877" t="str">
            <v>461</v>
          </cell>
          <cell r="H877" t="str">
            <v>APTO 22</v>
          </cell>
          <cell r="I877" t="str">
            <v>11060-003</v>
          </cell>
          <cell r="J877" t="str">
            <v>991590308</v>
          </cell>
          <cell r="K877" t="str">
            <v/>
          </cell>
          <cell r="L877" t="str">
            <v>Feminino</v>
          </cell>
          <cell r="M877" t="str">
            <v>Parda</v>
          </cell>
          <cell r="N877">
            <v>28979</v>
          </cell>
          <cell r="O877" t="str">
            <v>152604601</v>
          </cell>
          <cell r="P877" t="str">
            <v>SP</v>
          </cell>
          <cell r="Q877" t="str">
            <v>SSP</v>
          </cell>
          <cell r="R877" t="str">
            <v>SAO PAULO</v>
          </cell>
        </row>
        <row r="878">
          <cell r="A878" t="str">
            <v>THAIS KOJIMA MIRANDA</v>
          </cell>
          <cell r="B878" t="str">
            <v>Casado</v>
          </cell>
          <cell r="C878" t="str">
            <v>R General Marcondes Salgado</v>
          </cell>
          <cell r="D878" t="str">
            <v>Vila Cascatinha</v>
          </cell>
          <cell r="E878" t="str">
            <v>SAO VICENTE</v>
          </cell>
          <cell r="F878" t="str">
            <v>SP</v>
          </cell>
          <cell r="G878" t="str">
            <v>430</v>
          </cell>
          <cell r="H878" t="str">
            <v>CASA</v>
          </cell>
          <cell r="I878" t="str">
            <v>11370-070</v>
          </cell>
          <cell r="J878" t="str">
            <v>96053067</v>
          </cell>
          <cell r="K878" t="str">
            <v/>
          </cell>
          <cell r="L878" t="str">
            <v>Feminino</v>
          </cell>
          <cell r="M878" t="str">
            <v>Parda</v>
          </cell>
          <cell r="N878">
            <v>30405</v>
          </cell>
          <cell r="O878" t="str">
            <v>329981067</v>
          </cell>
          <cell r="P878" t="str">
            <v>SP</v>
          </cell>
          <cell r="Q878" t="str">
            <v>SSP</v>
          </cell>
          <cell r="R878" t="str">
            <v>SANTOS</v>
          </cell>
        </row>
        <row r="879">
          <cell r="A879" t="str">
            <v>RONALDO MARCOS DOS SANTOS</v>
          </cell>
          <cell r="B879" t="str">
            <v>Casado</v>
          </cell>
          <cell r="C879" t="str">
            <v>R SILVA JARDIM</v>
          </cell>
          <cell r="D879" t="str">
            <v>Vila Mathias</v>
          </cell>
          <cell r="E879" t="str">
            <v>SANTOS</v>
          </cell>
          <cell r="F879" t="str">
            <v>SP</v>
          </cell>
          <cell r="G879" t="str">
            <v>280</v>
          </cell>
          <cell r="H879" t="str">
            <v>APTO 06</v>
          </cell>
          <cell r="I879" t="str">
            <v>11015-020</v>
          </cell>
          <cell r="J879" t="str">
            <v>33213661</v>
          </cell>
          <cell r="K879" t="str">
            <v>974066463</v>
          </cell>
          <cell r="L879" t="str">
            <v>Masculino</v>
          </cell>
          <cell r="M879" t="str">
            <v>Parda</v>
          </cell>
          <cell r="N879">
            <v>26986</v>
          </cell>
          <cell r="O879" t="str">
            <v>245439572</v>
          </cell>
          <cell r="P879" t="str">
            <v>SP</v>
          </cell>
          <cell r="Q879" t="str">
            <v>SSP</v>
          </cell>
          <cell r="R879" t="str">
            <v>SANTOS</v>
          </cell>
        </row>
        <row r="880">
          <cell r="A880" t="str">
            <v>EMERSON LUIZ INACIO</v>
          </cell>
          <cell r="B880" t="str">
            <v>Casado</v>
          </cell>
          <cell r="C880" t="str">
            <v>R Senador Lacerda Franco</v>
          </cell>
          <cell r="D880" t="str">
            <v>Aparecida</v>
          </cell>
          <cell r="E880" t="str">
            <v>SANTOS</v>
          </cell>
          <cell r="F880" t="str">
            <v>SP</v>
          </cell>
          <cell r="G880" t="str">
            <v>119</v>
          </cell>
          <cell r="H880" t="str">
            <v/>
          </cell>
          <cell r="I880" t="str">
            <v>11025-180</v>
          </cell>
          <cell r="J880" t="str">
            <v>33227838</v>
          </cell>
          <cell r="K880" t="str">
            <v/>
          </cell>
          <cell r="L880" t="str">
            <v>Masculino</v>
          </cell>
          <cell r="M880" t="str">
            <v>Parda</v>
          </cell>
          <cell r="N880">
            <v>27635</v>
          </cell>
          <cell r="O880" t="str">
            <v>25258134</v>
          </cell>
          <cell r="P880" t="str">
            <v>SP</v>
          </cell>
          <cell r="Q880" t="str">
            <v>SSP</v>
          </cell>
          <cell r="R880" t="str">
            <v>SANTOS</v>
          </cell>
        </row>
        <row r="881">
          <cell r="A881" t="str">
            <v>FABIO DE SOUZA CHIUSO</v>
          </cell>
          <cell r="B881" t="str">
            <v>Casado</v>
          </cell>
          <cell r="C881" t="str">
            <v>R Alexandre Fleming</v>
          </cell>
          <cell r="D881" t="str">
            <v>Aparecida</v>
          </cell>
          <cell r="E881" t="str">
            <v>SANTOS</v>
          </cell>
          <cell r="F881" t="str">
            <v>SP</v>
          </cell>
          <cell r="G881" t="str">
            <v>257</v>
          </cell>
          <cell r="H881" t="str">
            <v>APTO 31</v>
          </cell>
          <cell r="I881" t="str">
            <v>11040-010</v>
          </cell>
          <cell r="J881" t="str">
            <v>974082069</v>
          </cell>
          <cell r="K881" t="str">
            <v/>
          </cell>
          <cell r="L881" t="str">
            <v>Masculino</v>
          </cell>
          <cell r="M881" t="str">
            <v>Parda</v>
          </cell>
          <cell r="N881">
            <v>27632</v>
          </cell>
          <cell r="O881" t="str">
            <v>245726640</v>
          </cell>
          <cell r="P881" t="str">
            <v>SP</v>
          </cell>
          <cell r="Q881" t="str">
            <v>SSP</v>
          </cell>
          <cell r="R881" t="str">
            <v>SANTOS</v>
          </cell>
        </row>
        <row r="882">
          <cell r="A882" t="str">
            <v>RODRIGO GONCALVES DA SILVA</v>
          </cell>
          <cell r="B882" t="str">
            <v>Casado</v>
          </cell>
          <cell r="C882" t="str">
            <v>R São Gonçalo</v>
          </cell>
          <cell r="D882" t="str">
            <v>Jardim Independencia</v>
          </cell>
          <cell r="E882" t="str">
            <v>SAO VICENTE</v>
          </cell>
          <cell r="F882" t="str">
            <v>SP</v>
          </cell>
          <cell r="G882" t="str">
            <v>46</v>
          </cell>
          <cell r="H882" t="str">
            <v>CASA 03</v>
          </cell>
          <cell r="I882" t="str">
            <v>11380-490</v>
          </cell>
          <cell r="J882" t="str">
            <v>997669520</v>
          </cell>
          <cell r="K882" t="str">
            <v/>
          </cell>
          <cell r="L882" t="str">
            <v>Masculino</v>
          </cell>
          <cell r="M882" t="str">
            <v>Parda</v>
          </cell>
          <cell r="N882">
            <v>30273</v>
          </cell>
          <cell r="O882" t="str">
            <v>274941843</v>
          </cell>
          <cell r="P882" t="str">
            <v>SP</v>
          </cell>
          <cell r="Q882" t="str">
            <v>SSP</v>
          </cell>
          <cell r="R882" t="str">
            <v>SANTOS</v>
          </cell>
        </row>
        <row r="883">
          <cell r="A883" t="str">
            <v>JORGE HENRIQUE DE OLIVEIRA BISPO DOS SAN</v>
          </cell>
          <cell r="B883" t="str">
            <v>Solteiro</v>
          </cell>
          <cell r="C883" t="str">
            <v>R Francisco Sá</v>
          </cell>
          <cell r="D883" t="str">
            <v>Santa Maria</v>
          </cell>
          <cell r="E883" t="str">
            <v>SANTOS</v>
          </cell>
          <cell r="F883" t="str">
            <v>SP</v>
          </cell>
          <cell r="G883" t="str">
            <v>243</v>
          </cell>
          <cell r="H883" t="str">
            <v>CS B</v>
          </cell>
          <cell r="I883" t="str">
            <v>11089-160</v>
          </cell>
          <cell r="J883" t="str">
            <v>981133562</v>
          </cell>
          <cell r="K883" t="str">
            <v/>
          </cell>
          <cell r="L883" t="str">
            <v>Masculino</v>
          </cell>
          <cell r="M883" t="str">
            <v>Parda</v>
          </cell>
          <cell r="N883">
            <v>26724</v>
          </cell>
          <cell r="O883" t="str">
            <v>235953325</v>
          </cell>
          <cell r="P883" t="str">
            <v>SP</v>
          </cell>
          <cell r="Q883" t="str">
            <v>SSP</v>
          </cell>
          <cell r="R883" t="str">
            <v>SANTOS</v>
          </cell>
        </row>
        <row r="884">
          <cell r="A884" t="str">
            <v>PAULO CEZAR COUTINHO</v>
          </cell>
          <cell r="B884" t="str">
            <v>Casado</v>
          </cell>
          <cell r="C884" t="str">
            <v>R Doutor Batista Pereira</v>
          </cell>
          <cell r="D884" t="str">
            <v>Macuco</v>
          </cell>
          <cell r="E884" t="str">
            <v>SANTOS</v>
          </cell>
          <cell r="F884" t="str">
            <v>SP</v>
          </cell>
          <cell r="G884" t="str">
            <v>103</v>
          </cell>
          <cell r="H884" t="str">
            <v>BL B AP 15</v>
          </cell>
          <cell r="I884" t="str">
            <v>11015-101</v>
          </cell>
          <cell r="J884" t="str">
            <v>997945517</v>
          </cell>
          <cell r="K884" t="str">
            <v/>
          </cell>
          <cell r="L884" t="str">
            <v>Masculino</v>
          </cell>
          <cell r="M884" t="str">
            <v>Parda</v>
          </cell>
          <cell r="N884">
            <v>22578</v>
          </cell>
          <cell r="O884" t="str">
            <v>15285370</v>
          </cell>
          <cell r="P884" t="str">
            <v>SP</v>
          </cell>
          <cell r="Q884" t="str">
            <v>SSP</v>
          </cell>
          <cell r="R884" t="str">
            <v>SANTOS</v>
          </cell>
        </row>
        <row r="885">
          <cell r="A885" t="str">
            <v>ROBERTO APARECIDO PEREIRA DA SILVA</v>
          </cell>
          <cell r="B885" t="str">
            <v>Casado</v>
          </cell>
          <cell r="C885" t="str">
            <v>AV Senador Pinheiro Machado</v>
          </cell>
          <cell r="D885" t="str">
            <v>Marapé</v>
          </cell>
          <cell r="E885" t="str">
            <v>SANTOS</v>
          </cell>
          <cell r="F885" t="str">
            <v>SP</v>
          </cell>
          <cell r="G885" t="str">
            <v>916</v>
          </cell>
          <cell r="H885" t="str">
            <v>APT 04</v>
          </cell>
          <cell r="I885" t="str">
            <v>11075-002</v>
          </cell>
          <cell r="J885" t="str">
            <v>33244730</v>
          </cell>
          <cell r="K885" t="str">
            <v/>
          </cell>
          <cell r="L885" t="str">
            <v>Masculino</v>
          </cell>
          <cell r="M885" t="str">
            <v>Parda</v>
          </cell>
          <cell r="N885">
            <v>24550</v>
          </cell>
          <cell r="O885" t="str">
            <v>15949735</v>
          </cell>
          <cell r="P885" t="str">
            <v>SP</v>
          </cell>
          <cell r="Q885" t="str">
            <v>SSP</v>
          </cell>
          <cell r="R885" t="str">
            <v>SANTOS</v>
          </cell>
        </row>
        <row r="886">
          <cell r="A886" t="str">
            <v>ANDERSON MIGUEL DOS ANJOS</v>
          </cell>
          <cell r="B886" t="str">
            <v>Casado</v>
          </cell>
          <cell r="C886" t="str">
            <v>R Flamengo</v>
          </cell>
          <cell r="D886" t="str">
            <v>Guilhermina</v>
          </cell>
          <cell r="E886" t="str">
            <v>PRAIA GRANDE</v>
          </cell>
          <cell r="F886" t="str">
            <v>SP</v>
          </cell>
          <cell r="G886" t="str">
            <v>49</v>
          </cell>
          <cell r="H886" t="str">
            <v>Apt 21</v>
          </cell>
          <cell r="I886" t="str">
            <v>11701-540</v>
          </cell>
          <cell r="J886" t="str">
            <v>997326943</v>
          </cell>
          <cell r="K886" t="str">
            <v/>
          </cell>
          <cell r="L886" t="str">
            <v>Masculino</v>
          </cell>
          <cell r="M886" t="str">
            <v>Parda</v>
          </cell>
          <cell r="N886">
            <v>29998</v>
          </cell>
          <cell r="O886" t="str">
            <v>28795402X</v>
          </cell>
          <cell r="P886" t="str">
            <v>SP</v>
          </cell>
          <cell r="Q886" t="str">
            <v>SSP</v>
          </cell>
          <cell r="R886" t="str">
            <v>CUBATAO</v>
          </cell>
        </row>
        <row r="887">
          <cell r="A887" t="str">
            <v>ANGELO CORREA JUNIOR</v>
          </cell>
          <cell r="B887" t="str">
            <v>Divorciado</v>
          </cell>
          <cell r="C887" t="str">
            <v>R Godofredo Fraga</v>
          </cell>
          <cell r="D887" t="str">
            <v>Marapé</v>
          </cell>
          <cell r="E887" t="str">
            <v>SANTOS</v>
          </cell>
          <cell r="F887" t="str">
            <v>SP</v>
          </cell>
          <cell r="G887" t="str">
            <v>153</v>
          </cell>
          <cell r="H887" t="str">
            <v>AP22</v>
          </cell>
          <cell r="I887" t="str">
            <v>11070-401</v>
          </cell>
          <cell r="J887" t="str">
            <v/>
          </cell>
          <cell r="K887" t="str">
            <v/>
          </cell>
          <cell r="L887" t="str">
            <v>Masculino</v>
          </cell>
          <cell r="M887" t="str">
            <v>Parda</v>
          </cell>
          <cell r="N887">
            <v>25545</v>
          </cell>
          <cell r="O887" t="str">
            <v>191900655</v>
          </cell>
          <cell r="P887" t="str">
            <v>SP</v>
          </cell>
          <cell r="Q887" t="str">
            <v>SSP</v>
          </cell>
          <cell r="R887" t="str">
            <v>SANTOS</v>
          </cell>
        </row>
        <row r="888">
          <cell r="A888" t="str">
            <v>CLEITON DE OLIVEIRA</v>
          </cell>
          <cell r="B888" t="str">
            <v>Casado</v>
          </cell>
          <cell r="C888" t="str">
            <v>R Portugal</v>
          </cell>
          <cell r="D888" t="str">
            <v>Jardim Casqueiro</v>
          </cell>
          <cell r="E888" t="str">
            <v>CUBATAO</v>
          </cell>
          <cell r="F888" t="str">
            <v>SP</v>
          </cell>
          <cell r="G888" t="str">
            <v>601</v>
          </cell>
          <cell r="H888" t="str">
            <v>casa1</v>
          </cell>
          <cell r="I888" t="str">
            <v>11533-130</v>
          </cell>
          <cell r="J888" t="str">
            <v>33643686</v>
          </cell>
          <cell r="K888" t="str">
            <v/>
          </cell>
          <cell r="L888" t="str">
            <v>Masculino</v>
          </cell>
          <cell r="M888" t="str">
            <v>Parda</v>
          </cell>
          <cell r="N888">
            <v>26401</v>
          </cell>
          <cell r="O888" t="str">
            <v>246818578</v>
          </cell>
          <cell r="P888" t="str">
            <v>SP</v>
          </cell>
          <cell r="Q888" t="str">
            <v>SSP</v>
          </cell>
          <cell r="R888" t="str">
            <v>CUBATAO</v>
          </cell>
        </row>
        <row r="889">
          <cell r="A889" t="str">
            <v>JAIR TADEU XAVIER DE GUSMAO</v>
          </cell>
          <cell r="B889" t="str">
            <v>Solteiro</v>
          </cell>
          <cell r="C889" t="str">
            <v>R Alfredo das Neves</v>
          </cell>
          <cell r="D889" t="str">
            <v>Conjunto Residencial</v>
          </cell>
          <cell r="E889" t="str">
            <v>SAO VICENTE</v>
          </cell>
          <cell r="F889" t="str">
            <v>SP</v>
          </cell>
          <cell r="G889" t="str">
            <v>433</v>
          </cell>
          <cell r="H889" t="str">
            <v>CASA 01</v>
          </cell>
          <cell r="I889" t="str">
            <v>11349-190</v>
          </cell>
          <cell r="J889" t="str">
            <v>35643579</v>
          </cell>
          <cell r="K889" t="str">
            <v/>
          </cell>
          <cell r="L889" t="str">
            <v>Masculino</v>
          </cell>
          <cell r="M889" t="str">
            <v>Parda</v>
          </cell>
          <cell r="N889">
            <v>32942</v>
          </cell>
          <cell r="O889" t="str">
            <v>485752840</v>
          </cell>
          <cell r="P889" t="str">
            <v>SP</v>
          </cell>
          <cell r="Q889" t="str">
            <v>SSP</v>
          </cell>
          <cell r="R889" t="str">
            <v>SANTOS</v>
          </cell>
        </row>
        <row r="890">
          <cell r="A890" t="str">
            <v>LEONARDO BERTOLA DE ALMEIDA</v>
          </cell>
          <cell r="B890" t="str">
            <v>Casado</v>
          </cell>
          <cell r="C890" t="str">
            <v>R PADRE PRIMO MARIA VIEIRA</v>
          </cell>
          <cell r="D890" t="str">
            <v>Jardim São Francisco</v>
          </cell>
          <cell r="E890" t="str">
            <v>CUBATAO</v>
          </cell>
          <cell r="F890" t="str">
            <v>SP</v>
          </cell>
          <cell r="G890" t="str">
            <v>228</v>
          </cell>
          <cell r="H890" t="str">
            <v>CASA</v>
          </cell>
          <cell r="I890" t="str">
            <v>11500-200</v>
          </cell>
          <cell r="J890" t="str">
            <v>33722132</v>
          </cell>
          <cell r="K890" t="str">
            <v/>
          </cell>
          <cell r="L890" t="str">
            <v>Masculino</v>
          </cell>
          <cell r="M890" t="str">
            <v>Parda</v>
          </cell>
          <cell r="N890">
            <v>34613</v>
          </cell>
          <cell r="O890" t="str">
            <v>423452691</v>
          </cell>
          <cell r="P890" t="str">
            <v>SP</v>
          </cell>
          <cell r="Q890" t="str">
            <v>SSP</v>
          </cell>
          <cell r="R890" t="str">
            <v>CUBATAO</v>
          </cell>
        </row>
        <row r="891">
          <cell r="A891" t="str">
            <v>FELIPE DE GOUVEIA IBRAIM</v>
          </cell>
          <cell r="B891" t="str">
            <v>Solteiro</v>
          </cell>
          <cell r="C891" t="str">
            <v>R PEDRO BORGUES GONCALVES</v>
          </cell>
          <cell r="D891" t="str">
            <v>José Menino</v>
          </cell>
          <cell r="E891" t="str">
            <v>SANTOS</v>
          </cell>
          <cell r="F891" t="str">
            <v>SP</v>
          </cell>
          <cell r="G891" t="str">
            <v>6</v>
          </cell>
          <cell r="H891" t="str">
            <v>AP 1302</v>
          </cell>
          <cell r="I891" t="str">
            <v>11065-300</v>
          </cell>
          <cell r="J891" t="str">
            <v>997780168</v>
          </cell>
          <cell r="K891" t="str">
            <v/>
          </cell>
          <cell r="L891" t="str">
            <v>Masculino</v>
          </cell>
          <cell r="M891" t="str">
            <v>Parda</v>
          </cell>
          <cell r="N891">
            <v>33765</v>
          </cell>
          <cell r="O891" t="str">
            <v>460038539</v>
          </cell>
          <cell r="P891" t="str">
            <v>SP</v>
          </cell>
          <cell r="Q891" t="str">
            <v>SSP</v>
          </cell>
          <cell r="R891" t="str">
            <v>SANTOS</v>
          </cell>
        </row>
        <row r="892">
          <cell r="A892" t="str">
            <v>DARKO ALVES DA SILVA ALONSO</v>
          </cell>
          <cell r="B892" t="str">
            <v>Casado</v>
          </cell>
          <cell r="C892" t="str">
            <v>R CESAR A DE CASTRO RIOSRES VIVAMAR ANDORINHA</v>
          </cell>
          <cell r="D892" t="str">
            <v>Areia Branca</v>
          </cell>
          <cell r="E892" t="str">
            <v>SANTOS</v>
          </cell>
          <cell r="F892" t="str">
            <v>SP</v>
          </cell>
          <cell r="G892" t="str">
            <v>332</v>
          </cell>
          <cell r="H892" t="str">
            <v>BLOCO 1</v>
          </cell>
          <cell r="I892" t="str">
            <v>11086-415</v>
          </cell>
          <cell r="J892" t="str">
            <v>35683600</v>
          </cell>
          <cell r="K892" t="str">
            <v>991566368</v>
          </cell>
          <cell r="L892" t="str">
            <v>Masculino</v>
          </cell>
          <cell r="M892" t="str">
            <v>Parda</v>
          </cell>
          <cell r="N892">
            <v>30752</v>
          </cell>
          <cell r="O892" t="str">
            <v>444570809</v>
          </cell>
          <cell r="P892" t="str">
            <v>SP</v>
          </cell>
          <cell r="Q892" t="str">
            <v>SSP</v>
          </cell>
          <cell r="R892" t="str">
            <v>SANTOS</v>
          </cell>
        </row>
        <row r="893">
          <cell r="A893" t="str">
            <v>CLEBER DE JESUS FERREIRA</v>
          </cell>
          <cell r="B893" t="str">
            <v>Casado</v>
          </cell>
          <cell r="C893" t="str">
            <v>R Alves do Bugre</v>
          </cell>
          <cell r="D893" t="str">
            <v>Parque Sao Vicente</v>
          </cell>
          <cell r="E893" t="str">
            <v>SAO VICENTE</v>
          </cell>
          <cell r="F893" t="str">
            <v>SP</v>
          </cell>
          <cell r="G893" t="str">
            <v>130</v>
          </cell>
          <cell r="H893" t="str">
            <v>CS 6</v>
          </cell>
          <cell r="I893" t="str">
            <v>11365-350</v>
          </cell>
          <cell r="J893" t="str">
            <v>991592366</v>
          </cell>
          <cell r="K893" t="str">
            <v/>
          </cell>
          <cell r="L893" t="str">
            <v>Masculino</v>
          </cell>
          <cell r="M893" t="str">
            <v>Preta/Negra</v>
          </cell>
          <cell r="N893">
            <v>30696</v>
          </cell>
          <cell r="O893" t="str">
            <v>351460184</v>
          </cell>
          <cell r="P893" t="str">
            <v>SP</v>
          </cell>
          <cell r="Q893" t="str">
            <v>SSP</v>
          </cell>
          <cell r="R893" t="str">
            <v>SANTOS</v>
          </cell>
        </row>
        <row r="894">
          <cell r="A894" t="str">
            <v>RICARDO ROCHA BICHIAROV</v>
          </cell>
          <cell r="B894" t="str">
            <v>Casado</v>
          </cell>
          <cell r="C894" t="str">
            <v>AV Ana Costa</v>
          </cell>
          <cell r="D894" t="str">
            <v>Gonzaga</v>
          </cell>
          <cell r="E894" t="str">
            <v>SANTOS</v>
          </cell>
          <cell r="F894" t="str">
            <v>SP</v>
          </cell>
          <cell r="G894" t="str">
            <v>81</v>
          </cell>
          <cell r="H894" t="str">
            <v>ap 21</v>
          </cell>
          <cell r="I894" t="str">
            <v>11060-001</v>
          </cell>
          <cell r="J894" t="str">
            <v>981051762</v>
          </cell>
          <cell r="K894" t="str">
            <v/>
          </cell>
          <cell r="L894" t="str">
            <v>Masculino</v>
          </cell>
          <cell r="M894" t="str">
            <v>Parda</v>
          </cell>
          <cell r="N894">
            <v>28047</v>
          </cell>
          <cell r="O894" t="str">
            <v>280130107</v>
          </cell>
          <cell r="P894" t="str">
            <v>SP</v>
          </cell>
          <cell r="Q894" t="str">
            <v>SSP</v>
          </cell>
          <cell r="R894" t="str">
            <v>SANTOS</v>
          </cell>
        </row>
        <row r="895">
          <cell r="A895" t="str">
            <v>EDUARDO AUGUSTO PAIVA DA COSTA</v>
          </cell>
          <cell r="B895" t="str">
            <v>Casado</v>
          </cell>
          <cell r="C895" t="str">
            <v>AV Affonso Penna</v>
          </cell>
          <cell r="D895" t="str">
            <v>Macuco</v>
          </cell>
          <cell r="E895" t="str">
            <v>SANTOS</v>
          </cell>
          <cell r="F895" t="str">
            <v>SP</v>
          </cell>
          <cell r="G895" t="str">
            <v>363</v>
          </cell>
          <cell r="H895" t="str">
            <v>AP 21</v>
          </cell>
          <cell r="I895" t="str">
            <v>11020-001</v>
          </cell>
          <cell r="J895" t="str">
            <v/>
          </cell>
          <cell r="K895" t="str">
            <v/>
          </cell>
          <cell r="L895" t="str">
            <v>Masculino</v>
          </cell>
          <cell r="M895" t="str">
            <v>Preta/Negra</v>
          </cell>
          <cell r="N895">
            <v>30612</v>
          </cell>
          <cell r="O895" t="str">
            <v>349601847</v>
          </cell>
          <cell r="P895" t="str">
            <v>SP</v>
          </cell>
          <cell r="Q895" t="str">
            <v>SSP</v>
          </cell>
          <cell r="R895" t="str">
            <v>SANTOS</v>
          </cell>
        </row>
        <row r="896">
          <cell r="A896" t="str">
            <v>PAUL CASSIUS GOMES RICARDO</v>
          </cell>
          <cell r="B896" t="str">
            <v>Casado</v>
          </cell>
          <cell r="C896" t="str">
            <v>TV Massao Chida</v>
          </cell>
          <cell r="D896" t="str">
            <v>Estuario</v>
          </cell>
          <cell r="E896" t="str">
            <v>SANTOS</v>
          </cell>
          <cell r="F896" t="str">
            <v>SP</v>
          </cell>
          <cell r="G896" t="str">
            <v>12</v>
          </cell>
          <cell r="H896" t="str">
            <v/>
          </cell>
          <cell r="I896" t="str">
            <v>11025-065</v>
          </cell>
          <cell r="J896" t="str">
            <v>974052553</v>
          </cell>
          <cell r="K896" t="str">
            <v/>
          </cell>
          <cell r="L896" t="str">
            <v>Masculino</v>
          </cell>
          <cell r="M896" t="str">
            <v>Parda</v>
          </cell>
          <cell r="N896">
            <v>29655</v>
          </cell>
          <cell r="O896" t="str">
            <v>245714844</v>
          </cell>
          <cell r="P896" t="str">
            <v>SP</v>
          </cell>
          <cell r="Q896" t="str">
            <v>SSP</v>
          </cell>
          <cell r="R896" t="str">
            <v>SANTOS</v>
          </cell>
        </row>
        <row r="897">
          <cell r="A897" t="str">
            <v>JACKSON ARAUJO SANTOS</v>
          </cell>
          <cell r="B897" t="str">
            <v>Casado</v>
          </cell>
          <cell r="C897" t="str">
            <v>R José Alves de Oliveira</v>
          </cell>
          <cell r="D897" t="str">
            <v>Jardim Las Palmas</v>
          </cell>
          <cell r="E897" t="str">
            <v>GUARUJA</v>
          </cell>
          <cell r="F897" t="str">
            <v>SP</v>
          </cell>
          <cell r="G897" t="str">
            <v>240</v>
          </cell>
          <cell r="H897" t="str">
            <v/>
          </cell>
          <cell r="I897" t="str">
            <v>11420-445</v>
          </cell>
          <cell r="J897" t="str">
            <v>981304947</v>
          </cell>
          <cell r="K897" t="str">
            <v/>
          </cell>
          <cell r="L897" t="str">
            <v>Masculino</v>
          </cell>
          <cell r="M897" t="str">
            <v>Parda</v>
          </cell>
          <cell r="N897">
            <v>26403</v>
          </cell>
          <cell r="O897" t="str">
            <v>250076767</v>
          </cell>
          <cell r="P897" t="str">
            <v>SP</v>
          </cell>
          <cell r="Q897" t="str">
            <v>SSP</v>
          </cell>
          <cell r="R897" t="str">
            <v>SANTOS</v>
          </cell>
        </row>
        <row r="898">
          <cell r="A898" t="str">
            <v>FLAVIO JOSE DE MELO</v>
          </cell>
          <cell r="B898" t="str">
            <v>Casado</v>
          </cell>
          <cell r="C898" t="str">
            <v>R Doutor Guilherme Álvaro</v>
          </cell>
          <cell r="D898" t="str">
            <v>Marapé</v>
          </cell>
          <cell r="E898" t="str">
            <v>SANTOS</v>
          </cell>
          <cell r="F898" t="str">
            <v>SP</v>
          </cell>
          <cell r="G898" t="str">
            <v>42</v>
          </cell>
          <cell r="H898" t="str">
            <v>ap 101b</v>
          </cell>
          <cell r="I898" t="str">
            <v>11070-370</v>
          </cell>
          <cell r="J898" t="str">
            <v>991191011</v>
          </cell>
          <cell r="K898" t="str">
            <v/>
          </cell>
          <cell r="L898" t="str">
            <v>Masculino</v>
          </cell>
          <cell r="M898" t="str">
            <v>Parda</v>
          </cell>
          <cell r="N898">
            <v>26432</v>
          </cell>
          <cell r="O898" t="str">
            <v>230344902</v>
          </cell>
          <cell r="P898" t="str">
            <v>SP</v>
          </cell>
          <cell r="Q898" t="str">
            <v>SSP</v>
          </cell>
          <cell r="R898" t="str">
            <v>SANTOS</v>
          </cell>
        </row>
        <row r="899">
          <cell r="A899" t="str">
            <v>KAUE GUEDES DA SILVA</v>
          </cell>
          <cell r="B899" t="str">
            <v>Casado</v>
          </cell>
          <cell r="C899" t="str">
            <v>R Luíz Custódio do Valle</v>
          </cell>
          <cell r="D899" t="str">
            <v>Balneario Praia do P</v>
          </cell>
          <cell r="E899" t="str">
            <v>GUARUJA</v>
          </cell>
          <cell r="F899" t="str">
            <v>SP</v>
          </cell>
          <cell r="G899" t="str">
            <v>480</v>
          </cell>
          <cell r="H899" t="str">
            <v/>
          </cell>
          <cell r="I899" t="str">
            <v>11444-680</v>
          </cell>
          <cell r="J899" t="str">
            <v>996293506</v>
          </cell>
          <cell r="K899" t="str">
            <v/>
          </cell>
          <cell r="L899" t="str">
            <v>Masculino</v>
          </cell>
          <cell r="M899" t="str">
            <v>Parda</v>
          </cell>
          <cell r="N899">
            <v>33064</v>
          </cell>
          <cell r="O899" t="str">
            <v>486212622</v>
          </cell>
          <cell r="P899" t="str">
            <v>SP</v>
          </cell>
          <cell r="Q899" t="str">
            <v>SSP</v>
          </cell>
          <cell r="R899" t="str">
            <v>SANTOS</v>
          </cell>
        </row>
        <row r="900">
          <cell r="A900" t="str">
            <v>EVERTON LUIZ PUGLIESE ALMEIDA</v>
          </cell>
          <cell r="B900" t="str">
            <v>Solteiro</v>
          </cell>
          <cell r="C900" t="str">
            <v>R Estância</v>
          </cell>
          <cell r="D900" t="str">
            <v>Jardim Paraíso</v>
          </cell>
          <cell r="E900" t="str">
            <v>SAO VICENTE</v>
          </cell>
          <cell r="F900" t="str">
            <v>SP</v>
          </cell>
          <cell r="G900" t="str">
            <v>232</v>
          </cell>
          <cell r="H900" t="str">
            <v/>
          </cell>
          <cell r="I900" t="str">
            <v>11370-590</v>
          </cell>
          <cell r="J900" t="str">
            <v>974065277</v>
          </cell>
          <cell r="K900" t="str">
            <v/>
          </cell>
          <cell r="L900" t="str">
            <v>Masculino</v>
          </cell>
          <cell r="M900" t="str">
            <v>Parda</v>
          </cell>
          <cell r="N900">
            <v>29703</v>
          </cell>
          <cell r="O900" t="str">
            <v>350423684</v>
          </cell>
          <cell r="P900" t="str">
            <v>SP</v>
          </cell>
          <cell r="Q900" t="str">
            <v>SSP</v>
          </cell>
          <cell r="R900" t="str">
            <v>SAO VICENTE</v>
          </cell>
        </row>
        <row r="901">
          <cell r="A901" t="str">
            <v>SIDNEI VIEIRA SANTOS DE LIMA</v>
          </cell>
          <cell r="B901" t="str">
            <v>Casado</v>
          </cell>
          <cell r="C901" t="str">
            <v>AV das Nações Unidas</v>
          </cell>
          <cell r="D901" t="str">
            <v>Vila Margarida</v>
          </cell>
          <cell r="E901" t="str">
            <v>SAO VICENTE</v>
          </cell>
          <cell r="F901" t="str">
            <v>SP</v>
          </cell>
          <cell r="G901" t="str">
            <v>299</v>
          </cell>
          <cell r="H901" t="str">
            <v>CS 06</v>
          </cell>
          <cell r="I901" t="str">
            <v>11330-300</v>
          </cell>
          <cell r="J901" t="str">
            <v>991829992</v>
          </cell>
          <cell r="K901" t="str">
            <v/>
          </cell>
          <cell r="L901" t="str">
            <v>Masculino</v>
          </cell>
          <cell r="M901" t="str">
            <v>Parda</v>
          </cell>
          <cell r="N901">
            <v>30705</v>
          </cell>
          <cell r="O901" t="str">
            <v>343505770</v>
          </cell>
          <cell r="P901" t="str">
            <v>SP</v>
          </cell>
          <cell r="Q901" t="str">
            <v>SSP</v>
          </cell>
          <cell r="R901" t="str">
            <v>SAO VICENTE</v>
          </cell>
        </row>
        <row r="902">
          <cell r="A902" t="str">
            <v>DANYLO BRITO DOS SANTOS</v>
          </cell>
          <cell r="B902" t="str">
            <v>Casado</v>
          </cell>
          <cell r="C902" t="str">
            <v>R Plínio Barreto</v>
          </cell>
          <cell r="D902" t="str">
            <v>Vila Jockei Clube</v>
          </cell>
          <cell r="E902" t="str">
            <v>SAO VICENTE</v>
          </cell>
          <cell r="F902" t="str">
            <v>SP</v>
          </cell>
          <cell r="G902" t="str">
            <v>45</v>
          </cell>
          <cell r="H902" t="str">
            <v/>
          </cell>
          <cell r="I902" t="str">
            <v>11360-310</v>
          </cell>
          <cell r="J902" t="str">
            <v>988138554</v>
          </cell>
          <cell r="K902" t="str">
            <v/>
          </cell>
          <cell r="L902" t="str">
            <v>Masculino</v>
          </cell>
          <cell r="M902" t="str">
            <v>Parda</v>
          </cell>
          <cell r="N902">
            <v>30287</v>
          </cell>
          <cell r="O902" t="str">
            <v>418831105</v>
          </cell>
          <cell r="P902" t="str">
            <v>SP</v>
          </cell>
          <cell r="Q902" t="str">
            <v>SSP</v>
          </cell>
          <cell r="R902" t="str">
            <v>SAO VICENTE</v>
          </cell>
        </row>
        <row r="903">
          <cell r="A903" t="str">
            <v>ROGERIO DA SILVA BULHOES</v>
          </cell>
          <cell r="B903" t="str">
            <v>Casado</v>
          </cell>
          <cell r="C903" t="str">
            <v>R Doutor Roberto de Almeida Vinhas</v>
          </cell>
          <cell r="D903" t="str">
            <v>Vila Sao Jorge</v>
          </cell>
          <cell r="E903" t="str">
            <v>SAO VICENTE</v>
          </cell>
          <cell r="F903" t="str">
            <v>SP</v>
          </cell>
          <cell r="G903" t="str">
            <v>32</v>
          </cell>
          <cell r="H903" t="str">
            <v/>
          </cell>
          <cell r="I903" t="str">
            <v>11380-190</v>
          </cell>
          <cell r="J903" t="str">
            <v>996218867</v>
          </cell>
          <cell r="K903" t="str">
            <v/>
          </cell>
          <cell r="L903" t="str">
            <v>Masculino</v>
          </cell>
          <cell r="M903" t="str">
            <v>Parda</v>
          </cell>
          <cell r="N903">
            <v>23109</v>
          </cell>
          <cell r="O903" t="str">
            <v>127365370</v>
          </cell>
          <cell r="P903" t="str">
            <v>SP</v>
          </cell>
          <cell r="Q903" t="str">
            <v>SSP</v>
          </cell>
          <cell r="R903" t="str">
            <v>SANTOS</v>
          </cell>
        </row>
        <row r="904">
          <cell r="A904" t="str">
            <v>CILENE APPARECIDA TURATTI</v>
          </cell>
          <cell r="B904" t="str">
            <v>Solteiro</v>
          </cell>
          <cell r="C904" t="str">
            <v>AV Lauro Gomes</v>
          </cell>
          <cell r="D904" t="str">
            <v>Rudge Ramos</v>
          </cell>
          <cell r="E904" t="str">
            <v>SAO BERNARDO DO CAMPO</v>
          </cell>
          <cell r="F904" t="str">
            <v>SP</v>
          </cell>
          <cell r="G904" t="str">
            <v>5901</v>
          </cell>
          <cell r="H904" t="str">
            <v>BL 01 APTO 152</v>
          </cell>
          <cell r="I904" t="str">
            <v>09635-010</v>
          </cell>
          <cell r="J904" t="str">
            <v>983898507</v>
          </cell>
          <cell r="K904" t="str">
            <v/>
          </cell>
          <cell r="L904" t="str">
            <v>Feminino</v>
          </cell>
          <cell r="M904" t="str">
            <v>Parda</v>
          </cell>
          <cell r="N904">
            <v>25495</v>
          </cell>
          <cell r="O904" t="str">
            <v>19650398X</v>
          </cell>
          <cell r="P904" t="str">
            <v>SP</v>
          </cell>
          <cell r="Q904" t="str">
            <v>SSP</v>
          </cell>
          <cell r="R904" t="str">
            <v>SAO PAULO</v>
          </cell>
        </row>
        <row r="905">
          <cell r="A905" t="str">
            <v>LUCIMAURO AQUINO PONTES</v>
          </cell>
          <cell r="B905" t="str">
            <v>Casado</v>
          </cell>
          <cell r="C905" t="str">
            <v>R Duarte da Costa</v>
          </cell>
          <cell r="D905" t="str">
            <v>Aviação</v>
          </cell>
          <cell r="E905" t="str">
            <v>PRAIA GRANDE</v>
          </cell>
          <cell r="F905" t="str">
            <v>SP</v>
          </cell>
          <cell r="G905" t="str">
            <v>369</v>
          </cell>
          <cell r="H905" t="str">
            <v>Casa</v>
          </cell>
          <cell r="I905" t="str">
            <v>11702-650</v>
          </cell>
          <cell r="J905" t="str">
            <v>982246198</v>
          </cell>
          <cell r="K905" t="str">
            <v/>
          </cell>
          <cell r="L905" t="str">
            <v>Masculino</v>
          </cell>
          <cell r="M905" t="str">
            <v>Parda</v>
          </cell>
          <cell r="N905">
            <v>28011</v>
          </cell>
          <cell r="O905" t="str">
            <v>28039424X</v>
          </cell>
          <cell r="P905" t="str">
            <v>SP</v>
          </cell>
          <cell r="Q905" t="str">
            <v>SSP</v>
          </cell>
          <cell r="R905" t="str">
            <v>SAO VICENTE</v>
          </cell>
        </row>
        <row r="906">
          <cell r="A906" t="str">
            <v>HENRIQUE DOS SANTOS BOLANHO</v>
          </cell>
          <cell r="B906" t="str">
            <v>Solteiro</v>
          </cell>
          <cell r="C906" t="str">
            <v>R CUNHA MOREIRA</v>
          </cell>
          <cell r="D906" t="str">
            <v>Encruzilhada</v>
          </cell>
          <cell r="E906" t="str">
            <v>SANTOS</v>
          </cell>
          <cell r="F906" t="str">
            <v>SP</v>
          </cell>
          <cell r="G906" t="str">
            <v>188</v>
          </cell>
          <cell r="H906" t="str">
            <v>APTO 21</v>
          </cell>
          <cell r="I906" t="str">
            <v>11050-241</v>
          </cell>
          <cell r="J906" t="str">
            <v>33072185</v>
          </cell>
          <cell r="K906" t="str">
            <v/>
          </cell>
          <cell r="L906" t="str">
            <v>Masculino</v>
          </cell>
          <cell r="M906" t="str">
            <v>Parda</v>
          </cell>
          <cell r="N906">
            <v>32604</v>
          </cell>
          <cell r="O906" t="str">
            <v>450558319</v>
          </cell>
          <cell r="P906" t="str">
            <v>SP</v>
          </cell>
          <cell r="Q906" t="str">
            <v>SSP</v>
          </cell>
          <cell r="R906" t="str">
            <v>SAO VICENTE</v>
          </cell>
        </row>
        <row r="907">
          <cell r="A907" t="str">
            <v>PAULO ROBERTO DA SILVA</v>
          </cell>
          <cell r="B907" t="str">
            <v>Solteiro</v>
          </cell>
          <cell r="C907" t="str">
            <v>R Treze de Maio</v>
          </cell>
          <cell r="D907" t="str">
            <v>Vila Nova</v>
          </cell>
          <cell r="E907" t="str">
            <v>SANTOS</v>
          </cell>
          <cell r="F907" t="str">
            <v>SP</v>
          </cell>
          <cell r="G907" t="str">
            <v>25</v>
          </cell>
          <cell r="H907" t="str">
            <v>APTO 03</v>
          </cell>
          <cell r="I907" t="str">
            <v>11015-545</v>
          </cell>
          <cell r="J907" t="str">
            <v>997302504</v>
          </cell>
          <cell r="K907" t="str">
            <v/>
          </cell>
          <cell r="L907" t="str">
            <v>Masculino</v>
          </cell>
          <cell r="M907" t="str">
            <v>Parda</v>
          </cell>
          <cell r="N907">
            <v>27248</v>
          </cell>
          <cell r="O907" t="str">
            <v>26248884X</v>
          </cell>
          <cell r="P907" t="str">
            <v>SP</v>
          </cell>
          <cell r="Q907" t="str">
            <v>SSP</v>
          </cell>
          <cell r="R907" t="str">
            <v>SANTOS</v>
          </cell>
        </row>
        <row r="908">
          <cell r="A908" t="str">
            <v>JOAO CARLOS DE OLIVEIRA</v>
          </cell>
          <cell r="B908" t="str">
            <v>Casado</v>
          </cell>
          <cell r="C908" t="str">
            <v>AV Beira Mar</v>
          </cell>
          <cell r="D908" t="str">
            <v>Jardim Casqueiro</v>
          </cell>
          <cell r="E908" t="str">
            <v>CUBATAO</v>
          </cell>
          <cell r="F908" t="str">
            <v>SP</v>
          </cell>
          <cell r="G908" t="str">
            <v>1385</v>
          </cell>
          <cell r="H908" t="str">
            <v>CASA FUNDOS</v>
          </cell>
          <cell r="I908" t="str">
            <v>11530-080</v>
          </cell>
          <cell r="J908" t="str">
            <v>991499080</v>
          </cell>
          <cell r="K908" t="str">
            <v/>
          </cell>
          <cell r="L908" t="str">
            <v>Masculino</v>
          </cell>
          <cell r="M908" t="str">
            <v>Parda</v>
          </cell>
          <cell r="N908">
            <v>25238</v>
          </cell>
          <cell r="O908" t="str">
            <v>166997766</v>
          </cell>
          <cell r="P908" t="str">
            <v>SP</v>
          </cell>
          <cell r="Q908" t="str">
            <v>SSP</v>
          </cell>
          <cell r="R908" t="str">
            <v>CUBATAO</v>
          </cell>
        </row>
        <row r="909">
          <cell r="A909" t="str">
            <v>MARCOS ALVES DA FONSECA</v>
          </cell>
          <cell r="B909" t="str">
            <v>Casado</v>
          </cell>
          <cell r="C909" t="str">
            <v>R Xavier Pinheiro</v>
          </cell>
          <cell r="D909" t="str">
            <v>Vila Mathias</v>
          </cell>
          <cell r="E909" t="str">
            <v>SANTOS</v>
          </cell>
          <cell r="F909" t="str">
            <v>SP</v>
          </cell>
          <cell r="G909" t="str">
            <v>132</v>
          </cell>
          <cell r="H909" t="str">
            <v>APTO 36</v>
          </cell>
          <cell r="I909" t="str">
            <v>11015-090</v>
          </cell>
          <cell r="J909" t="str">
            <v>982070227</v>
          </cell>
          <cell r="K909" t="str">
            <v/>
          </cell>
          <cell r="L909" t="str">
            <v>Masculino</v>
          </cell>
          <cell r="M909" t="str">
            <v>Parda</v>
          </cell>
          <cell r="N909">
            <v>31095</v>
          </cell>
          <cell r="O909" t="str">
            <v>437320224</v>
          </cell>
          <cell r="P909" t="str">
            <v>SP</v>
          </cell>
          <cell r="Q909" t="str">
            <v>SSP</v>
          </cell>
          <cell r="R909" t="str">
            <v>SANTOS</v>
          </cell>
        </row>
        <row r="910">
          <cell r="A910" t="str">
            <v>FELIPE SANTOS DO CARMO</v>
          </cell>
          <cell r="B910" t="str">
            <v>Solteiro</v>
          </cell>
          <cell r="C910" t="str">
            <v>R do Caminho São José</v>
          </cell>
          <cell r="D910" t="str">
            <v>Rádio Clube</v>
          </cell>
          <cell r="E910" t="str">
            <v>SANTOS</v>
          </cell>
          <cell r="F910" t="str">
            <v>SP</v>
          </cell>
          <cell r="G910" t="str">
            <v>30</v>
          </cell>
          <cell r="H910" t="str">
            <v>Casa</v>
          </cell>
          <cell r="I910" t="str">
            <v>11088-500</v>
          </cell>
          <cell r="J910" t="str">
            <v>991318298</v>
          </cell>
          <cell r="K910" t="str">
            <v/>
          </cell>
          <cell r="L910" t="str">
            <v>Masculino</v>
          </cell>
          <cell r="M910" t="str">
            <v>Parda</v>
          </cell>
          <cell r="N910">
            <v>30300</v>
          </cell>
          <cell r="O910" t="str">
            <v>354886344</v>
          </cell>
          <cell r="P910" t="str">
            <v>SP</v>
          </cell>
          <cell r="Q910" t="str">
            <v>SSP</v>
          </cell>
          <cell r="R910" t="str">
            <v>SANTOS</v>
          </cell>
        </row>
        <row r="911">
          <cell r="A911" t="str">
            <v>RODRIGO ALVES DE FRANCA</v>
          </cell>
          <cell r="B911" t="str">
            <v>Solteiro</v>
          </cell>
          <cell r="C911" t="str">
            <v>R João Baptista Furlani</v>
          </cell>
          <cell r="D911" t="str">
            <v>Jardim Progresso (Vi</v>
          </cell>
          <cell r="E911" t="str">
            <v>GUARUJA</v>
          </cell>
          <cell r="F911" t="str">
            <v>SP</v>
          </cell>
          <cell r="G911" t="str">
            <v>122</v>
          </cell>
          <cell r="H911" t="str">
            <v>CASA B</v>
          </cell>
          <cell r="I911" t="str">
            <v>11453-030</v>
          </cell>
          <cell r="J911" t="str">
            <v>997035919</v>
          </cell>
          <cell r="K911" t="str">
            <v/>
          </cell>
          <cell r="L911" t="str">
            <v>Masculino</v>
          </cell>
          <cell r="M911" t="str">
            <v>Parda</v>
          </cell>
          <cell r="N911">
            <v>29228</v>
          </cell>
          <cell r="O911" t="str">
            <v>258179697</v>
          </cell>
          <cell r="P911" t="str">
            <v>SP</v>
          </cell>
          <cell r="Q911" t="str">
            <v>SSP</v>
          </cell>
          <cell r="R911" t="str">
            <v>SANTOS</v>
          </cell>
        </row>
        <row r="912">
          <cell r="A912" t="str">
            <v>HUMBERTO DA SILVA SANTOS</v>
          </cell>
          <cell r="B912" t="str">
            <v>Casado</v>
          </cell>
          <cell r="C912" t="str">
            <v>R Josefa Herminia Calda</v>
          </cell>
          <cell r="D912" t="str">
            <v>Jardim Progresso (Vi</v>
          </cell>
          <cell r="E912" t="str">
            <v>GUARUJA</v>
          </cell>
          <cell r="F912" t="str">
            <v>SP</v>
          </cell>
          <cell r="G912" t="str">
            <v>163</v>
          </cell>
          <cell r="H912" t="str">
            <v>Sobrado</v>
          </cell>
          <cell r="I912" t="str">
            <v>11453-230</v>
          </cell>
          <cell r="J912" t="str">
            <v>996931447</v>
          </cell>
          <cell r="K912" t="str">
            <v/>
          </cell>
          <cell r="L912" t="str">
            <v>Masculino</v>
          </cell>
          <cell r="M912" t="str">
            <v>Parda</v>
          </cell>
          <cell r="N912">
            <v>28834</v>
          </cell>
          <cell r="O912" t="str">
            <v>326763041</v>
          </cell>
          <cell r="P912" t="str">
            <v>SP</v>
          </cell>
          <cell r="Q912" t="str">
            <v>SSP</v>
          </cell>
          <cell r="R912" t="str">
            <v>SANTOS</v>
          </cell>
        </row>
        <row r="913">
          <cell r="A913" t="str">
            <v>WEVERLLYN EMMANOEL SOARES DO NASCIMENTO</v>
          </cell>
          <cell r="B913" t="str">
            <v>Casado</v>
          </cell>
          <cell r="C913" t="str">
            <v>AV Professora Heleny Rosa</v>
          </cell>
          <cell r="D913" t="str">
            <v>Melvi</v>
          </cell>
          <cell r="E913" t="str">
            <v>PRAIA GRANDE</v>
          </cell>
          <cell r="F913" t="str">
            <v>SP</v>
          </cell>
          <cell r="G913" t="str">
            <v>1209</v>
          </cell>
          <cell r="H913" t="str">
            <v/>
          </cell>
          <cell r="I913" t="str">
            <v>11712-150</v>
          </cell>
          <cell r="J913" t="str">
            <v>997019829</v>
          </cell>
          <cell r="K913" t="str">
            <v/>
          </cell>
          <cell r="L913" t="str">
            <v>Masculino</v>
          </cell>
          <cell r="M913" t="str">
            <v>Parda</v>
          </cell>
          <cell r="N913">
            <v>29855</v>
          </cell>
          <cell r="O913" t="str">
            <v>36026797X</v>
          </cell>
          <cell r="P913" t="str">
            <v>SP</v>
          </cell>
          <cell r="Q913" t="str">
            <v>SSP</v>
          </cell>
          <cell r="R913" t="str">
            <v>CUBATAO</v>
          </cell>
        </row>
        <row r="914">
          <cell r="A914" t="str">
            <v>JOSE CLAUDIO MIGUEL DOS SANTOS</v>
          </cell>
          <cell r="B914" t="str">
            <v>Casado</v>
          </cell>
          <cell r="C914" t="str">
            <v>R L</v>
          </cell>
          <cell r="D914" t="str">
            <v>Jardim Rio Negro</v>
          </cell>
          <cell r="E914" t="str">
            <v>SAO VICENTE</v>
          </cell>
          <cell r="F914" t="str">
            <v>SP</v>
          </cell>
          <cell r="G914" t="str">
            <v>156</v>
          </cell>
          <cell r="H914" t="str">
            <v/>
          </cell>
          <cell r="I914" t="str">
            <v>11347-435</v>
          </cell>
          <cell r="J914" t="str">
            <v>996080004</v>
          </cell>
          <cell r="K914" t="str">
            <v/>
          </cell>
          <cell r="L914" t="str">
            <v>Masculino</v>
          </cell>
          <cell r="M914" t="str">
            <v>Parda</v>
          </cell>
          <cell r="N914">
            <v>31336</v>
          </cell>
          <cell r="O914" t="str">
            <v>37651537</v>
          </cell>
          <cell r="P914" t="str">
            <v>SP</v>
          </cell>
          <cell r="Q914" t="str">
            <v>SSP</v>
          </cell>
          <cell r="R914" t="str">
            <v>SAO MIGUEL DOS CAMPOS</v>
          </cell>
        </row>
        <row r="915">
          <cell r="A915" t="str">
            <v>LUCIANO DOMINGUES DE ABREU</v>
          </cell>
          <cell r="B915" t="str">
            <v>Casado</v>
          </cell>
          <cell r="C915" t="str">
            <v>R Coronel Proost de Sousa</v>
          </cell>
          <cell r="D915" t="str">
            <v>Embare</v>
          </cell>
          <cell r="E915" t="str">
            <v>SANTOS</v>
          </cell>
          <cell r="F915" t="str">
            <v>SP</v>
          </cell>
          <cell r="G915" t="str">
            <v>38</v>
          </cell>
          <cell r="H915" t="str">
            <v>APTO 81</v>
          </cell>
          <cell r="I915" t="str">
            <v>11040-090</v>
          </cell>
          <cell r="J915" t="str">
            <v>991117346</v>
          </cell>
          <cell r="K915" t="str">
            <v/>
          </cell>
          <cell r="L915" t="str">
            <v>Masculino</v>
          </cell>
          <cell r="M915" t="str">
            <v>Parda</v>
          </cell>
          <cell r="N915">
            <v>27205</v>
          </cell>
          <cell r="O915" t="str">
            <v>266358263</v>
          </cell>
          <cell r="P915" t="str">
            <v>SP</v>
          </cell>
          <cell r="Q915" t="str">
            <v>SSP</v>
          </cell>
          <cell r="R915" t="str">
            <v>SANTOS</v>
          </cell>
        </row>
        <row r="916">
          <cell r="A916" t="str">
            <v>FABIO IRINEU SANTOS</v>
          </cell>
          <cell r="B916" t="str">
            <v>União Estável</v>
          </cell>
          <cell r="C916" t="str">
            <v>R Frederico Ozanam</v>
          </cell>
          <cell r="D916" t="str">
            <v>José Menino</v>
          </cell>
          <cell r="E916" t="str">
            <v>SANTOS</v>
          </cell>
          <cell r="F916" t="str">
            <v>SP</v>
          </cell>
          <cell r="G916" t="str">
            <v>07</v>
          </cell>
          <cell r="H916" t="str">
            <v>Ap. 103</v>
          </cell>
          <cell r="I916" t="str">
            <v>11065-240</v>
          </cell>
          <cell r="J916" t="str">
            <v>974081934</v>
          </cell>
          <cell r="K916" t="str">
            <v/>
          </cell>
          <cell r="L916" t="str">
            <v>Masculino</v>
          </cell>
          <cell r="M916" t="str">
            <v>Parda</v>
          </cell>
          <cell r="N916">
            <v>27665</v>
          </cell>
          <cell r="O916" t="str">
            <v>212499105</v>
          </cell>
          <cell r="P916" t="str">
            <v>SP</v>
          </cell>
          <cell r="Q916" t="str">
            <v>SSP</v>
          </cell>
          <cell r="R916" t="str">
            <v>SANTOS</v>
          </cell>
        </row>
        <row r="917">
          <cell r="A917" t="str">
            <v>MARCOS PASSOS DE OLIVEIRA</v>
          </cell>
          <cell r="B917" t="str">
            <v>Solteiro</v>
          </cell>
          <cell r="C917" t="str">
            <v>R Monteiro Lobato</v>
          </cell>
          <cell r="D917" t="str">
            <v>Sítio Paecara (Vicen</v>
          </cell>
          <cell r="E917" t="str">
            <v>GUARUJA</v>
          </cell>
          <cell r="F917" t="str">
            <v>SP</v>
          </cell>
          <cell r="G917" t="str">
            <v>503</v>
          </cell>
          <cell r="H917" t="str">
            <v/>
          </cell>
          <cell r="I917" t="str">
            <v>11451-350</v>
          </cell>
          <cell r="J917" t="str">
            <v/>
          </cell>
          <cell r="K917" t="str">
            <v/>
          </cell>
          <cell r="L917" t="str">
            <v>Masculino</v>
          </cell>
          <cell r="M917" t="str">
            <v>Parda</v>
          </cell>
          <cell r="N917">
            <v>25345</v>
          </cell>
          <cell r="O917" t="str">
            <v>189953251</v>
          </cell>
          <cell r="P917" t="str">
            <v>SP</v>
          </cell>
          <cell r="Q917" t="str">
            <v>SSP</v>
          </cell>
          <cell r="R917" t="str">
            <v>GUARUJA</v>
          </cell>
        </row>
        <row r="918">
          <cell r="A918" t="str">
            <v>ARNALDO ALVAREZ COUTO DE OLIVEIRA</v>
          </cell>
          <cell r="B918" t="str">
            <v>Casado</v>
          </cell>
          <cell r="C918" t="str">
            <v>R Professor Nelson Espíndola Lobato</v>
          </cell>
          <cell r="D918" t="str">
            <v>Rádio Clube</v>
          </cell>
          <cell r="E918" t="str">
            <v>SANTOS</v>
          </cell>
          <cell r="F918" t="str">
            <v>SP</v>
          </cell>
          <cell r="G918" t="str">
            <v>69</v>
          </cell>
          <cell r="H918" t="str">
            <v>QD 6 CASA 69</v>
          </cell>
          <cell r="I918" t="str">
            <v>11088-330</v>
          </cell>
          <cell r="J918" t="str">
            <v>32995266</v>
          </cell>
          <cell r="K918" t="str">
            <v/>
          </cell>
          <cell r="L918" t="str">
            <v>Masculino</v>
          </cell>
          <cell r="M918" t="str">
            <v>Parda</v>
          </cell>
          <cell r="N918">
            <v>25339</v>
          </cell>
          <cell r="O918" t="str">
            <v>18991807</v>
          </cell>
          <cell r="P918" t="str">
            <v>SP</v>
          </cell>
          <cell r="Q918" t="str">
            <v>SSP</v>
          </cell>
          <cell r="R918" t="str">
            <v>SANTOS</v>
          </cell>
        </row>
        <row r="919">
          <cell r="A919" t="str">
            <v>ERONIDES VIANA DOS SANTOS JUNIOR</v>
          </cell>
          <cell r="B919" t="str">
            <v>Casado</v>
          </cell>
          <cell r="C919" t="str">
            <v>TV Francisco Alves</v>
          </cell>
          <cell r="D919" t="str">
            <v>Sítio Paecara (Vicen</v>
          </cell>
          <cell r="E919" t="str">
            <v>GUARUJA</v>
          </cell>
          <cell r="F919" t="str">
            <v>SP</v>
          </cell>
          <cell r="G919" t="str">
            <v>16</v>
          </cell>
          <cell r="H919" t="str">
            <v/>
          </cell>
          <cell r="I919" t="str">
            <v>11450-310</v>
          </cell>
          <cell r="J919" t="str">
            <v>33521493</v>
          </cell>
          <cell r="K919" t="str">
            <v/>
          </cell>
          <cell r="L919" t="str">
            <v>Masculino</v>
          </cell>
          <cell r="M919" t="str">
            <v>Parda</v>
          </cell>
          <cell r="N919">
            <v>29564</v>
          </cell>
          <cell r="O919" t="str">
            <v>284842564</v>
          </cell>
          <cell r="P919" t="str">
            <v>SP</v>
          </cell>
          <cell r="Q919" t="str">
            <v>SSP</v>
          </cell>
          <cell r="R919" t="str">
            <v>GUARUJA</v>
          </cell>
        </row>
        <row r="920">
          <cell r="A920" t="str">
            <v>HILDO ROQUE DE OLIVEIRA</v>
          </cell>
          <cell r="B920" t="str">
            <v>Casado</v>
          </cell>
          <cell r="C920" t="str">
            <v>R Nelly Gomes Ayres</v>
          </cell>
          <cell r="D920" t="str">
            <v>Parque Enseada</v>
          </cell>
          <cell r="E920" t="str">
            <v>GUARUJA</v>
          </cell>
          <cell r="F920" t="str">
            <v>SP</v>
          </cell>
          <cell r="G920" t="str">
            <v>171</v>
          </cell>
          <cell r="H920" t="str">
            <v>APTO 10</v>
          </cell>
          <cell r="I920" t="str">
            <v>11443-020</v>
          </cell>
          <cell r="J920" t="str">
            <v>991589293</v>
          </cell>
          <cell r="K920" t="str">
            <v/>
          </cell>
          <cell r="L920" t="str">
            <v>Masculino</v>
          </cell>
          <cell r="M920" t="str">
            <v>Parda</v>
          </cell>
          <cell r="N920">
            <v>24317</v>
          </cell>
          <cell r="O920" t="str">
            <v>194810318</v>
          </cell>
          <cell r="P920" t="str">
            <v>SP</v>
          </cell>
          <cell r="Q920" t="str">
            <v>SSP</v>
          </cell>
          <cell r="R920" t="str">
            <v>GUARUJA</v>
          </cell>
        </row>
        <row r="921">
          <cell r="A921" t="str">
            <v>LUIS GUSTAVO FERREIRA ANJOS</v>
          </cell>
          <cell r="B921" t="str">
            <v>Casado</v>
          </cell>
          <cell r="C921" t="str">
            <v>R Quinze de Novembro</v>
          </cell>
          <cell r="D921" t="str">
            <v>Centro</v>
          </cell>
          <cell r="E921" t="str">
            <v>SAO VICENTE</v>
          </cell>
          <cell r="F921" t="str">
            <v>SP</v>
          </cell>
          <cell r="G921" t="str">
            <v>77</v>
          </cell>
          <cell r="H921" t="str">
            <v>31</v>
          </cell>
          <cell r="I921" t="str">
            <v>11310-400</v>
          </cell>
          <cell r="J921" t="str">
            <v>997715877</v>
          </cell>
          <cell r="K921" t="str">
            <v/>
          </cell>
          <cell r="L921" t="str">
            <v>Masculino</v>
          </cell>
          <cell r="M921" t="str">
            <v>Parda</v>
          </cell>
          <cell r="N921">
            <v>24799</v>
          </cell>
          <cell r="O921" t="str">
            <v>180615841</v>
          </cell>
          <cell r="P921" t="str">
            <v>SP</v>
          </cell>
          <cell r="Q921" t="str">
            <v>SSP</v>
          </cell>
          <cell r="R921" t="str">
            <v>SANTOS</v>
          </cell>
        </row>
        <row r="922">
          <cell r="A922" t="str">
            <v>WILLIAM PEREIRA DE ANDRADE</v>
          </cell>
          <cell r="B922" t="str">
            <v>União Estável</v>
          </cell>
          <cell r="C922" t="str">
            <v>R Magdalena Valentino</v>
          </cell>
          <cell r="D922" t="str">
            <v>Jardim Irmã Dolores</v>
          </cell>
          <cell r="E922" t="str">
            <v>SAO VICENTE</v>
          </cell>
          <cell r="F922" t="str">
            <v>SP</v>
          </cell>
          <cell r="G922" t="str">
            <v>405</v>
          </cell>
          <cell r="H922" t="str">
            <v/>
          </cell>
          <cell r="I922" t="str">
            <v>11347-480</v>
          </cell>
          <cell r="J922" t="str">
            <v>982178474</v>
          </cell>
          <cell r="K922" t="str">
            <v/>
          </cell>
          <cell r="L922" t="str">
            <v>Masculino</v>
          </cell>
          <cell r="M922" t="str">
            <v>Parda</v>
          </cell>
          <cell r="N922">
            <v>28427</v>
          </cell>
          <cell r="O922" t="str">
            <v>285352830</v>
          </cell>
          <cell r="P922" t="str">
            <v>SP</v>
          </cell>
          <cell r="Q922" t="str">
            <v>SSP</v>
          </cell>
          <cell r="R922" t="str">
            <v>SANTOS</v>
          </cell>
        </row>
        <row r="923">
          <cell r="A923" t="str">
            <v>LEANDRO ALBUQUERQUE LINHARES</v>
          </cell>
          <cell r="B923" t="str">
            <v>Casado</v>
          </cell>
          <cell r="C923" t="str">
            <v>R Doutor Bernardo Browne</v>
          </cell>
          <cell r="D923" t="str">
            <v>Estuario</v>
          </cell>
          <cell r="E923" t="str">
            <v>SANTOS</v>
          </cell>
          <cell r="F923" t="str">
            <v>SP</v>
          </cell>
          <cell r="G923" t="str">
            <v>91</v>
          </cell>
          <cell r="H923" t="str">
            <v>CASA</v>
          </cell>
          <cell r="I923" t="str">
            <v>11025-240</v>
          </cell>
          <cell r="J923" t="str">
            <v>21383522</v>
          </cell>
          <cell r="K923" t="str">
            <v/>
          </cell>
          <cell r="L923" t="str">
            <v>Masculino</v>
          </cell>
          <cell r="M923" t="str">
            <v>Parda</v>
          </cell>
          <cell r="N923">
            <v>26363</v>
          </cell>
          <cell r="O923" t="str">
            <v>204586975</v>
          </cell>
          <cell r="P923" t="str">
            <v>SP</v>
          </cell>
          <cell r="Q923" t="str">
            <v>SSP</v>
          </cell>
          <cell r="R923" t="str">
            <v>SANTOS</v>
          </cell>
        </row>
        <row r="924">
          <cell r="A924" t="str">
            <v>MARCOS ROBERTO SOARES DA SILVA</v>
          </cell>
          <cell r="B924" t="str">
            <v>Casado</v>
          </cell>
          <cell r="C924" t="str">
            <v>R Perpétua de Oliveira Freitas</v>
          </cell>
          <cell r="D924" t="str">
            <v>Jardim Rio Branco</v>
          </cell>
          <cell r="E924" t="str">
            <v>SAO VICENTE</v>
          </cell>
          <cell r="F924" t="str">
            <v>SP</v>
          </cell>
          <cell r="G924" t="str">
            <v>1131</v>
          </cell>
          <cell r="H924" t="str">
            <v>CASA 4</v>
          </cell>
          <cell r="I924" t="str">
            <v>11347-060</v>
          </cell>
          <cell r="J924" t="str">
            <v>997236867</v>
          </cell>
          <cell r="K924" t="str">
            <v/>
          </cell>
          <cell r="L924" t="str">
            <v>Masculino</v>
          </cell>
          <cell r="M924" t="str">
            <v>Parda</v>
          </cell>
          <cell r="N924">
            <v>29715</v>
          </cell>
          <cell r="O924" t="str">
            <v>323771646</v>
          </cell>
          <cell r="P924" t="str">
            <v>SP</v>
          </cell>
          <cell r="Q924" t="str">
            <v>SSP</v>
          </cell>
          <cell r="R924" t="str">
            <v>SAO VICENTE</v>
          </cell>
        </row>
        <row r="925">
          <cell r="A925" t="str">
            <v>JESSE RODRIGUES DOS SANTOS</v>
          </cell>
          <cell r="B925" t="str">
            <v>Casado</v>
          </cell>
          <cell r="C925" t="str">
            <v>R DAS CRAVINAS</v>
          </cell>
          <cell r="D925" t="str">
            <v>Jardim Primavera</v>
          </cell>
          <cell r="E925" t="str">
            <v>GUARUJA</v>
          </cell>
          <cell r="F925" t="str">
            <v>SP</v>
          </cell>
          <cell r="G925" t="str">
            <v>172</v>
          </cell>
          <cell r="H925" t="str">
            <v>CASA 3</v>
          </cell>
          <cell r="I925" t="str">
            <v>11432-310</v>
          </cell>
          <cell r="J925" t="str">
            <v>981666292</v>
          </cell>
          <cell r="K925" t="str">
            <v/>
          </cell>
          <cell r="L925" t="str">
            <v>Masculino</v>
          </cell>
          <cell r="M925" t="str">
            <v>Parda</v>
          </cell>
          <cell r="N925">
            <v>29437</v>
          </cell>
          <cell r="O925" t="str">
            <v>329966126</v>
          </cell>
          <cell r="P925" t="str">
            <v>SP</v>
          </cell>
          <cell r="Q925" t="str">
            <v>SSP</v>
          </cell>
          <cell r="R925" t="str">
            <v>GUARUJA</v>
          </cell>
        </row>
        <row r="926">
          <cell r="A926" t="str">
            <v>ALEXANDRO PEREIRA DE CARVALHO</v>
          </cell>
          <cell r="B926" t="str">
            <v>Casado</v>
          </cell>
          <cell r="C926" t="str">
            <v>AV Primavera</v>
          </cell>
          <cell r="D926" t="str">
            <v>Jardim Primavera</v>
          </cell>
          <cell r="E926" t="str">
            <v>GUARUJA</v>
          </cell>
          <cell r="F926" t="str">
            <v>SP</v>
          </cell>
          <cell r="G926" t="str">
            <v>181</v>
          </cell>
          <cell r="H926" t="str">
            <v/>
          </cell>
          <cell r="I926" t="str">
            <v>11431-210</v>
          </cell>
          <cell r="J926" t="str">
            <v>974035926</v>
          </cell>
          <cell r="K926" t="str">
            <v/>
          </cell>
          <cell r="L926" t="str">
            <v>Masculino</v>
          </cell>
          <cell r="M926" t="str">
            <v>Parda</v>
          </cell>
          <cell r="N926">
            <v>26130</v>
          </cell>
          <cell r="O926" t="str">
            <v>196551742</v>
          </cell>
          <cell r="P926" t="str">
            <v>SP</v>
          </cell>
          <cell r="Q926" t="str">
            <v>SSP</v>
          </cell>
          <cell r="R926" t="str">
            <v>GUARUJA</v>
          </cell>
        </row>
        <row r="927">
          <cell r="A927" t="str">
            <v>EDUARDO LUIZ FERREIRA CAMARGO</v>
          </cell>
          <cell r="B927" t="str">
            <v>Solteiro</v>
          </cell>
          <cell r="C927" t="str">
            <v>R Vergueiro Steidel</v>
          </cell>
          <cell r="D927" t="str">
            <v>Aparecida</v>
          </cell>
          <cell r="E927" t="str">
            <v>SANTOS</v>
          </cell>
          <cell r="F927" t="str">
            <v>SP</v>
          </cell>
          <cell r="G927" t="str">
            <v>375</v>
          </cell>
          <cell r="H927" t="str">
            <v>AP 307 PORTA 4</v>
          </cell>
          <cell r="I927" t="str">
            <v>11040-271</v>
          </cell>
          <cell r="J927" t="str">
            <v>971507746</v>
          </cell>
          <cell r="K927" t="str">
            <v/>
          </cell>
          <cell r="L927" t="str">
            <v>Masculino</v>
          </cell>
          <cell r="M927" t="str">
            <v>Parda</v>
          </cell>
          <cell r="N927">
            <v>28989</v>
          </cell>
          <cell r="O927" t="str">
            <v>283626987</v>
          </cell>
          <cell r="P927" t="str">
            <v>SP</v>
          </cell>
          <cell r="Q927" t="str">
            <v>SSP</v>
          </cell>
          <cell r="R927" t="str">
            <v>SANTOS</v>
          </cell>
        </row>
        <row r="928">
          <cell r="A928" t="str">
            <v>SAMUEL SILVA DE MELO</v>
          </cell>
          <cell r="B928" t="str">
            <v>Casado</v>
          </cell>
          <cell r="C928" t="str">
            <v>R Diogo Jacome</v>
          </cell>
          <cell r="D928" t="str">
            <v>Cidade Nautica</v>
          </cell>
          <cell r="E928" t="str">
            <v>SAO VICENTE</v>
          </cell>
          <cell r="F928" t="str">
            <v>SP</v>
          </cell>
          <cell r="G928" t="str">
            <v>162</v>
          </cell>
          <cell r="H928" t="str">
            <v>APTO 02</v>
          </cell>
          <cell r="I928" t="str">
            <v>11350-360</v>
          </cell>
          <cell r="J928" t="str">
            <v>988438808</v>
          </cell>
          <cell r="K928" t="str">
            <v/>
          </cell>
          <cell r="L928" t="str">
            <v>Masculino</v>
          </cell>
          <cell r="M928" t="str">
            <v>Parda</v>
          </cell>
          <cell r="N928">
            <v>31139</v>
          </cell>
          <cell r="O928" t="str">
            <v>400703208</v>
          </cell>
          <cell r="P928" t="str">
            <v>SP</v>
          </cell>
          <cell r="Q928" t="str">
            <v>SSP</v>
          </cell>
          <cell r="R928" t="str">
            <v>SANTOS</v>
          </cell>
        </row>
        <row r="929">
          <cell r="A929" t="str">
            <v>EDINALDO AUGUSTO DE OLIVEIRA</v>
          </cell>
          <cell r="B929" t="str">
            <v>Casado</v>
          </cell>
          <cell r="C929" t="str">
            <v>AV Milton de Oliveira</v>
          </cell>
          <cell r="D929" t="str">
            <v>Melvi</v>
          </cell>
          <cell r="E929" t="str">
            <v>PRAIA GRANDE</v>
          </cell>
          <cell r="F929" t="str">
            <v>SP</v>
          </cell>
          <cell r="G929" t="str">
            <v>797</v>
          </cell>
          <cell r="H929" t="str">
            <v>CASA 10</v>
          </cell>
          <cell r="I929" t="str">
            <v>11712-000</v>
          </cell>
          <cell r="J929" t="str">
            <v>974229616</v>
          </cell>
          <cell r="K929" t="str">
            <v/>
          </cell>
          <cell r="L929" t="str">
            <v>Masculino</v>
          </cell>
          <cell r="M929" t="str">
            <v>Parda</v>
          </cell>
          <cell r="N929">
            <v>31620</v>
          </cell>
          <cell r="O929" t="str">
            <v>426444292</v>
          </cell>
          <cell r="P929" t="str">
            <v>SP</v>
          </cell>
          <cell r="Q929" t="str">
            <v>SSP</v>
          </cell>
          <cell r="R929" t="str">
            <v>PRAIA GRANDE</v>
          </cell>
        </row>
        <row r="930">
          <cell r="A930" t="str">
            <v>MARCEL GIANI PONTES</v>
          </cell>
          <cell r="B930" t="str">
            <v>Casado</v>
          </cell>
          <cell r="C930" t="str">
            <v>AV Doutor Bernardino de Campos</v>
          </cell>
          <cell r="D930" t="str">
            <v>Pompéia</v>
          </cell>
          <cell r="E930" t="str">
            <v>SANTOS</v>
          </cell>
          <cell r="F930" t="str">
            <v>SP</v>
          </cell>
          <cell r="G930" t="str">
            <v>630</v>
          </cell>
          <cell r="H930" t="str">
            <v>APTO 04</v>
          </cell>
          <cell r="I930" t="str">
            <v>11065-000</v>
          </cell>
          <cell r="J930" t="str">
            <v>997211120</v>
          </cell>
          <cell r="K930" t="str">
            <v/>
          </cell>
          <cell r="L930" t="str">
            <v>Masculino</v>
          </cell>
          <cell r="M930" t="str">
            <v>Parda</v>
          </cell>
          <cell r="N930">
            <v>23888</v>
          </cell>
          <cell r="O930" t="str">
            <v>155969705</v>
          </cell>
          <cell r="P930" t="str">
            <v>SP</v>
          </cell>
          <cell r="Q930" t="str">
            <v>SSP</v>
          </cell>
          <cell r="R930" t="str">
            <v>REGISTRO</v>
          </cell>
        </row>
        <row r="931">
          <cell r="A931" t="str">
            <v>FABIANO NUNES DA SILVA</v>
          </cell>
          <cell r="B931" t="str">
            <v>Casado</v>
          </cell>
          <cell r="C931" t="str">
            <v>R Gonçalves Ledo</v>
          </cell>
          <cell r="D931" t="str">
            <v>Campo Grande</v>
          </cell>
          <cell r="E931" t="str">
            <v>SANTOS</v>
          </cell>
          <cell r="F931" t="str">
            <v>SP</v>
          </cell>
          <cell r="G931" t="str">
            <v>191</v>
          </cell>
          <cell r="H931" t="str">
            <v>APTO 13</v>
          </cell>
          <cell r="I931" t="str">
            <v>11070-331</v>
          </cell>
          <cell r="J931" t="str">
            <v/>
          </cell>
          <cell r="K931" t="str">
            <v/>
          </cell>
          <cell r="L931" t="str">
            <v>Masculino</v>
          </cell>
          <cell r="M931" t="str">
            <v>Parda</v>
          </cell>
          <cell r="N931">
            <v>28209</v>
          </cell>
          <cell r="O931" t="str">
            <v>305899120</v>
          </cell>
          <cell r="P931" t="str">
            <v>SP</v>
          </cell>
          <cell r="Q931" t="str">
            <v>SSP</v>
          </cell>
          <cell r="R931" t="str">
            <v>SANTOS</v>
          </cell>
        </row>
        <row r="932">
          <cell r="A932" t="str">
            <v>JOAO CARLOS REZENDE PEREIRA</v>
          </cell>
          <cell r="B932" t="str">
            <v>Divorciado</v>
          </cell>
          <cell r="C932" t="str">
            <v>R Doutor Germano Melchert</v>
          </cell>
          <cell r="D932" t="str">
            <v>Embare</v>
          </cell>
          <cell r="E932" t="str">
            <v>SANTOS</v>
          </cell>
          <cell r="F932" t="str">
            <v>SP</v>
          </cell>
          <cell r="G932" t="str">
            <v>26</v>
          </cell>
          <cell r="H932" t="str">
            <v>BL B APTO 23</v>
          </cell>
          <cell r="I932" t="str">
            <v>11045-210</v>
          </cell>
          <cell r="J932" t="str">
            <v>981999800</v>
          </cell>
          <cell r="K932" t="str">
            <v/>
          </cell>
          <cell r="L932" t="str">
            <v>Masculino</v>
          </cell>
          <cell r="M932" t="str">
            <v>Parda</v>
          </cell>
          <cell r="N932">
            <v>31067</v>
          </cell>
          <cell r="O932" t="str">
            <v>423846115</v>
          </cell>
          <cell r="P932" t="str">
            <v>SP</v>
          </cell>
          <cell r="Q932" t="str">
            <v>SSP</v>
          </cell>
          <cell r="R932" t="str">
            <v>SANTOS</v>
          </cell>
        </row>
        <row r="933">
          <cell r="A933" t="str">
            <v>ALEXANDRE DOS SANTOS</v>
          </cell>
          <cell r="B933" t="str">
            <v>Casado</v>
          </cell>
          <cell r="C933" t="str">
            <v>R GONCALVES LEDO</v>
          </cell>
          <cell r="D933" t="str">
            <v>Campo Grande</v>
          </cell>
          <cell r="E933" t="str">
            <v>SANTOS</v>
          </cell>
          <cell r="F933" t="str">
            <v>SP</v>
          </cell>
          <cell r="G933" t="str">
            <v>216</v>
          </cell>
          <cell r="H933" t="str">
            <v>APTO 21</v>
          </cell>
          <cell r="I933" t="str">
            <v>11070-331</v>
          </cell>
          <cell r="J933" t="str">
            <v>988223691</v>
          </cell>
          <cell r="K933" t="str">
            <v/>
          </cell>
          <cell r="L933" t="str">
            <v>Masculino</v>
          </cell>
          <cell r="M933" t="str">
            <v>Parda</v>
          </cell>
          <cell r="N933">
            <v>26760</v>
          </cell>
          <cell r="O933" t="str">
            <v>230363805</v>
          </cell>
          <cell r="P933" t="str">
            <v>SP</v>
          </cell>
          <cell r="Q933" t="str">
            <v>SSP</v>
          </cell>
          <cell r="R933" t="str">
            <v>SANTOS</v>
          </cell>
        </row>
        <row r="934">
          <cell r="A934" t="str">
            <v>SILVIO JUSTINO DOS SANTOS</v>
          </cell>
          <cell r="B934" t="str">
            <v>Casado</v>
          </cell>
          <cell r="C934" t="str">
            <v>R Rosa Marli de Souza</v>
          </cell>
          <cell r="D934" t="str">
            <v>Mirim</v>
          </cell>
          <cell r="E934" t="str">
            <v>PRAIA GRANDE</v>
          </cell>
          <cell r="F934" t="str">
            <v>SP</v>
          </cell>
          <cell r="G934" t="str">
            <v>256</v>
          </cell>
          <cell r="H934" t="str">
            <v>LOTE 52</v>
          </cell>
          <cell r="I934" t="str">
            <v>11705-080</v>
          </cell>
          <cell r="J934" t="str">
            <v>988740999</v>
          </cell>
          <cell r="K934" t="str">
            <v/>
          </cell>
          <cell r="L934" t="str">
            <v>Masculino</v>
          </cell>
          <cell r="M934" t="str">
            <v>Parda</v>
          </cell>
          <cell r="N934">
            <v>25403</v>
          </cell>
          <cell r="O934" t="str">
            <v>196568560</v>
          </cell>
          <cell r="P934" t="str">
            <v>SP</v>
          </cell>
          <cell r="Q934" t="str">
            <v>SSP</v>
          </cell>
          <cell r="R934" t="str">
            <v>GUARUJA</v>
          </cell>
        </row>
        <row r="935">
          <cell r="A935" t="str">
            <v>LEANDRO DIAS VILLA VERDE</v>
          </cell>
          <cell r="B935" t="str">
            <v>Solteiro</v>
          </cell>
          <cell r="C935" t="str">
            <v>R Silva Jardim</v>
          </cell>
          <cell r="D935" t="str">
            <v>Vila Mathias</v>
          </cell>
          <cell r="E935" t="str">
            <v>SANTOS</v>
          </cell>
          <cell r="F935" t="str">
            <v>SP</v>
          </cell>
          <cell r="G935" t="str">
            <v>310</v>
          </cell>
          <cell r="H935" t="str">
            <v>Casa 1</v>
          </cell>
          <cell r="I935" t="str">
            <v>11015-020</v>
          </cell>
          <cell r="J935" t="str">
            <v>978281010</v>
          </cell>
          <cell r="K935" t="str">
            <v>991641132</v>
          </cell>
          <cell r="L935" t="str">
            <v>Masculino</v>
          </cell>
          <cell r="M935" t="str">
            <v>Parda</v>
          </cell>
          <cell r="N935">
            <v>31003</v>
          </cell>
          <cell r="O935" t="str">
            <v>421673850</v>
          </cell>
          <cell r="P935" t="str">
            <v>SP</v>
          </cell>
          <cell r="Q935" t="str">
            <v>SSP</v>
          </cell>
          <cell r="R935" t="str">
            <v>SANTOS</v>
          </cell>
        </row>
        <row r="936">
          <cell r="A936" t="str">
            <v>THIAGO ORIVALDO DE OLIVEIRA</v>
          </cell>
          <cell r="B936" t="str">
            <v>União Estável</v>
          </cell>
          <cell r="C936" t="str">
            <v>R Silas Baltazar de Araújo</v>
          </cell>
          <cell r="D936" t="str">
            <v>Vila Antártica</v>
          </cell>
          <cell r="E936" t="str">
            <v>PRAIA GRANDE</v>
          </cell>
          <cell r="F936" t="str">
            <v>SP</v>
          </cell>
          <cell r="G936" t="str">
            <v>327</v>
          </cell>
          <cell r="H936" t="str">
            <v>Casa 5</v>
          </cell>
          <cell r="I936" t="str">
            <v>11720-140</v>
          </cell>
          <cell r="J936" t="str">
            <v>996765732</v>
          </cell>
          <cell r="K936" t="str">
            <v>981688974</v>
          </cell>
          <cell r="L936" t="str">
            <v>Masculino</v>
          </cell>
          <cell r="M936" t="str">
            <v>Parda</v>
          </cell>
          <cell r="N936">
            <v>30359</v>
          </cell>
          <cell r="O936" t="str">
            <v>419441207</v>
          </cell>
          <cell r="P936" t="str">
            <v>SP</v>
          </cell>
          <cell r="Q936" t="str">
            <v>SSP</v>
          </cell>
          <cell r="R936" t="str">
            <v>GUARULHOS</v>
          </cell>
        </row>
        <row r="937">
          <cell r="A937" t="str">
            <v>MARCIO LUIS FERNANDES</v>
          </cell>
          <cell r="B937" t="str">
            <v>Casado</v>
          </cell>
          <cell r="C937" t="str">
            <v>R CAMPOS SALES</v>
          </cell>
          <cell r="D937" t="str">
            <v>Vila Júlia</v>
          </cell>
          <cell r="E937" t="str">
            <v>GUARUJA</v>
          </cell>
          <cell r="F937" t="str">
            <v>SP</v>
          </cell>
          <cell r="G937" t="str">
            <v>211</v>
          </cell>
          <cell r="H937" t="str">
            <v>AP 31</v>
          </cell>
          <cell r="I937" t="str">
            <v>11440-060</v>
          </cell>
          <cell r="J937" t="str">
            <v>996029728</v>
          </cell>
          <cell r="K937" t="str">
            <v>33293143</v>
          </cell>
          <cell r="L937" t="str">
            <v>Masculino</v>
          </cell>
          <cell r="M937" t="str">
            <v>Parda</v>
          </cell>
          <cell r="N937">
            <v>26454</v>
          </cell>
          <cell r="O937" t="str">
            <v>256372329</v>
          </cell>
          <cell r="P937" t="str">
            <v>SP</v>
          </cell>
          <cell r="Q937" t="str">
            <v>SSP</v>
          </cell>
          <cell r="R937" t="str">
            <v>SANTOS</v>
          </cell>
        </row>
        <row r="938">
          <cell r="A938" t="str">
            <v>LUIZ INACIO DE CARVALHO</v>
          </cell>
          <cell r="B938" t="str">
            <v>Casado</v>
          </cell>
          <cell r="C938" t="str">
            <v>R Ézio da Costa Gama</v>
          </cell>
          <cell r="D938" t="str">
            <v>Jardim Boa Esperança</v>
          </cell>
          <cell r="E938" t="str">
            <v>GUARUJA</v>
          </cell>
          <cell r="F938" t="str">
            <v>SP</v>
          </cell>
          <cell r="G938" t="str">
            <v>205</v>
          </cell>
          <cell r="H938" t="str">
            <v>CASA</v>
          </cell>
          <cell r="I938" t="str">
            <v>11471-050</v>
          </cell>
          <cell r="J938" t="str">
            <v>33576198</v>
          </cell>
          <cell r="K938" t="str">
            <v/>
          </cell>
          <cell r="L938" t="str">
            <v>Masculino</v>
          </cell>
          <cell r="M938" t="str">
            <v>Parda</v>
          </cell>
          <cell r="N938">
            <v>26674</v>
          </cell>
          <cell r="O938" t="str">
            <v>242694251</v>
          </cell>
          <cell r="P938" t="str">
            <v>SP</v>
          </cell>
          <cell r="Q938" t="str">
            <v>SSP</v>
          </cell>
          <cell r="R938" t="str">
            <v>GUARUJA</v>
          </cell>
        </row>
        <row r="939">
          <cell r="A939" t="str">
            <v>LUIZ HENRIQUE DO NASCIMENTO</v>
          </cell>
          <cell r="B939" t="str">
            <v>Casado</v>
          </cell>
          <cell r="C939" t="str">
            <v>R Alice Machado de Azevedo</v>
          </cell>
          <cell r="D939" t="str">
            <v>Cidade Nautica</v>
          </cell>
          <cell r="E939" t="str">
            <v>SAO VICENTE</v>
          </cell>
          <cell r="F939" t="str">
            <v>SP</v>
          </cell>
          <cell r="G939" t="str">
            <v>1314</v>
          </cell>
          <cell r="H939" t="str">
            <v>CASA 2</v>
          </cell>
          <cell r="I939" t="str">
            <v>11355-020</v>
          </cell>
          <cell r="J939" t="str">
            <v>974039258</v>
          </cell>
          <cell r="K939" t="str">
            <v/>
          </cell>
          <cell r="L939" t="str">
            <v>Masculino</v>
          </cell>
          <cell r="M939" t="str">
            <v>Parda</v>
          </cell>
          <cell r="N939">
            <v>30474</v>
          </cell>
          <cell r="O939" t="str">
            <v>301415821</v>
          </cell>
          <cell r="P939" t="str">
            <v>SP</v>
          </cell>
          <cell r="Q939" t="str">
            <v>SSP</v>
          </cell>
          <cell r="R939" t="str">
            <v>SANTOS</v>
          </cell>
        </row>
        <row r="940">
          <cell r="A940" t="str">
            <v>FERNANDO LIMA DOS SANTOS</v>
          </cell>
          <cell r="B940" t="str">
            <v>Casado</v>
          </cell>
          <cell r="C940" t="str">
            <v>R Valentim Bouças</v>
          </cell>
          <cell r="D940" t="str">
            <v>Areia Branca</v>
          </cell>
          <cell r="E940" t="str">
            <v>SANTOS</v>
          </cell>
          <cell r="F940" t="str">
            <v>SP</v>
          </cell>
          <cell r="G940" t="str">
            <v>96</v>
          </cell>
          <cell r="H940" t="str">
            <v/>
          </cell>
          <cell r="I940" t="str">
            <v>11086-300</v>
          </cell>
          <cell r="J940" t="str">
            <v>974058836</v>
          </cell>
          <cell r="K940" t="str">
            <v/>
          </cell>
          <cell r="L940" t="str">
            <v>Masculino</v>
          </cell>
          <cell r="M940" t="str">
            <v>Parda</v>
          </cell>
          <cell r="N940">
            <v>31020</v>
          </cell>
          <cell r="O940" t="str">
            <v>296119866</v>
          </cell>
          <cell r="P940" t="str">
            <v>SP</v>
          </cell>
          <cell r="Q940" t="str">
            <v>SSP</v>
          </cell>
          <cell r="R940" t="str">
            <v>SANTOS</v>
          </cell>
        </row>
        <row r="941">
          <cell r="A941" t="str">
            <v>LEONARDO PEREIRA DOS SANTOS</v>
          </cell>
          <cell r="B941" t="str">
            <v>Casado</v>
          </cell>
          <cell r="C941" t="str">
            <v>R Nove</v>
          </cell>
          <cell r="D941" t="str">
            <v>Morro Penha</v>
          </cell>
          <cell r="E941" t="str">
            <v>SANTOS</v>
          </cell>
          <cell r="F941" t="str">
            <v>SP</v>
          </cell>
          <cell r="G941" t="str">
            <v>323</v>
          </cell>
          <cell r="H941" t="str">
            <v/>
          </cell>
          <cell r="I941" t="str">
            <v>11081-290</v>
          </cell>
          <cell r="J941" t="str">
            <v>997081464</v>
          </cell>
          <cell r="K941" t="str">
            <v/>
          </cell>
          <cell r="L941" t="str">
            <v>Masculino</v>
          </cell>
          <cell r="M941" t="str">
            <v>Parda</v>
          </cell>
          <cell r="N941">
            <v>32142</v>
          </cell>
          <cell r="O941" t="str">
            <v>441652372</v>
          </cell>
          <cell r="P941" t="str">
            <v>SP</v>
          </cell>
          <cell r="Q941" t="str">
            <v>SSP</v>
          </cell>
          <cell r="R941" t="str">
            <v>SANTOS</v>
          </cell>
        </row>
        <row r="942">
          <cell r="A942" t="str">
            <v>MARCELO DE JESUS SILVA</v>
          </cell>
          <cell r="B942" t="str">
            <v>Casado</v>
          </cell>
          <cell r="C942" t="str">
            <v>R José Bonifácio</v>
          </cell>
          <cell r="D942" t="str">
            <v>Centro</v>
          </cell>
          <cell r="E942" t="str">
            <v>SAO VICENTE</v>
          </cell>
          <cell r="F942" t="str">
            <v>SP</v>
          </cell>
          <cell r="G942" t="str">
            <v>211</v>
          </cell>
          <cell r="H942" t="str">
            <v>801</v>
          </cell>
          <cell r="I942" t="str">
            <v>11310-080</v>
          </cell>
          <cell r="J942" t="str">
            <v/>
          </cell>
          <cell r="K942" t="str">
            <v>991293226</v>
          </cell>
          <cell r="L942" t="str">
            <v>Masculino</v>
          </cell>
          <cell r="M942" t="str">
            <v>Branca</v>
          </cell>
          <cell r="N942">
            <v>27432</v>
          </cell>
          <cell r="O942" t="str">
            <v>233488029</v>
          </cell>
          <cell r="P942" t="str">
            <v>SP</v>
          </cell>
          <cell r="Q942" t="str">
            <v>SSP</v>
          </cell>
          <cell r="R942" t="str">
            <v>OSASCO</v>
          </cell>
        </row>
        <row r="943">
          <cell r="A943" t="str">
            <v>ANTONIO WILSON SILVA</v>
          </cell>
          <cell r="B943" t="str">
            <v>Casado</v>
          </cell>
          <cell r="C943" t="str">
            <v>AV Santos Dumont</v>
          </cell>
          <cell r="D943" t="str">
            <v>Sítio Paecara (Vicen</v>
          </cell>
          <cell r="E943" t="str">
            <v>GUARUJA</v>
          </cell>
          <cell r="F943" t="str">
            <v>SP</v>
          </cell>
          <cell r="G943" t="str">
            <v>636</v>
          </cell>
          <cell r="H943" t="str">
            <v/>
          </cell>
          <cell r="I943" t="str">
            <v>11460-000</v>
          </cell>
          <cell r="J943" t="str">
            <v>997964720</v>
          </cell>
          <cell r="K943" t="str">
            <v>997964720</v>
          </cell>
          <cell r="L943" t="str">
            <v>Masculino</v>
          </cell>
          <cell r="M943" t="str">
            <v>Parda</v>
          </cell>
          <cell r="N943">
            <v>24429</v>
          </cell>
          <cell r="O943" t="str">
            <v>191910715</v>
          </cell>
          <cell r="P943" t="str">
            <v>SP</v>
          </cell>
          <cell r="Q943" t="str">
            <v>SSP</v>
          </cell>
          <cell r="R943" t="str">
            <v>BARRA DOS COQUEIROS</v>
          </cell>
        </row>
        <row r="944">
          <cell r="A944" t="str">
            <v>CARLOS ALBERTO DE ALMEIDA</v>
          </cell>
          <cell r="B944" t="str">
            <v>Casado</v>
          </cell>
          <cell r="C944" t="str">
            <v>AV Doutor Esmeraldo Soares Tarquínio Campos</v>
          </cell>
          <cell r="D944" t="str">
            <v>Ribeirópolis</v>
          </cell>
          <cell r="E944" t="str">
            <v>PRAIA GRANDE</v>
          </cell>
          <cell r="F944" t="str">
            <v>SP</v>
          </cell>
          <cell r="G944" t="str">
            <v>777</v>
          </cell>
          <cell r="H944" t="str">
            <v/>
          </cell>
          <cell r="I944" t="str">
            <v>11714-140</v>
          </cell>
          <cell r="J944" t="str">
            <v/>
          </cell>
          <cell r="K944" t="str">
            <v/>
          </cell>
          <cell r="L944" t="str">
            <v>Masculino</v>
          </cell>
          <cell r="M944" t="str">
            <v>Parda</v>
          </cell>
          <cell r="N944">
            <v>26501</v>
          </cell>
          <cell r="O944" t="str">
            <v>258177615</v>
          </cell>
          <cell r="P944" t="str">
            <v>SP</v>
          </cell>
          <cell r="Q944" t="str">
            <v>SSP</v>
          </cell>
          <cell r="R944" t="str">
            <v>GUARUJA</v>
          </cell>
        </row>
        <row r="945">
          <cell r="A945" t="str">
            <v>MAIKON ANDERSON CARDOSO DE LIMA</v>
          </cell>
          <cell r="B945" t="str">
            <v>Casado</v>
          </cell>
          <cell r="C945" t="str">
            <v>R João Almeida</v>
          </cell>
          <cell r="D945" t="str">
            <v>Vila Ligya</v>
          </cell>
          <cell r="E945" t="str">
            <v>GUARUJA</v>
          </cell>
          <cell r="F945" t="str">
            <v>SP</v>
          </cell>
          <cell r="G945" t="str">
            <v>34</v>
          </cell>
          <cell r="H945" t="str">
            <v/>
          </cell>
          <cell r="I945" t="str">
            <v>11430-370</v>
          </cell>
          <cell r="J945" t="str">
            <v>33237179</v>
          </cell>
          <cell r="K945" t="str">
            <v/>
          </cell>
          <cell r="L945" t="str">
            <v>Masculino</v>
          </cell>
          <cell r="M945" t="str">
            <v>Parda</v>
          </cell>
          <cell r="N945">
            <v>30538</v>
          </cell>
          <cell r="O945" t="str">
            <v>283250860</v>
          </cell>
          <cell r="P945" t="str">
            <v>SP</v>
          </cell>
          <cell r="Q945" t="str">
            <v>SSP</v>
          </cell>
          <cell r="R945" t="str">
            <v>PRAIA GRANDE</v>
          </cell>
        </row>
        <row r="946">
          <cell r="A946" t="str">
            <v>SERGIO OLIVEIRA DE ARRUDA</v>
          </cell>
          <cell r="B946" t="str">
            <v>Solteiro</v>
          </cell>
          <cell r="C946" t="str">
            <v>R Rosinha Garcia de Siqueira Viegas</v>
          </cell>
          <cell r="D946" t="str">
            <v>Jardim Rio Branco</v>
          </cell>
          <cell r="E946" t="str">
            <v>SAO VICENTE</v>
          </cell>
          <cell r="F946" t="str">
            <v>SP</v>
          </cell>
          <cell r="G946" t="str">
            <v>1341</v>
          </cell>
          <cell r="H946" t="str">
            <v/>
          </cell>
          <cell r="I946" t="str">
            <v>11347-050</v>
          </cell>
          <cell r="J946" t="str">
            <v>35766701</v>
          </cell>
          <cell r="K946" t="str">
            <v>991180271</v>
          </cell>
          <cell r="L946" t="str">
            <v>Masculino</v>
          </cell>
          <cell r="M946" t="str">
            <v>Parda</v>
          </cell>
          <cell r="N946">
            <v>29689</v>
          </cell>
          <cell r="O946" t="str">
            <v>326154061</v>
          </cell>
          <cell r="P946" t="str">
            <v>SP</v>
          </cell>
          <cell r="Q946" t="str">
            <v>SSP</v>
          </cell>
          <cell r="R946" t="str">
            <v>CUBATAO</v>
          </cell>
        </row>
        <row r="947">
          <cell r="A947" t="str">
            <v>RAFAEL DE BASTOS JOSINO</v>
          </cell>
          <cell r="B947" t="str">
            <v>Solteiro</v>
          </cell>
          <cell r="C947" t="str">
            <v>R Gérson Ferreira</v>
          </cell>
          <cell r="D947" t="str">
            <v>Sítio Paecara (Vicen</v>
          </cell>
          <cell r="E947" t="str">
            <v>GUARUJA</v>
          </cell>
          <cell r="F947" t="str">
            <v>SP</v>
          </cell>
          <cell r="G947" t="str">
            <v>139</v>
          </cell>
          <cell r="H947" t="str">
            <v/>
          </cell>
          <cell r="I947" t="str">
            <v>11461-650</v>
          </cell>
          <cell r="J947" t="str">
            <v>33422587</v>
          </cell>
          <cell r="K947" t="str">
            <v/>
          </cell>
          <cell r="L947" t="str">
            <v>Masculino</v>
          </cell>
          <cell r="M947" t="str">
            <v>Parda</v>
          </cell>
          <cell r="N947">
            <v>31682</v>
          </cell>
          <cell r="O947" t="str">
            <v>436072993</v>
          </cell>
          <cell r="P947" t="str">
            <v>SP</v>
          </cell>
          <cell r="Q947" t="str">
            <v>SSP</v>
          </cell>
          <cell r="R947" t="str">
            <v>GUARUJA</v>
          </cell>
        </row>
        <row r="948">
          <cell r="A948" t="str">
            <v>VINICIUS PINHEIRO INNOCENCIO</v>
          </cell>
          <cell r="B948" t="str">
            <v>Casado</v>
          </cell>
          <cell r="C948" t="str">
            <v>AV Odilon Maximiano dos Santos</v>
          </cell>
          <cell r="D948" t="str">
            <v>Morrinhos</v>
          </cell>
          <cell r="E948" t="str">
            <v>GUARUJA</v>
          </cell>
          <cell r="F948" t="str">
            <v>SP</v>
          </cell>
          <cell r="G948" t="str">
            <v>24</v>
          </cell>
          <cell r="H948" t="str">
            <v/>
          </cell>
          <cell r="I948" t="str">
            <v>11495-012</v>
          </cell>
          <cell r="J948" t="str">
            <v>996374081</v>
          </cell>
          <cell r="K948" t="str">
            <v/>
          </cell>
          <cell r="L948" t="str">
            <v>Masculino</v>
          </cell>
          <cell r="M948" t="str">
            <v>Parda</v>
          </cell>
          <cell r="N948">
            <v>33954</v>
          </cell>
          <cell r="O948" t="str">
            <v>491010503</v>
          </cell>
          <cell r="P948" t="str">
            <v>SP</v>
          </cell>
          <cell r="Q948" t="str">
            <v>SSP</v>
          </cell>
          <cell r="R948" t="str">
            <v>SANTOS</v>
          </cell>
        </row>
        <row r="949">
          <cell r="A949" t="str">
            <v>ARLINDO INACIO DOS SANTOS</v>
          </cell>
          <cell r="B949" t="str">
            <v>Solteiro</v>
          </cell>
          <cell r="C949" t="str">
            <v>R Torquato Dias</v>
          </cell>
          <cell r="D949" t="str">
            <v>Morro Nova Cintra</v>
          </cell>
          <cell r="E949" t="str">
            <v>SANTOS</v>
          </cell>
          <cell r="F949" t="str">
            <v>SP</v>
          </cell>
          <cell r="G949" t="str">
            <v>3591</v>
          </cell>
          <cell r="H949" t="str">
            <v>CASA 2</v>
          </cell>
          <cell r="I949" t="str">
            <v>11080-300</v>
          </cell>
          <cell r="J949" t="str">
            <v>32587187</v>
          </cell>
          <cell r="K949" t="str">
            <v/>
          </cell>
          <cell r="L949" t="str">
            <v>Masculino</v>
          </cell>
          <cell r="M949" t="str">
            <v>Parda</v>
          </cell>
          <cell r="N949">
            <v>35786</v>
          </cell>
          <cell r="O949" t="str">
            <v>373038094</v>
          </cell>
          <cell r="P949" t="str">
            <v>SP</v>
          </cell>
          <cell r="Q949" t="str">
            <v>SSP</v>
          </cell>
          <cell r="R949" t="str">
            <v>PALMEIRA DOS INDIOS</v>
          </cell>
        </row>
        <row r="950">
          <cell r="A950" t="str">
            <v>PAULO ROBERTO DOS ANJOS SALVINO</v>
          </cell>
          <cell r="B950" t="str">
            <v>Casado</v>
          </cell>
          <cell r="C950" t="str">
            <v>AV Galeão Coutinho</v>
          </cell>
          <cell r="D950" t="str">
            <v>Parque Sao Vicente</v>
          </cell>
          <cell r="E950" t="str">
            <v>SAO VICENTE</v>
          </cell>
          <cell r="F950" t="str">
            <v>SP</v>
          </cell>
          <cell r="G950" t="str">
            <v>1180</v>
          </cell>
          <cell r="H950" t="str">
            <v>casa</v>
          </cell>
          <cell r="I950" t="str">
            <v>11365-000</v>
          </cell>
          <cell r="J950" t="str">
            <v>988630550</v>
          </cell>
          <cell r="K950" t="str">
            <v/>
          </cell>
          <cell r="L950" t="str">
            <v>Masculino</v>
          </cell>
          <cell r="M950" t="str">
            <v>Parda</v>
          </cell>
          <cell r="N950">
            <v>32730</v>
          </cell>
          <cell r="O950" t="str">
            <v>48616950</v>
          </cell>
          <cell r="P950" t="str">
            <v>SP</v>
          </cell>
          <cell r="Q950" t="str">
            <v>SSP</v>
          </cell>
          <cell r="R950" t="str">
            <v>CUBATAO</v>
          </cell>
        </row>
        <row r="951">
          <cell r="A951" t="str">
            <v>WILLIAN JOSE OTACILIO DE SOUSA</v>
          </cell>
          <cell r="B951" t="str">
            <v>Casado</v>
          </cell>
          <cell r="C951" t="str">
            <v>R Adriano de Campos Tourinho</v>
          </cell>
          <cell r="D951" t="str">
            <v>Santa Maria</v>
          </cell>
          <cell r="E951" t="str">
            <v>SANTOS</v>
          </cell>
          <cell r="F951" t="str">
            <v>SP</v>
          </cell>
          <cell r="G951" t="str">
            <v>238</v>
          </cell>
          <cell r="H951" t="str">
            <v/>
          </cell>
          <cell r="I951" t="str">
            <v>11089-110</v>
          </cell>
          <cell r="J951" t="str">
            <v>991394669</v>
          </cell>
          <cell r="K951" t="str">
            <v/>
          </cell>
          <cell r="L951" t="str">
            <v>Masculino</v>
          </cell>
          <cell r="M951" t="str">
            <v>Parda</v>
          </cell>
          <cell r="N951">
            <v>30286</v>
          </cell>
          <cell r="O951" t="str">
            <v>295312518</v>
          </cell>
          <cell r="P951" t="str">
            <v>SP</v>
          </cell>
          <cell r="Q951" t="str">
            <v>SSP</v>
          </cell>
          <cell r="R951" t="str">
            <v>SAO VICENTE</v>
          </cell>
        </row>
        <row r="952">
          <cell r="A952" t="str">
            <v>GUILHERME DE SOUSA LUZ</v>
          </cell>
          <cell r="B952" t="str">
            <v>Solteiro</v>
          </cell>
          <cell r="C952" t="str">
            <v>R Ézio da Costa Gama</v>
          </cell>
          <cell r="D952" t="str">
            <v>Jardim Boa Esperança</v>
          </cell>
          <cell r="E952" t="str">
            <v>GUARUJA</v>
          </cell>
          <cell r="F952" t="str">
            <v>SP</v>
          </cell>
          <cell r="G952" t="str">
            <v>837</v>
          </cell>
          <cell r="H952" t="str">
            <v>CASA 3</v>
          </cell>
          <cell r="I952" t="str">
            <v>11471-050</v>
          </cell>
          <cell r="J952" t="str">
            <v>33555718</v>
          </cell>
          <cell r="K952" t="str">
            <v>981071344</v>
          </cell>
          <cell r="L952" t="str">
            <v>Masculino</v>
          </cell>
          <cell r="M952" t="str">
            <v>Parda</v>
          </cell>
          <cell r="N952">
            <v>29443</v>
          </cell>
          <cell r="O952" t="str">
            <v>334954356</v>
          </cell>
          <cell r="P952" t="str">
            <v>SP</v>
          </cell>
          <cell r="Q952" t="str">
            <v>SSP</v>
          </cell>
          <cell r="R952" t="str">
            <v>SANTOS</v>
          </cell>
        </row>
        <row r="953">
          <cell r="A953" t="str">
            <v>LUIZ LINS JUNIOR</v>
          </cell>
          <cell r="B953" t="str">
            <v>Casado</v>
          </cell>
          <cell r="C953" t="str">
            <v>R Áureo Barbara dos Santos</v>
          </cell>
          <cell r="D953" t="str">
            <v>Jardim Boa Esperança</v>
          </cell>
          <cell r="E953" t="str">
            <v>GUARUJA</v>
          </cell>
          <cell r="F953" t="str">
            <v>SP</v>
          </cell>
          <cell r="G953" t="str">
            <v>504</v>
          </cell>
          <cell r="H953" t="str">
            <v/>
          </cell>
          <cell r="I953" t="str">
            <v>11470-030</v>
          </cell>
          <cell r="J953" t="str">
            <v>981604299</v>
          </cell>
          <cell r="K953" t="str">
            <v/>
          </cell>
          <cell r="L953" t="str">
            <v>Masculino</v>
          </cell>
          <cell r="M953" t="str">
            <v>Parda</v>
          </cell>
          <cell r="N953">
            <v>28720</v>
          </cell>
          <cell r="O953" t="str">
            <v>274206973</v>
          </cell>
          <cell r="P953" t="str">
            <v>SP</v>
          </cell>
          <cell r="Q953" t="str">
            <v>SSP</v>
          </cell>
          <cell r="R953" t="str">
            <v>GUARUJA</v>
          </cell>
        </row>
        <row r="954">
          <cell r="A954" t="str">
            <v>CLAUDIO DE SANTANA</v>
          </cell>
          <cell r="B954" t="str">
            <v>Casado</v>
          </cell>
          <cell r="C954" t="str">
            <v>R Mecanizada Nove Mil e Duzentos</v>
          </cell>
          <cell r="D954" t="str">
            <v>Vila Jockei Clube</v>
          </cell>
          <cell r="E954" t="str">
            <v>SAO VICENTE</v>
          </cell>
          <cell r="F954" t="str">
            <v>SP</v>
          </cell>
          <cell r="G954" t="str">
            <v>31</v>
          </cell>
          <cell r="H954" t="str">
            <v/>
          </cell>
          <cell r="I954" t="str">
            <v>11360-600</v>
          </cell>
          <cell r="J954" t="str">
            <v>988667673</v>
          </cell>
          <cell r="K954" t="str">
            <v/>
          </cell>
          <cell r="L954" t="str">
            <v>Masculino</v>
          </cell>
          <cell r="M954" t="str">
            <v>Parda</v>
          </cell>
          <cell r="N954">
            <v>29453</v>
          </cell>
          <cell r="O954" t="str">
            <v>32228420X</v>
          </cell>
          <cell r="P954" t="str">
            <v>SP</v>
          </cell>
          <cell r="Q954" t="str">
            <v>SSP</v>
          </cell>
          <cell r="R954" t="str">
            <v>SANTOS</v>
          </cell>
        </row>
        <row r="955">
          <cell r="A955" t="str">
            <v>HUMBERTO LUIZ UTSUNOMIYA ALVES</v>
          </cell>
          <cell r="B955" t="str">
            <v>Casado</v>
          </cell>
          <cell r="C955" t="str">
            <v>AV PARIS</v>
          </cell>
          <cell r="D955" t="str">
            <v>Boqueirão</v>
          </cell>
          <cell r="E955" t="str">
            <v>PRAIA GRANDE</v>
          </cell>
          <cell r="F955" t="str">
            <v>SP</v>
          </cell>
          <cell r="G955" t="str">
            <v>748</v>
          </cell>
          <cell r="H955" t="str">
            <v>AP 121</v>
          </cell>
          <cell r="I955" t="str">
            <v>11700-080</v>
          </cell>
          <cell r="J955" t="str">
            <v>981469770</v>
          </cell>
          <cell r="K955" t="str">
            <v/>
          </cell>
          <cell r="L955" t="str">
            <v>Masculino</v>
          </cell>
          <cell r="M955" t="str">
            <v>Parda</v>
          </cell>
          <cell r="N955">
            <v>29378</v>
          </cell>
          <cell r="O955" t="str">
            <v>308098080</v>
          </cell>
          <cell r="P955" t="str">
            <v>SP</v>
          </cell>
          <cell r="Q955" t="str">
            <v>SSP</v>
          </cell>
          <cell r="R955" t="str">
            <v>SOROCABA</v>
          </cell>
        </row>
        <row r="956">
          <cell r="A956" t="str">
            <v>RAFAEL GUSTAVO DE LIMA</v>
          </cell>
          <cell r="B956" t="str">
            <v>Casado</v>
          </cell>
          <cell r="C956" t="str">
            <v>R Arthur Bernardes</v>
          </cell>
          <cell r="D956" t="str">
            <v>Parque Fernando Jorg</v>
          </cell>
          <cell r="E956" t="str">
            <v>CUBATAO</v>
          </cell>
          <cell r="F956" t="str">
            <v>SP</v>
          </cell>
          <cell r="G956" t="str">
            <v>297</v>
          </cell>
          <cell r="H956" t="str">
            <v/>
          </cell>
          <cell r="I956" t="str">
            <v>11500-260</v>
          </cell>
          <cell r="J956" t="str">
            <v>981267812</v>
          </cell>
          <cell r="K956" t="str">
            <v/>
          </cell>
          <cell r="L956" t="str">
            <v>Masculino</v>
          </cell>
          <cell r="M956" t="str">
            <v>Parda</v>
          </cell>
          <cell r="N956">
            <v>27832</v>
          </cell>
          <cell r="O956" t="str">
            <v>236708338</v>
          </cell>
          <cell r="P956" t="str">
            <v>SP</v>
          </cell>
          <cell r="Q956" t="str">
            <v>SSP</v>
          </cell>
          <cell r="R956" t="str">
            <v>CUBATAO</v>
          </cell>
        </row>
        <row r="957">
          <cell r="A957" t="str">
            <v>DIEGO FERREIRA DE OLIVEIRA</v>
          </cell>
          <cell r="B957" t="str">
            <v>Solteiro</v>
          </cell>
          <cell r="C957" t="str">
            <v>R José Benedito Henriques</v>
          </cell>
          <cell r="D957" t="str">
            <v>Catiapoa</v>
          </cell>
          <cell r="E957" t="str">
            <v>SAO VICENTE</v>
          </cell>
          <cell r="F957" t="str">
            <v>SP</v>
          </cell>
          <cell r="G957" t="str">
            <v>356</v>
          </cell>
          <cell r="H957" t="str">
            <v>BL B APT 43</v>
          </cell>
          <cell r="I957" t="str">
            <v>11390-430</v>
          </cell>
          <cell r="J957" t="str">
            <v>996788012</v>
          </cell>
          <cell r="K957" t="str">
            <v/>
          </cell>
          <cell r="L957" t="str">
            <v>Masculino</v>
          </cell>
          <cell r="M957" t="str">
            <v>Parda</v>
          </cell>
          <cell r="N957">
            <v>32624</v>
          </cell>
          <cell r="O957" t="str">
            <v>301296625</v>
          </cell>
          <cell r="P957" t="str">
            <v>SP</v>
          </cell>
          <cell r="Q957" t="str">
            <v>SSP</v>
          </cell>
          <cell r="R957" t="str">
            <v>SANTOS</v>
          </cell>
        </row>
        <row r="958">
          <cell r="A958" t="str">
            <v>PABLO CESAR DE SOUSA SANTOS</v>
          </cell>
          <cell r="B958" t="str">
            <v>Solteiro</v>
          </cell>
          <cell r="C958" t="str">
            <v>AV Vicente de Carvalho</v>
          </cell>
          <cell r="D958" t="str">
            <v>Jardim Esplanada do Castelo (Vicente de</v>
          </cell>
          <cell r="E958" t="str">
            <v>GUARUJA</v>
          </cell>
          <cell r="F958" t="str">
            <v>SP</v>
          </cell>
          <cell r="G958" t="str">
            <v>437</v>
          </cell>
          <cell r="H958" t="str">
            <v>Apto 05</v>
          </cell>
          <cell r="I958" t="str">
            <v>11470-120</v>
          </cell>
          <cell r="J958" t="str">
            <v>992927954</v>
          </cell>
          <cell r="K958" t="str">
            <v/>
          </cell>
          <cell r="L958" t="str">
            <v>Masculino</v>
          </cell>
          <cell r="M958" t="str">
            <v>Parda</v>
          </cell>
          <cell r="N958">
            <v>32859</v>
          </cell>
          <cell r="O958" t="str">
            <v>2635807</v>
          </cell>
          <cell r="P958" t="str">
            <v>PI</v>
          </cell>
          <cell r="Q958" t="str">
            <v>SSP</v>
          </cell>
          <cell r="R958" t="str">
            <v>FLORIANO</v>
          </cell>
        </row>
        <row r="959">
          <cell r="A959" t="str">
            <v>JAILSON ROBERTO DOS SANTOS</v>
          </cell>
          <cell r="B959" t="str">
            <v>União Estável</v>
          </cell>
          <cell r="C959" t="str">
            <v>R Cesar Augusto de Castro Rios</v>
          </cell>
          <cell r="D959" t="str">
            <v>Areia Branca</v>
          </cell>
          <cell r="E959" t="str">
            <v>SANTOS</v>
          </cell>
          <cell r="F959" t="str">
            <v>SP</v>
          </cell>
          <cell r="G959" t="str">
            <v>286</v>
          </cell>
          <cell r="H959" t="str">
            <v>AP193 T2</v>
          </cell>
          <cell r="I959" t="str">
            <v>11086-415</v>
          </cell>
          <cell r="J959" t="str">
            <v>981035507</v>
          </cell>
          <cell r="K959" t="str">
            <v/>
          </cell>
          <cell r="L959" t="str">
            <v>Masculino</v>
          </cell>
          <cell r="M959" t="str">
            <v>Parda</v>
          </cell>
          <cell r="N959">
            <v>29619</v>
          </cell>
          <cell r="O959" t="str">
            <v>57425845</v>
          </cell>
          <cell r="P959" t="str">
            <v>SP</v>
          </cell>
          <cell r="Q959" t="str">
            <v>SSP</v>
          </cell>
          <cell r="R959" t="str">
            <v>MANGA</v>
          </cell>
        </row>
        <row r="960">
          <cell r="A960" t="str">
            <v>CRISLAYNE FERREIRA DA SILVA</v>
          </cell>
          <cell r="B960" t="str">
            <v>Solteiro</v>
          </cell>
          <cell r="C960" t="str">
            <v>R Treze de Maio</v>
          </cell>
          <cell r="D960" t="str">
            <v>Centro</v>
          </cell>
          <cell r="E960" t="str">
            <v>SAO VICENTE</v>
          </cell>
          <cell r="F960" t="str">
            <v>SP</v>
          </cell>
          <cell r="G960" t="str">
            <v>642</v>
          </cell>
          <cell r="H960" t="str">
            <v>BL B APTO 15</v>
          </cell>
          <cell r="I960" t="str">
            <v>11310-330</v>
          </cell>
          <cell r="J960" t="str">
            <v>996702769</v>
          </cell>
          <cell r="K960" t="str">
            <v/>
          </cell>
          <cell r="L960" t="str">
            <v>Feminino</v>
          </cell>
          <cell r="M960" t="str">
            <v>Parda</v>
          </cell>
          <cell r="N960">
            <v>32456</v>
          </cell>
          <cell r="O960" t="str">
            <v>435254030</v>
          </cell>
          <cell r="P960" t="str">
            <v>SP</v>
          </cell>
          <cell r="Q960" t="str">
            <v>SSP</v>
          </cell>
          <cell r="R960" t="str">
            <v>CUBATAO</v>
          </cell>
        </row>
        <row r="961">
          <cell r="A961" t="str">
            <v>JOSE MARCIO DOS SANTOS</v>
          </cell>
          <cell r="B961" t="str">
            <v>Solteiro</v>
          </cell>
          <cell r="C961" t="str">
            <v>TV São Jorge</v>
          </cell>
          <cell r="D961" t="str">
            <v>Chico de Paula</v>
          </cell>
          <cell r="E961" t="str">
            <v>SANTOS</v>
          </cell>
          <cell r="F961" t="str">
            <v>SP</v>
          </cell>
          <cell r="G961" t="str">
            <v>22</v>
          </cell>
          <cell r="H961" t="str">
            <v/>
          </cell>
          <cell r="I961" t="str">
            <v>11085-405</v>
          </cell>
          <cell r="J961" t="str">
            <v>974221289</v>
          </cell>
          <cell r="K961" t="str">
            <v/>
          </cell>
          <cell r="L961" t="str">
            <v>Masculino</v>
          </cell>
          <cell r="M961" t="str">
            <v>Parda</v>
          </cell>
          <cell r="N961">
            <v>29003</v>
          </cell>
          <cell r="O961" t="str">
            <v>309465254</v>
          </cell>
          <cell r="P961" t="str">
            <v>SE</v>
          </cell>
          <cell r="Q961" t="str">
            <v>SSP</v>
          </cell>
          <cell r="R961" t="str">
            <v>AQUIDABA</v>
          </cell>
        </row>
        <row r="962">
          <cell r="A962" t="str">
            <v>SANDRO DOS SANTOS BARBOSA</v>
          </cell>
          <cell r="B962" t="str">
            <v>Casado</v>
          </cell>
          <cell r="C962" t="str">
            <v>AV Antenor Pimentel</v>
          </cell>
          <cell r="D962" t="str">
            <v>Morrinhos</v>
          </cell>
          <cell r="E962" t="str">
            <v>GUARUJA</v>
          </cell>
          <cell r="F962" t="str">
            <v>SP</v>
          </cell>
          <cell r="G962" t="str">
            <v>842</v>
          </cell>
          <cell r="H962" t="str">
            <v>BL A3 APTO 22</v>
          </cell>
          <cell r="I962" t="str">
            <v>11495-000</v>
          </cell>
          <cell r="J962" t="str">
            <v>991164392</v>
          </cell>
          <cell r="K962" t="str">
            <v/>
          </cell>
          <cell r="L962" t="str">
            <v>Masculino</v>
          </cell>
          <cell r="M962" t="str">
            <v>Parda</v>
          </cell>
          <cell r="N962">
            <v>30273</v>
          </cell>
          <cell r="O962" t="str">
            <v>444005341</v>
          </cell>
          <cell r="P962" t="str">
            <v>SP</v>
          </cell>
          <cell r="Q962" t="str">
            <v>SSP</v>
          </cell>
          <cell r="R962" t="str">
            <v>GUARUJA</v>
          </cell>
        </row>
        <row r="963">
          <cell r="A963" t="str">
            <v>CLAYTON SALES DOS SANTOS</v>
          </cell>
          <cell r="B963" t="str">
            <v>Casado</v>
          </cell>
          <cell r="C963" t="str">
            <v>R Bolívia</v>
          </cell>
          <cell r="D963" t="str">
            <v>Guilhermina</v>
          </cell>
          <cell r="E963" t="str">
            <v>PRAIA GRANDE</v>
          </cell>
          <cell r="F963" t="str">
            <v>SP</v>
          </cell>
          <cell r="G963" t="str">
            <v>636</v>
          </cell>
          <cell r="H963" t="str">
            <v>AP 52</v>
          </cell>
          <cell r="I963" t="str">
            <v>11701-850</v>
          </cell>
          <cell r="J963" t="str">
            <v>991187378</v>
          </cell>
          <cell r="K963" t="str">
            <v/>
          </cell>
          <cell r="L963" t="str">
            <v>Masculino</v>
          </cell>
          <cell r="M963" t="str">
            <v>Parda</v>
          </cell>
          <cell r="N963">
            <v>30070</v>
          </cell>
          <cell r="O963" t="str">
            <v>329157048</v>
          </cell>
          <cell r="P963" t="str">
            <v>SP</v>
          </cell>
          <cell r="Q963" t="str">
            <v>SSP</v>
          </cell>
          <cell r="R963" t="str">
            <v>CUBATAO</v>
          </cell>
        </row>
        <row r="964">
          <cell r="A964" t="str">
            <v>ULISSES LIMA MAROTTI</v>
          </cell>
          <cell r="B964" t="str">
            <v>Casado</v>
          </cell>
          <cell r="C964" t="str">
            <v>R Flaminio Levy</v>
          </cell>
          <cell r="D964" t="str">
            <v>Saboo</v>
          </cell>
          <cell r="E964" t="str">
            <v>SANTOS</v>
          </cell>
          <cell r="F964" t="str">
            <v>SP</v>
          </cell>
          <cell r="G964" t="str">
            <v>354</v>
          </cell>
          <cell r="H964" t="str">
            <v>BL 23 APTO 65</v>
          </cell>
          <cell r="I964" t="str">
            <v>11085-080</v>
          </cell>
          <cell r="J964" t="str">
            <v>981857900</v>
          </cell>
          <cell r="K964" t="str">
            <v/>
          </cell>
          <cell r="L964" t="str">
            <v>Masculino</v>
          </cell>
          <cell r="M964" t="str">
            <v>Parda</v>
          </cell>
          <cell r="N964">
            <v>28463</v>
          </cell>
          <cell r="O964" t="str">
            <v>279256711</v>
          </cell>
          <cell r="P964" t="str">
            <v>SP</v>
          </cell>
          <cell r="Q964" t="str">
            <v>SSP</v>
          </cell>
          <cell r="R964" t="str">
            <v>SANTOS</v>
          </cell>
        </row>
        <row r="965">
          <cell r="A965" t="str">
            <v>WAGNER DA COSTA PEREIRA</v>
          </cell>
          <cell r="B965" t="str">
            <v>Casado</v>
          </cell>
          <cell r="C965" t="str">
            <v>R Vinte e Sete</v>
          </cell>
          <cell r="D965" t="str">
            <v>Maré Mansa</v>
          </cell>
          <cell r="E965" t="str">
            <v>GUARUJA</v>
          </cell>
          <cell r="F965" t="str">
            <v>SP</v>
          </cell>
          <cell r="G965" t="str">
            <v>48</v>
          </cell>
          <cell r="H965" t="str">
            <v/>
          </cell>
          <cell r="I965" t="str">
            <v>11449-160</v>
          </cell>
          <cell r="J965" t="str">
            <v>981385054</v>
          </cell>
          <cell r="K965" t="str">
            <v/>
          </cell>
          <cell r="L965" t="str">
            <v>Masculino</v>
          </cell>
          <cell r="M965" t="str">
            <v>Parda</v>
          </cell>
          <cell r="N965">
            <v>30480</v>
          </cell>
          <cell r="O965" t="str">
            <v>354894778</v>
          </cell>
          <cell r="P965" t="str">
            <v>SP</v>
          </cell>
          <cell r="Q965" t="str">
            <v>SSP</v>
          </cell>
          <cell r="R965" t="str">
            <v>GUARUJA</v>
          </cell>
        </row>
        <row r="966">
          <cell r="A966" t="str">
            <v>SANDRA DA PAIXAO ANDRADE</v>
          </cell>
          <cell r="B966" t="str">
            <v>Solteiro</v>
          </cell>
          <cell r="C966" t="str">
            <v>R Luiz Alves</v>
          </cell>
          <cell r="D966" t="str">
            <v>Castelo</v>
          </cell>
          <cell r="E966" t="str">
            <v>SANTOS</v>
          </cell>
          <cell r="F966" t="str">
            <v>SP</v>
          </cell>
          <cell r="G966" t="str">
            <v>40</v>
          </cell>
          <cell r="H966" t="str">
            <v/>
          </cell>
          <cell r="I966" t="str">
            <v>11088-050</v>
          </cell>
          <cell r="J966" t="str">
            <v>981177977</v>
          </cell>
          <cell r="K966" t="str">
            <v/>
          </cell>
          <cell r="L966" t="str">
            <v>Feminino</v>
          </cell>
          <cell r="M966" t="str">
            <v>Parda</v>
          </cell>
          <cell r="N966">
            <v>30251</v>
          </cell>
          <cell r="O966" t="str">
            <v>401977407</v>
          </cell>
          <cell r="P966" t="str">
            <v>SP</v>
          </cell>
          <cell r="Q966" t="str">
            <v>SSP</v>
          </cell>
          <cell r="R966" t="str">
            <v>SANTOS</v>
          </cell>
        </row>
        <row r="967">
          <cell r="A967" t="str">
            <v>JONATHA SILVA DA CRUZ</v>
          </cell>
          <cell r="B967" t="str">
            <v>Casado</v>
          </cell>
          <cell r="C967" t="str">
            <v>R Cínthia Giufrida</v>
          </cell>
          <cell r="D967" t="str">
            <v>Canto do Forte</v>
          </cell>
          <cell r="E967" t="str">
            <v>PRAIA GRANDE</v>
          </cell>
          <cell r="F967" t="str">
            <v>SP</v>
          </cell>
          <cell r="G967" t="str">
            <v>437</v>
          </cell>
          <cell r="H967" t="str">
            <v/>
          </cell>
          <cell r="I967" t="str">
            <v>11700-450</v>
          </cell>
          <cell r="J967" t="str">
            <v>34916115</v>
          </cell>
          <cell r="K967" t="str">
            <v/>
          </cell>
          <cell r="L967" t="str">
            <v>Masculino</v>
          </cell>
          <cell r="M967" t="str">
            <v>Parda</v>
          </cell>
          <cell r="N967">
            <v>31637</v>
          </cell>
          <cell r="O967" t="str">
            <v>325631967</v>
          </cell>
          <cell r="P967" t="str">
            <v>SP</v>
          </cell>
          <cell r="Q967" t="str">
            <v>SSP</v>
          </cell>
          <cell r="R967" t="str">
            <v>CUBATAO</v>
          </cell>
        </row>
        <row r="968">
          <cell r="A968" t="str">
            <v>ANA CRISTINA SERENO</v>
          </cell>
          <cell r="B968" t="str">
            <v>Divorciado</v>
          </cell>
          <cell r="C968" t="str">
            <v>R TENENTE JOSE DOS SANTOS</v>
          </cell>
          <cell r="D968" t="str">
            <v>Jardim Rio Branco</v>
          </cell>
          <cell r="E968" t="str">
            <v>SAO VICENTE</v>
          </cell>
          <cell r="F968" t="str">
            <v>SP</v>
          </cell>
          <cell r="G968" t="str">
            <v>753</v>
          </cell>
          <cell r="H968" t="str">
            <v>CASA FDS.</v>
          </cell>
          <cell r="I968" t="str">
            <v>11347-100</v>
          </cell>
          <cell r="J968" t="str">
            <v>996146125</v>
          </cell>
          <cell r="K968" t="str">
            <v>974044709</v>
          </cell>
          <cell r="L968" t="str">
            <v>Feminino</v>
          </cell>
          <cell r="M968" t="str">
            <v>Parda</v>
          </cell>
          <cell r="N968">
            <v>31708</v>
          </cell>
          <cell r="O968" t="str">
            <v>407957583</v>
          </cell>
          <cell r="P968" t="str">
            <v>SP</v>
          </cell>
          <cell r="Q968" t="str">
            <v>SSP</v>
          </cell>
          <cell r="R968" t="str">
            <v>SAO VICENTE</v>
          </cell>
        </row>
        <row r="969">
          <cell r="A969" t="str">
            <v>ALEXSANDRO DE CARVALHO PEREIRA</v>
          </cell>
          <cell r="B969" t="str">
            <v>Solteiro</v>
          </cell>
          <cell r="C969" t="str">
            <v>R Ostreira</v>
          </cell>
          <cell r="D969" t="str">
            <v>Jardim Santa Maria</v>
          </cell>
          <cell r="E969" t="str">
            <v>GUARUJA</v>
          </cell>
          <cell r="F969" t="str">
            <v>SP</v>
          </cell>
          <cell r="G969" t="str">
            <v>661</v>
          </cell>
          <cell r="H969" t="str">
            <v>APTO. 03</v>
          </cell>
          <cell r="I969" t="str">
            <v>11432-080</v>
          </cell>
          <cell r="J969" t="str">
            <v/>
          </cell>
          <cell r="K969" t="str">
            <v/>
          </cell>
          <cell r="L969" t="str">
            <v>Masculino</v>
          </cell>
          <cell r="M969" t="str">
            <v>Parda</v>
          </cell>
          <cell r="N969">
            <v>28495</v>
          </cell>
          <cell r="O969" t="str">
            <v>334324622</v>
          </cell>
          <cell r="P969" t="str">
            <v>SP</v>
          </cell>
          <cell r="Q969" t="str">
            <v>SSP</v>
          </cell>
          <cell r="R969" t="str">
            <v>SANTOS</v>
          </cell>
        </row>
        <row r="970">
          <cell r="A970" t="str">
            <v>WILLIANS ROBERTO DE ARAUJO PINHO</v>
          </cell>
          <cell r="B970" t="str">
            <v>Solteiro</v>
          </cell>
          <cell r="C970" t="str">
            <v>R Panaiotis Musculis</v>
          </cell>
          <cell r="D970" t="str">
            <v>Vila Ligya</v>
          </cell>
          <cell r="E970" t="str">
            <v>GUARUJA</v>
          </cell>
          <cell r="F970" t="str">
            <v>SP</v>
          </cell>
          <cell r="G970" t="str">
            <v>335</v>
          </cell>
          <cell r="H970" t="str">
            <v/>
          </cell>
          <cell r="I970" t="str">
            <v>11430-220</v>
          </cell>
          <cell r="J970" t="str">
            <v>33717724</v>
          </cell>
          <cell r="K970" t="str">
            <v/>
          </cell>
          <cell r="L970" t="str">
            <v>Masculino</v>
          </cell>
          <cell r="M970" t="str">
            <v>Parda</v>
          </cell>
          <cell r="N970">
            <v>33918</v>
          </cell>
          <cell r="O970" t="str">
            <v>40297654X</v>
          </cell>
          <cell r="P970" t="str">
            <v>SP</v>
          </cell>
          <cell r="Q970" t="str">
            <v>SSP</v>
          </cell>
          <cell r="R970" t="str">
            <v>SANTOS</v>
          </cell>
        </row>
        <row r="971">
          <cell r="A971" t="str">
            <v>GILMAR DOS SANTOS RODRIGUES</v>
          </cell>
          <cell r="B971" t="str">
            <v>Casado</v>
          </cell>
          <cell r="C971" t="str">
            <v>R Roberto Cock</v>
          </cell>
          <cell r="D971" t="str">
            <v>Vila Jockei Clube</v>
          </cell>
          <cell r="E971" t="str">
            <v>SAO VICENTE</v>
          </cell>
          <cell r="F971" t="str">
            <v>SP</v>
          </cell>
          <cell r="G971" t="str">
            <v>Casa</v>
          </cell>
          <cell r="H971" t="str">
            <v/>
          </cell>
          <cell r="I971" t="str">
            <v>11360-190</v>
          </cell>
          <cell r="J971" t="str">
            <v>981665845</v>
          </cell>
          <cell r="K971" t="str">
            <v/>
          </cell>
          <cell r="L971" t="str">
            <v>Masculino</v>
          </cell>
          <cell r="M971" t="str">
            <v>Parda</v>
          </cell>
          <cell r="N971">
            <v>30750</v>
          </cell>
          <cell r="O971" t="str">
            <v>339746348</v>
          </cell>
          <cell r="P971" t="str">
            <v>SP</v>
          </cell>
          <cell r="Q971" t="str">
            <v>SSP</v>
          </cell>
          <cell r="R971" t="str">
            <v>SANTOS</v>
          </cell>
        </row>
        <row r="972">
          <cell r="A972" t="str">
            <v>RICARDO JOSE ANDRE MARQUES</v>
          </cell>
          <cell r="B972" t="str">
            <v>Casado</v>
          </cell>
          <cell r="C972" t="str">
            <v>R Frei Gaspar</v>
          </cell>
          <cell r="D972" t="str">
            <v>Parque Sao Vicente</v>
          </cell>
          <cell r="E972" t="str">
            <v>SAO VICENTE</v>
          </cell>
          <cell r="F972" t="str">
            <v>SP</v>
          </cell>
          <cell r="G972" t="str">
            <v>2687</v>
          </cell>
          <cell r="H972" t="str">
            <v/>
          </cell>
          <cell r="I972" t="str">
            <v>11340-000</v>
          </cell>
          <cell r="J972" t="str">
            <v>34635882</v>
          </cell>
          <cell r="K972" t="str">
            <v/>
          </cell>
          <cell r="L972" t="str">
            <v>Masculino</v>
          </cell>
          <cell r="M972" t="str">
            <v>Parda</v>
          </cell>
          <cell r="N972">
            <v>28186</v>
          </cell>
          <cell r="O972" t="str">
            <v>293929543</v>
          </cell>
          <cell r="P972" t="str">
            <v>SP</v>
          </cell>
          <cell r="Q972" t="str">
            <v>SSP</v>
          </cell>
          <cell r="R972" t="str">
            <v>SANTOS</v>
          </cell>
        </row>
        <row r="973">
          <cell r="A973" t="str">
            <v>BARBARA MELO DE MATOS SOUZA</v>
          </cell>
          <cell r="B973" t="str">
            <v>Casado</v>
          </cell>
          <cell r="C973" t="str">
            <v>R Francisco Alves</v>
          </cell>
          <cell r="D973" t="str">
            <v>Sítio Paecara (Vicen</v>
          </cell>
          <cell r="E973" t="str">
            <v>GUARUJA</v>
          </cell>
          <cell r="F973" t="str">
            <v>SP</v>
          </cell>
          <cell r="G973" t="str">
            <v>394</v>
          </cell>
          <cell r="H973" t="str">
            <v>CASA 3</v>
          </cell>
          <cell r="I973" t="str">
            <v>11450-320</v>
          </cell>
          <cell r="J973" t="str">
            <v>974153366</v>
          </cell>
          <cell r="K973" t="str">
            <v/>
          </cell>
          <cell r="L973" t="str">
            <v>Feminino</v>
          </cell>
          <cell r="M973" t="str">
            <v>Parda</v>
          </cell>
          <cell r="N973">
            <v>29229</v>
          </cell>
          <cell r="O973" t="str">
            <v>326775365</v>
          </cell>
          <cell r="P973" t="str">
            <v>SP</v>
          </cell>
          <cell r="Q973" t="str">
            <v>SSP</v>
          </cell>
          <cell r="R973" t="str">
            <v>SANTOS</v>
          </cell>
        </row>
        <row r="974">
          <cell r="A974" t="str">
            <v>JALDO BRITO TRINDADE</v>
          </cell>
          <cell r="B974" t="str">
            <v>Casado</v>
          </cell>
          <cell r="C974" t="str">
            <v>R Poetisa Cecília Meireles</v>
          </cell>
          <cell r="D974" t="str">
            <v>Jardim Brasil II</v>
          </cell>
          <cell r="E974" t="str">
            <v>GUARUJA</v>
          </cell>
          <cell r="F974" t="str">
            <v>SP</v>
          </cell>
          <cell r="G974" t="str">
            <v>55</v>
          </cell>
          <cell r="H974" t="str">
            <v>Q 02 L 39</v>
          </cell>
          <cell r="I974" t="str">
            <v>11497-510</v>
          </cell>
          <cell r="J974" t="str">
            <v>988207659</v>
          </cell>
          <cell r="K974" t="str">
            <v/>
          </cell>
          <cell r="L974" t="str">
            <v>Masculino</v>
          </cell>
          <cell r="M974" t="str">
            <v>Parda</v>
          </cell>
          <cell r="N974">
            <v>25306</v>
          </cell>
          <cell r="O974" t="str">
            <v>39225749X</v>
          </cell>
          <cell r="P974" t="str">
            <v>SP</v>
          </cell>
          <cell r="Q974" t="str">
            <v>SSP</v>
          </cell>
          <cell r="R974" t="str">
            <v>IPIAU</v>
          </cell>
        </row>
        <row r="975">
          <cell r="A975" t="str">
            <v>DANIELE CAROLE DOS SANTOS</v>
          </cell>
          <cell r="B975" t="str">
            <v>Solteiro</v>
          </cell>
          <cell r="C975" t="str">
            <v>AV Piassaguera</v>
          </cell>
          <cell r="D975" t="str">
            <v>Vila Áurea (Vicente</v>
          </cell>
          <cell r="E975" t="str">
            <v>GUARUJA</v>
          </cell>
          <cell r="F975" t="str">
            <v>SP</v>
          </cell>
          <cell r="G975" t="str">
            <v>1565</v>
          </cell>
          <cell r="H975" t="str">
            <v/>
          </cell>
          <cell r="I975" t="str">
            <v>11454-630</v>
          </cell>
          <cell r="J975" t="str">
            <v>997067824</v>
          </cell>
          <cell r="K975" t="str">
            <v/>
          </cell>
          <cell r="L975" t="str">
            <v>Feminino</v>
          </cell>
          <cell r="M975" t="str">
            <v>Parda</v>
          </cell>
          <cell r="N975">
            <v>30205</v>
          </cell>
          <cell r="O975" t="str">
            <v>303075375</v>
          </cell>
          <cell r="P975" t="str">
            <v>SP</v>
          </cell>
          <cell r="Q975" t="str">
            <v>SSP</v>
          </cell>
          <cell r="R975" t="str">
            <v>SAO PAULO</v>
          </cell>
        </row>
        <row r="976">
          <cell r="A976" t="str">
            <v>FABIO FAGUNDES AMANCIO</v>
          </cell>
          <cell r="B976" t="str">
            <v>Casado</v>
          </cell>
          <cell r="C976" t="str">
            <v>R Manoel de Góes</v>
          </cell>
          <cell r="D976" t="str">
            <v>Jardim Boa Esperança (Vicente de Carvalh</v>
          </cell>
          <cell r="E976" t="str">
            <v>GUARUJA</v>
          </cell>
          <cell r="F976" t="str">
            <v>SP</v>
          </cell>
          <cell r="G976" t="str">
            <v>1079</v>
          </cell>
          <cell r="H976" t="str">
            <v>Casa</v>
          </cell>
          <cell r="I976" t="str">
            <v>11470-210</v>
          </cell>
          <cell r="J976" t="str">
            <v>974171269</v>
          </cell>
          <cell r="K976" t="str">
            <v/>
          </cell>
          <cell r="L976" t="str">
            <v>Masculino</v>
          </cell>
          <cell r="M976" t="str">
            <v>Parda</v>
          </cell>
          <cell r="N976">
            <v>27471</v>
          </cell>
          <cell r="O976" t="str">
            <v>226787163</v>
          </cell>
          <cell r="P976" t="str">
            <v>SP</v>
          </cell>
          <cell r="Q976" t="str">
            <v>SSP</v>
          </cell>
          <cell r="R976" t="str">
            <v>SANTOS</v>
          </cell>
        </row>
        <row r="977">
          <cell r="A977" t="str">
            <v>CARLOS ROGERIO MIRANDA MARQUES</v>
          </cell>
          <cell r="B977" t="str">
            <v>Casado</v>
          </cell>
          <cell r="C977" t="str">
            <v>R Vergueiro Steidel</v>
          </cell>
          <cell r="D977" t="str">
            <v>Aparecida</v>
          </cell>
          <cell r="E977" t="str">
            <v>SANTOS</v>
          </cell>
          <cell r="F977" t="str">
            <v>SP</v>
          </cell>
          <cell r="G977" t="str">
            <v>359</v>
          </cell>
          <cell r="H977" t="str">
            <v>BL 2 - AP. 303</v>
          </cell>
          <cell r="I977" t="str">
            <v>11040-271</v>
          </cell>
          <cell r="J977" t="str">
            <v>997455786</v>
          </cell>
          <cell r="K977" t="str">
            <v/>
          </cell>
          <cell r="L977" t="str">
            <v>Masculino</v>
          </cell>
          <cell r="M977" t="str">
            <v>Parda</v>
          </cell>
          <cell r="N977">
            <v>27562</v>
          </cell>
          <cell r="O977" t="str">
            <v>246795669</v>
          </cell>
          <cell r="P977" t="str">
            <v>SP</v>
          </cell>
          <cell r="Q977" t="str">
            <v>SSP</v>
          </cell>
          <cell r="R977" t="str">
            <v>SANTOS</v>
          </cell>
        </row>
        <row r="978">
          <cell r="A978" t="str">
            <v>NILTON FERNANDES DE ARAUJO JUNIOR</v>
          </cell>
          <cell r="B978" t="str">
            <v>Solteiro</v>
          </cell>
          <cell r="C978" t="str">
            <v>R Quinze</v>
          </cell>
          <cell r="D978" t="str">
            <v>Morro Nova Cintra</v>
          </cell>
          <cell r="E978" t="str">
            <v>SANTOS</v>
          </cell>
          <cell r="F978" t="str">
            <v>SP</v>
          </cell>
          <cell r="G978" t="str">
            <v>1280</v>
          </cell>
          <cell r="H978" t="str">
            <v/>
          </cell>
          <cell r="I978" t="str">
            <v>11080-370</v>
          </cell>
          <cell r="J978" t="str">
            <v>981435954</v>
          </cell>
          <cell r="K978" t="str">
            <v/>
          </cell>
          <cell r="L978" t="str">
            <v>Masculino</v>
          </cell>
          <cell r="M978" t="str">
            <v>Parda</v>
          </cell>
          <cell r="N978">
            <v>36909</v>
          </cell>
          <cell r="O978" t="str">
            <v>549844089</v>
          </cell>
          <cell r="P978" t="str">
            <v>SP</v>
          </cell>
          <cell r="Q978" t="str">
            <v>SSP</v>
          </cell>
          <cell r="R978" t="str">
            <v>SANTOS</v>
          </cell>
        </row>
        <row r="979">
          <cell r="A979" t="str">
            <v>ANDERSON ALVES DA SILVA</v>
          </cell>
          <cell r="B979" t="str">
            <v>Casado</v>
          </cell>
          <cell r="C979" t="str">
            <v>R CEL CICERO BUENO BRANDAO</v>
          </cell>
          <cell r="D979" t="str">
            <v>Jardim Castelo</v>
          </cell>
          <cell r="E979" t="str">
            <v>SANTOS</v>
          </cell>
          <cell r="F979" t="str">
            <v>SP</v>
          </cell>
          <cell r="G979" t="str">
            <v>07</v>
          </cell>
          <cell r="H979" t="str">
            <v>CASA</v>
          </cell>
          <cell r="I979" t="str">
            <v>11087-530</v>
          </cell>
          <cell r="J979" t="str">
            <v>974049749</v>
          </cell>
          <cell r="K979" t="str">
            <v/>
          </cell>
          <cell r="L979" t="str">
            <v>Masculino</v>
          </cell>
          <cell r="M979" t="str">
            <v>Parda</v>
          </cell>
          <cell r="N979">
            <v>30682</v>
          </cell>
          <cell r="O979" t="str">
            <v>33170920X</v>
          </cell>
          <cell r="P979" t="str">
            <v>SP</v>
          </cell>
          <cell r="Q979" t="str">
            <v>SSP</v>
          </cell>
          <cell r="R979" t="str">
            <v>SANTOS</v>
          </cell>
        </row>
        <row r="980">
          <cell r="A980" t="str">
            <v>EDSON CARVALHO DE MACEDO</v>
          </cell>
          <cell r="B980" t="str">
            <v>Casado</v>
          </cell>
          <cell r="C980" t="str">
            <v>PC Barra Bonita</v>
          </cell>
          <cell r="D980" t="str">
            <v>Vila Áurea (Vicente</v>
          </cell>
          <cell r="E980" t="str">
            <v>GUARUJA</v>
          </cell>
          <cell r="F980" t="str">
            <v>SP</v>
          </cell>
          <cell r="G980" t="str">
            <v>29</v>
          </cell>
          <cell r="H980" t="str">
            <v>QD 17</v>
          </cell>
          <cell r="I980" t="str">
            <v>11454-290</v>
          </cell>
          <cell r="J980" t="str">
            <v>974091114</v>
          </cell>
          <cell r="K980" t="str">
            <v/>
          </cell>
          <cell r="L980" t="str">
            <v>Masculino</v>
          </cell>
          <cell r="M980" t="str">
            <v>Parda</v>
          </cell>
          <cell r="N980">
            <v>28740</v>
          </cell>
          <cell r="O980" t="str">
            <v>334951677</v>
          </cell>
          <cell r="P980" t="str">
            <v>SP</v>
          </cell>
          <cell r="Q980" t="str">
            <v>SSP</v>
          </cell>
          <cell r="R980" t="str">
            <v>SANTOS</v>
          </cell>
        </row>
        <row r="981">
          <cell r="A981" t="str">
            <v>HENRIQUE DA SILVA MARTINEZ</v>
          </cell>
          <cell r="B981" t="str">
            <v>Casado</v>
          </cell>
          <cell r="C981" t="str">
            <v>R VIRGILIO DE LEMOS</v>
          </cell>
          <cell r="D981" t="str">
            <v>Jardim Jabaquara</v>
          </cell>
          <cell r="E981" t="str">
            <v>SAO PAULO</v>
          </cell>
          <cell r="F981" t="str">
            <v>SP</v>
          </cell>
          <cell r="G981" t="str">
            <v>283</v>
          </cell>
          <cell r="H981" t="str">
            <v/>
          </cell>
          <cell r="I981" t="str">
            <v>04384-000</v>
          </cell>
          <cell r="J981" t="str">
            <v>949632332</v>
          </cell>
          <cell r="K981" t="str">
            <v/>
          </cell>
          <cell r="L981" t="str">
            <v>Masculino</v>
          </cell>
          <cell r="M981" t="str">
            <v>Parda</v>
          </cell>
          <cell r="N981">
            <v>31438</v>
          </cell>
          <cell r="O981" t="str">
            <v>403270418</v>
          </cell>
          <cell r="P981" t="str">
            <v>SP</v>
          </cell>
          <cell r="Q981" t="str">
            <v>SSP</v>
          </cell>
          <cell r="R981" t="str">
            <v>SAO PAULO</v>
          </cell>
        </row>
        <row r="982">
          <cell r="A982" t="str">
            <v>CARLOS EDUARDO DA SILVA</v>
          </cell>
          <cell r="B982" t="str">
            <v>Casado</v>
          </cell>
          <cell r="C982" t="str">
            <v>R VISCONDE DE CAYRU</v>
          </cell>
          <cell r="D982" t="str">
            <v>Campo Grande</v>
          </cell>
          <cell r="E982" t="str">
            <v>SANTOS</v>
          </cell>
          <cell r="F982" t="str">
            <v>SP</v>
          </cell>
          <cell r="G982" t="str">
            <v>67</v>
          </cell>
          <cell r="H982" t="str">
            <v>APTO 03</v>
          </cell>
          <cell r="I982" t="str">
            <v>11075-700</v>
          </cell>
          <cell r="J982" t="str">
            <v>32258471</v>
          </cell>
          <cell r="K982" t="str">
            <v>988776900</v>
          </cell>
          <cell r="L982" t="str">
            <v>Masculino</v>
          </cell>
          <cell r="M982" t="str">
            <v>Parda</v>
          </cell>
          <cell r="N982">
            <v>29284</v>
          </cell>
          <cell r="O982" t="str">
            <v>334959287</v>
          </cell>
          <cell r="P982" t="str">
            <v>SP</v>
          </cell>
          <cell r="Q982" t="str">
            <v>SSP</v>
          </cell>
          <cell r="R982" t="str">
            <v>LAVRAS</v>
          </cell>
        </row>
        <row r="983">
          <cell r="A983" t="str">
            <v>LUCIANO DOS SANTOS SANTANA</v>
          </cell>
          <cell r="B983" t="str">
            <v>Divorciado</v>
          </cell>
          <cell r="C983" t="str">
            <v>AV DAS ACACIAS</v>
          </cell>
          <cell r="D983" t="str">
            <v>Jardim Primavera</v>
          </cell>
          <cell r="E983" t="str">
            <v>GUARUJA</v>
          </cell>
          <cell r="F983" t="str">
            <v>SP</v>
          </cell>
          <cell r="G983" t="str">
            <v>580</v>
          </cell>
          <cell r="H983" t="str">
            <v/>
          </cell>
          <cell r="I983" t="str">
            <v>11432-290</v>
          </cell>
          <cell r="J983" t="str">
            <v>974035741</v>
          </cell>
          <cell r="K983" t="str">
            <v>974088173</v>
          </cell>
          <cell r="L983" t="str">
            <v>Masculino</v>
          </cell>
          <cell r="M983" t="str">
            <v>Parda</v>
          </cell>
          <cell r="N983">
            <v>28228</v>
          </cell>
          <cell r="O983" t="str">
            <v>329166165</v>
          </cell>
          <cell r="P983" t="str">
            <v>SP</v>
          </cell>
          <cell r="Q983" t="str">
            <v>SSP</v>
          </cell>
          <cell r="R983" t="str">
            <v>ITABAIANA</v>
          </cell>
        </row>
        <row r="984">
          <cell r="A984" t="str">
            <v>ANTONIO BORGES DE MELO FILHO</v>
          </cell>
          <cell r="B984" t="str">
            <v>Solteiro</v>
          </cell>
          <cell r="C984" t="str">
            <v>R DR CYRO ATHAYDE CARNEIRO</v>
          </cell>
          <cell r="D984" t="str">
            <v>Ponta da Praia</v>
          </cell>
          <cell r="E984" t="str">
            <v>SANTOS</v>
          </cell>
          <cell r="F984" t="str">
            <v>SP</v>
          </cell>
          <cell r="G984" t="str">
            <v>9</v>
          </cell>
          <cell r="H984" t="str">
            <v>AP 31</v>
          </cell>
          <cell r="I984" t="str">
            <v>11035-110</v>
          </cell>
          <cell r="J984" t="str">
            <v>991144599</v>
          </cell>
          <cell r="K984" t="str">
            <v>33260552</v>
          </cell>
          <cell r="L984" t="str">
            <v>Masculino</v>
          </cell>
          <cell r="M984" t="str">
            <v>Parda</v>
          </cell>
          <cell r="N984">
            <v>30332</v>
          </cell>
          <cell r="O984" t="str">
            <v>290082912</v>
          </cell>
          <cell r="P984" t="str">
            <v>SP</v>
          </cell>
          <cell r="Q984" t="str">
            <v>SSP</v>
          </cell>
          <cell r="R984" t="str">
            <v>SANTOS</v>
          </cell>
        </row>
        <row r="985">
          <cell r="A985" t="str">
            <v>MARCELO DIAS DA SILVA JUNIOR</v>
          </cell>
          <cell r="B985" t="str">
            <v>Solteiro</v>
          </cell>
          <cell r="C985" t="str">
            <v>R FRANCISCO OCTAVIANO</v>
          </cell>
          <cell r="D985" t="str">
            <v>Vila Belmiro</v>
          </cell>
          <cell r="E985" t="str">
            <v>SANTOS</v>
          </cell>
          <cell r="F985" t="str">
            <v>SP</v>
          </cell>
          <cell r="G985" t="str">
            <v>33</v>
          </cell>
          <cell r="H985" t="str">
            <v>Fundos</v>
          </cell>
          <cell r="I985" t="str">
            <v>11075-620</v>
          </cell>
          <cell r="J985" t="str">
            <v>997402750</v>
          </cell>
          <cell r="K985" t="str">
            <v/>
          </cell>
          <cell r="L985" t="str">
            <v>Masculino</v>
          </cell>
          <cell r="M985" t="str">
            <v>Parda</v>
          </cell>
          <cell r="N985">
            <v>36732</v>
          </cell>
          <cell r="O985" t="str">
            <v>563359882</v>
          </cell>
          <cell r="P985" t="str">
            <v>SP</v>
          </cell>
          <cell r="Q985" t="str">
            <v>SSP</v>
          </cell>
          <cell r="R985" t="str">
            <v>SANTOS</v>
          </cell>
        </row>
        <row r="986">
          <cell r="A986" t="str">
            <v>BRUNO NUNES BARRADAS</v>
          </cell>
          <cell r="B986" t="str">
            <v>Solteiro</v>
          </cell>
          <cell r="C986" t="str">
            <v>AV DOUTOR PEDRO LESSA</v>
          </cell>
          <cell r="D986" t="str">
            <v>Aparecida</v>
          </cell>
          <cell r="E986" t="str">
            <v>SANTOS</v>
          </cell>
          <cell r="F986" t="str">
            <v>SP</v>
          </cell>
          <cell r="G986" t="str">
            <v>2701</v>
          </cell>
          <cell r="H986" t="str">
            <v>APTO 32</v>
          </cell>
          <cell r="I986" t="str">
            <v>11025-003</v>
          </cell>
          <cell r="J986" t="str">
            <v>991740622</v>
          </cell>
          <cell r="K986" t="str">
            <v/>
          </cell>
          <cell r="L986" t="str">
            <v>Masculino</v>
          </cell>
          <cell r="M986" t="str">
            <v>Parda</v>
          </cell>
          <cell r="N986">
            <v>35509</v>
          </cell>
          <cell r="O986" t="str">
            <v>39812084</v>
          </cell>
          <cell r="P986" t="str">
            <v>SP</v>
          </cell>
          <cell r="Q986" t="str">
            <v>SSP</v>
          </cell>
          <cell r="R986" t="str">
            <v>SANTOS</v>
          </cell>
        </row>
        <row r="987">
          <cell r="A987" t="str">
            <v>DEBORAH MONICA DA SILVEIRA HEINZ</v>
          </cell>
          <cell r="B987" t="str">
            <v>Solteiro</v>
          </cell>
          <cell r="C987" t="str">
            <v>R Evaristo da Veiga</v>
          </cell>
          <cell r="D987" t="str">
            <v>Campo Grande</v>
          </cell>
          <cell r="E987" t="str">
            <v>SANTOS</v>
          </cell>
          <cell r="F987" t="str">
            <v>SP</v>
          </cell>
          <cell r="G987" t="str">
            <v>161</v>
          </cell>
          <cell r="H987" t="str">
            <v>71</v>
          </cell>
          <cell r="I987" t="str">
            <v>11075-660</v>
          </cell>
          <cell r="J987" t="str">
            <v>32955039</v>
          </cell>
          <cell r="K987" t="str">
            <v>997817171</v>
          </cell>
          <cell r="L987" t="str">
            <v>Feminino</v>
          </cell>
          <cell r="M987" t="str">
            <v>Parda</v>
          </cell>
          <cell r="N987">
            <v>23399</v>
          </cell>
          <cell r="O987" t="str">
            <v>365851462</v>
          </cell>
          <cell r="P987" t="str">
            <v>SP</v>
          </cell>
          <cell r="Q987" t="str">
            <v>SSP</v>
          </cell>
          <cell r="R987" t="str">
            <v>OBIDOS</v>
          </cell>
        </row>
        <row r="988">
          <cell r="A988" t="str">
            <v>FABRICIO DE OLIVEIRA LOPES</v>
          </cell>
          <cell r="B988" t="str">
            <v>Casado</v>
          </cell>
          <cell r="C988" t="str">
            <v>R Francisco Alves</v>
          </cell>
          <cell r="D988" t="str">
            <v>Estuario</v>
          </cell>
          <cell r="E988" t="str">
            <v>SANTOS</v>
          </cell>
          <cell r="F988" t="str">
            <v>SP</v>
          </cell>
          <cell r="G988" t="str">
            <v>58</v>
          </cell>
          <cell r="H988" t="str">
            <v>bloco b</v>
          </cell>
          <cell r="I988" t="str">
            <v>11020-410</v>
          </cell>
          <cell r="J988" t="str">
            <v>991562839</v>
          </cell>
          <cell r="K988" t="str">
            <v>32385089</v>
          </cell>
          <cell r="L988" t="str">
            <v>Masculino</v>
          </cell>
          <cell r="M988" t="str">
            <v>Parda</v>
          </cell>
          <cell r="N988">
            <v>33931</v>
          </cell>
          <cell r="O988" t="str">
            <v>488737394</v>
          </cell>
          <cell r="P988" t="str">
            <v>SP</v>
          </cell>
          <cell r="Q988" t="str">
            <v>SSP</v>
          </cell>
          <cell r="R988" t="str">
            <v>SANTOS</v>
          </cell>
        </row>
        <row r="989">
          <cell r="A989" t="str">
            <v>CHAMBERLAIN DO CARMO SIERPINSKI</v>
          </cell>
          <cell r="B989" t="str">
            <v>Divorciado</v>
          </cell>
          <cell r="C989" t="str">
            <v>R Colômbia</v>
          </cell>
          <cell r="D989" t="str">
            <v>Jardim Belmar - Enseada</v>
          </cell>
          <cell r="E989" t="str">
            <v>GUARUJA</v>
          </cell>
          <cell r="F989" t="str">
            <v>SP</v>
          </cell>
          <cell r="G989" t="str">
            <v>975</v>
          </cell>
          <cell r="H989" t="str">
            <v>casa 14</v>
          </cell>
          <cell r="I989" t="str">
            <v>11440-360</v>
          </cell>
          <cell r="J989" t="str">
            <v>981423061</v>
          </cell>
          <cell r="K989" t="str">
            <v>981423061</v>
          </cell>
          <cell r="L989" t="str">
            <v>Masculino</v>
          </cell>
          <cell r="M989" t="str">
            <v>Parda</v>
          </cell>
          <cell r="N989">
            <v>27043</v>
          </cell>
          <cell r="O989" t="str">
            <v>221133938</v>
          </cell>
          <cell r="P989" t="str">
            <v>SP</v>
          </cell>
          <cell r="Q989" t="str">
            <v>SSP</v>
          </cell>
          <cell r="R989" t="str">
            <v>GUARUJA</v>
          </cell>
        </row>
        <row r="990">
          <cell r="A990" t="str">
            <v>JOSE ROBERTO FREITAS DE MATOS</v>
          </cell>
          <cell r="B990" t="str">
            <v>Casado</v>
          </cell>
          <cell r="C990" t="str">
            <v>AV Antônio Correa</v>
          </cell>
          <cell r="D990" t="str">
            <v>Vila Ligya</v>
          </cell>
          <cell r="E990" t="str">
            <v>GUARUJA</v>
          </cell>
          <cell r="F990" t="str">
            <v>SP</v>
          </cell>
          <cell r="G990" t="str">
            <v>605</v>
          </cell>
          <cell r="H990" t="str">
            <v>AP 605</v>
          </cell>
          <cell r="I990" t="str">
            <v>11430-030</v>
          </cell>
          <cell r="J990" t="str">
            <v/>
          </cell>
          <cell r="K990" t="str">
            <v>30290804</v>
          </cell>
          <cell r="L990" t="str">
            <v>Masculino</v>
          </cell>
          <cell r="M990" t="str">
            <v>Parda</v>
          </cell>
          <cell r="N990">
            <v>25841</v>
          </cell>
          <cell r="O990" t="str">
            <v>208253403</v>
          </cell>
          <cell r="P990" t="str">
            <v>SP</v>
          </cell>
          <cell r="Q990" t="str">
            <v>SSP</v>
          </cell>
          <cell r="R990" t="str">
            <v>GUARUJA</v>
          </cell>
        </row>
        <row r="991">
          <cell r="A991" t="str">
            <v>NADIA MOHAMAD ABDUL RAHIM MADI</v>
          </cell>
          <cell r="B991" t="str">
            <v>Casado</v>
          </cell>
          <cell r="C991" t="str">
            <v>R Professor Doutor Olavo de Paula Borg</v>
          </cell>
          <cell r="D991" t="str">
            <v>Ponta da Praia</v>
          </cell>
          <cell r="E991" t="str">
            <v>SANTOS</v>
          </cell>
          <cell r="F991" t="str">
            <v>SP</v>
          </cell>
          <cell r="G991" t="str">
            <v>83</v>
          </cell>
          <cell r="H991" t="str">
            <v>apto 11</v>
          </cell>
          <cell r="I991" t="str">
            <v>11035-130</v>
          </cell>
          <cell r="J991" t="str">
            <v>32279074</v>
          </cell>
          <cell r="K991" t="str">
            <v>981032021</v>
          </cell>
          <cell r="L991" t="str">
            <v>Feminino</v>
          </cell>
          <cell r="M991" t="str">
            <v>Parda</v>
          </cell>
          <cell r="N991">
            <v>35713</v>
          </cell>
          <cell r="O991" t="str">
            <v>587251530</v>
          </cell>
          <cell r="P991" t="str">
            <v>SP</v>
          </cell>
          <cell r="Q991" t="str">
            <v>SSP</v>
          </cell>
          <cell r="R991" t="str">
            <v>SANTOS</v>
          </cell>
        </row>
        <row r="992">
          <cell r="A992" t="str">
            <v>HELEN PRISCILA CARVALHO GUIMARAES HUTTER</v>
          </cell>
          <cell r="B992" t="str">
            <v>Casado</v>
          </cell>
          <cell r="C992" t="str">
            <v>R Espírito Santo</v>
          </cell>
          <cell r="D992" t="str">
            <v>Canto do Forte</v>
          </cell>
          <cell r="E992" t="str">
            <v>PRAIA GRANDE</v>
          </cell>
          <cell r="F992" t="str">
            <v>SP</v>
          </cell>
          <cell r="G992" t="str">
            <v>141</v>
          </cell>
          <cell r="H992" t="str">
            <v>apto 53 B</v>
          </cell>
          <cell r="I992" t="str">
            <v>11700-190</v>
          </cell>
          <cell r="J992" t="str">
            <v>988041316</v>
          </cell>
          <cell r="K992" t="str">
            <v/>
          </cell>
          <cell r="L992" t="str">
            <v>Feminino</v>
          </cell>
          <cell r="M992" t="str">
            <v>Parda</v>
          </cell>
          <cell r="N992">
            <v>31297</v>
          </cell>
          <cell r="O992" t="str">
            <v>413339439</v>
          </cell>
          <cell r="P992" t="str">
            <v>SP</v>
          </cell>
          <cell r="Q992" t="str">
            <v>SSP</v>
          </cell>
          <cell r="R992" t="str">
            <v>SAO VICENTE</v>
          </cell>
        </row>
        <row r="993">
          <cell r="A993" t="str">
            <v>WELLINGTON LIRA FREIRE</v>
          </cell>
          <cell r="B993" t="str">
            <v>Casado</v>
          </cell>
          <cell r="C993" t="str">
            <v>R DOUTOR GUEDES COELHO</v>
          </cell>
          <cell r="D993" t="str">
            <v>Encruzilhada</v>
          </cell>
          <cell r="E993" t="str">
            <v>SANTOS</v>
          </cell>
          <cell r="F993" t="str">
            <v>SP</v>
          </cell>
          <cell r="G993" t="str">
            <v>202</v>
          </cell>
          <cell r="H993" t="str">
            <v>33</v>
          </cell>
          <cell r="I993" t="str">
            <v>11050-230</v>
          </cell>
          <cell r="J993" t="str">
            <v>991232496</v>
          </cell>
          <cell r="K993" t="str">
            <v>981294574</v>
          </cell>
          <cell r="L993" t="str">
            <v>Masculino</v>
          </cell>
          <cell r="M993" t="str">
            <v>Parda</v>
          </cell>
          <cell r="N993">
            <v>28808</v>
          </cell>
          <cell r="O993" t="str">
            <v>295311897</v>
          </cell>
          <cell r="P993" t="str">
            <v>SP</v>
          </cell>
          <cell r="Q993" t="str">
            <v>SSP</v>
          </cell>
          <cell r="R993" t="str">
            <v>SANTOS</v>
          </cell>
        </row>
        <row r="994">
          <cell r="A994" t="str">
            <v>MARIA LAUDICEA MENDES FELIPE</v>
          </cell>
          <cell r="B994" t="str">
            <v>Solteiro</v>
          </cell>
          <cell r="C994" t="str">
            <v>R Nelson Horácio Conceição</v>
          </cell>
          <cell r="D994" t="str">
            <v>Jardim Las Palmas</v>
          </cell>
          <cell r="E994" t="str">
            <v>GUARUJA</v>
          </cell>
          <cell r="F994" t="str">
            <v>SP</v>
          </cell>
          <cell r="G994" t="str">
            <v>350</v>
          </cell>
          <cell r="H994" t="str">
            <v>Casa</v>
          </cell>
          <cell r="I994" t="str">
            <v>11420-500</v>
          </cell>
          <cell r="J994" t="str">
            <v>991892374</v>
          </cell>
          <cell r="K994" t="str">
            <v>32955000</v>
          </cell>
          <cell r="L994" t="str">
            <v>Feminino</v>
          </cell>
          <cell r="M994" t="str">
            <v>Parda</v>
          </cell>
          <cell r="N994">
            <v>35877</v>
          </cell>
          <cell r="O994" t="str">
            <v>9063386</v>
          </cell>
          <cell r="P994" t="str">
            <v>PE</v>
          </cell>
          <cell r="Q994" t="str">
            <v>SSP</v>
          </cell>
          <cell r="R994" t="str">
            <v>LIMOEIRO</v>
          </cell>
        </row>
        <row r="995">
          <cell r="A995" t="str">
            <v>ERUALDO EVANGELISTA DE SANTANA</v>
          </cell>
          <cell r="B995" t="str">
            <v>Solteiro</v>
          </cell>
          <cell r="C995" t="str">
            <v>R FREI SANTA RITA DURAO</v>
          </cell>
          <cell r="D995" t="str">
            <v>Melvi</v>
          </cell>
          <cell r="E995" t="str">
            <v>PRAIA GRANDE</v>
          </cell>
          <cell r="F995" t="str">
            <v>SP</v>
          </cell>
          <cell r="G995" t="str">
            <v>102</v>
          </cell>
          <cell r="H995" t="str">
            <v>CASA 01</v>
          </cell>
          <cell r="I995" t="str">
            <v>11712-110</v>
          </cell>
          <cell r="J995" t="str">
            <v>996738272</v>
          </cell>
          <cell r="K995" t="str">
            <v/>
          </cell>
          <cell r="L995" t="str">
            <v>Masculino</v>
          </cell>
          <cell r="M995" t="str">
            <v>Parda</v>
          </cell>
          <cell r="N995">
            <v>25103</v>
          </cell>
          <cell r="O995" t="str">
            <v>183994152</v>
          </cell>
          <cell r="P995" t="str">
            <v>SP</v>
          </cell>
          <cell r="Q995" t="str">
            <v>SSP</v>
          </cell>
          <cell r="R995" t="str">
            <v>SANTOS</v>
          </cell>
        </row>
        <row r="996">
          <cell r="A996" t="str">
            <v>REGINALDO PAULO GONCALVES</v>
          </cell>
          <cell r="B996" t="str">
            <v>Casado</v>
          </cell>
          <cell r="C996" t="str">
            <v>R ESPIRITO SANTO</v>
          </cell>
          <cell r="D996" t="str">
            <v>Jardim Independencia</v>
          </cell>
          <cell r="E996" t="str">
            <v>SAO VICENTE</v>
          </cell>
          <cell r="F996" t="str">
            <v>SP</v>
          </cell>
          <cell r="G996" t="str">
            <v>92</v>
          </cell>
          <cell r="H996" t="str">
            <v/>
          </cell>
          <cell r="I996" t="str">
            <v>11380-380</v>
          </cell>
          <cell r="J996" t="str">
            <v>32032823</v>
          </cell>
          <cell r="K996" t="str">
            <v>974083198</v>
          </cell>
          <cell r="L996" t="str">
            <v>Masculino</v>
          </cell>
          <cell r="M996" t="str">
            <v>Parda</v>
          </cell>
          <cell r="N996">
            <v>25038</v>
          </cell>
          <cell r="O996" t="str">
            <v>204585569</v>
          </cell>
          <cell r="P996" t="str">
            <v>SP</v>
          </cell>
          <cell r="Q996" t="str">
            <v>SSP</v>
          </cell>
          <cell r="R996" t="str">
            <v>SANTOS</v>
          </cell>
        </row>
        <row r="997">
          <cell r="A997" t="str">
            <v>VINICIUS MADUREIRA DOS SANTOS</v>
          </cell>
          <cell r="B997" t="str">
            <v>Casado</v>
          </cell>
          <cell r="C997" t="str">
            <v>R DOUTOR CLOVIS</v>
          </cell>
          <cell r="D997" t="str">
            <v>Macuco</v>
          </cell>
          <cell r="E997" t="str">
            <v>SANTOS</v>
          </cell>
          <cell r="F997" t="str">
            <v>SP</v>
          </cell>
          <cell r="G997" t="str">
            <v>40</v>
          </cell>
          <cell r="H997" t="str">
            <v/>
          </cell>
          <cell r="I997" t="str">
            <v>11015-240</v>
          </cell>
          <cell r="J997" t="str">
            <v>91714948</v>
          </cell>
          <cell r="K997" t="str">
            <v>32274349</v>
          </cell>
          <cell r="L997" t="str">
            <v>Masculino</v>
          </cell>
          <cell r="M997" t="str">
            <v>Parda</v>
          </cell>
          <cell r="N997">
            <v>31471</v>
          </cell>
          <cell r="O997" t="str">
            <v>424644964</v>
          </cell>
          <cell r="P997" t="str">
            <v>SP</v>
          </cell>
          <cell r="Q997" t="str">
            <v>SSP</v>
          </cell>
          <cell r="R997" t="str">
            <v>SANTOS</v>
          </cell>
        </row>
        <row r="998">
          <cell r="A998" t="str">
            <v>BRUNO DE FRANCA ARAUJO</v>
          </cell>
          <cell r="B998" t="str">
            <v>Casado</v>
          </cell>
          <cell r="C998" t="str">
            <v>R AMADEU DE QUEIROS</v>
          </cell>
          <cell r="D998" t="str">
            <v>Vila Jockei Clube</v>
          </cell>
          <cell r="E998" t="str">
            <v>SAO VICENTE</v>
          </cell>
          <cell r="F998" t="str">
            <v>SP</v>
          </cell>
          <cell r="G998" t="str">
            <v>305</v>
          </cell>
          <cell r="H998" t="str">
            <v/>
          </cell>
          <cell r="I998" t="str">
            <v>11365-110</v>
          </cell>
          <cell r="J998" t="str">
            <v>34647476</v>
          </cell>
          <cell r="K998" t="str">
            <v>996592011</v>
          </cell>
          <cell r="L998" t="str">
            <v>Masculino</v>
          </cell>
          <cell r="M998" t="str">
            <v>Parda</v>
          </cell>
          <cell r="N998">
            <v>32050</v>
          </cell>
          <cell r="O998" t="str">
            <v>414463171</v>
          </cell>
          <cell r="P998" t="str">
            <v>SP</v>
          </cell>
          <cell r="Q998" t="str">
            <v>SSP</v>
          </cell>
          <cell r="R998" t="str">
            <v>SAO VICENTE</v>
          </cell>
        </row>
        <row r="999">
          <cell r="A999" t="str">
            <v>ROGERIO REINALDO DE LIMA</v>
          </cell>
          <cell r="B999" t="str">
            <v>Casado</v>
          </cell>
          <cell r="C999" t="str">
            <v>R PRF FRANCISCO DE DOMENICO</v>
          </cell>
          <cell r="D999" t="str">
            <v>Areia Branca</v>
          </cell>
          <cell r="E999" t="str">
            <v>SANTOS</v>
          </cell>
          <cell r="F999" t="str">
            <v>SP</v>
          </cell>
          <cell r="G999" t="str">
            <v>513</v>
          </cell>
          <cell r="H999" t="str">
            <v/>
          </cell>
          <cell r="I999" t="str">
            <v>11086-000</v>
          </cell>
          <cell r="J999" t="str">
            <v>974044427</v>
          </cell>
          <cell r="K999" t="str">
            <v/>
          </cell>
          <cell r="L999" t="str">
            <v>Masculino</v>
          </cell>
          <cell r="M999" t="str">
            <v>Parda</v>
          </cell>
          <cell r="N999">
            <v>30389</v>
          </cell>
          <cell r="O999" t="str">
            <v>416441427</v>
          </cell>
          <cell r="P999" t="str">
            <v>SP</v>
          </cell>
          <cell r="Q999" t="str">
            <v>SSP</v>
          </cell>
          <cell r="R999" t="str">
            <v>SANTOS</v>
          </cell>
        </row>
        <row r="1000">
          <cell r="A1000" t="str">
            <v>GILBERTO GOMES DE COUTO</v>
          </cell>
          <cell r="B1000" t="str">
            <v>Casado</v>
          </cell>
          <cell r="C1000" t="str">
            <v>R CAM. DA DINA</v>
          </cell>
          <cell r="D1000" t="str">
            <v>VILA ESPERANÇA</v>
          </cell>
          <cell r="E1000" t="str">
            <v>CUBATAO</v>
          </cell>
          <cell r="F1000" t="str">
            <v>SP</v>
          </cell>
          <cell r="G1000" t="str">
            <v>1025</v>
          </cell>
          <cell r="H1000" t="str">
            <v/>
          </cell>
          <cell r="I1000" t="str">
            <v>11538-250</v>
          </cell>
          <cell r="J1000" t="str">
            <v>997207023</v>
          </cell>
          <cell r="K1000" t="str">
            <v>997207023</v>
          </cell>
          <cell r="L1000" t="str">
            <v>Masculino</v>
          </cell>
          <cell r="M1000" t="str">
            <v>Parda</v>
          </cell>
          <cell r="N1000">
            <v>30305</v>
          </cell>
          <cell r="O1000" t="str">
            <v>457600809</v>
          </cell>
          <cell r="P1000" t="str">
            <v>SP</v>
          </cell>
          <cell r="Q1000" t="str">
            <v>SSP</v>
          </cell>
          <cell r="R1000" t="str">
            <v>CUBATAO</v>
          </cell>
        </row>
        <row r="1001">
          <cell r="A1001" t="str">
            <v>MARCIO ROBERTO DA SILVA MENDES</v>
          </cell>
          <cell r="B1001" t="str">
            <v>Casado</v>
          </cell>
          <cell r="C1001" t="str">
            <v>R MACHADO DE ASSIS</v>
          </cell>
          <cell r="D1001" t="str">
            <v>Parque Sao Vicente</v>
          </cell>
          <cell r="E1001" t="str">
            <v>SAO VICENTE</v>
          </cell>
          <cell r="F1001" t="str">
            <v>SP</v>
          </cell>
          <cell r="G1001" t="str">
            <v>444</v>
          </cell>
          <cell r="H1001" t="str">
            <v>FUNDOS</v>
          </cell>
          <cell r="I1001" t="str">
            <v>11365-010</v>
          </cell>
          <cell r="J1001" t="str">
            <v>992107748</v>
          </cell>
          <cell r="K1001" t="str">
            <v>992107748</v>
          </cell>
          <cell r="L1001" t="str">
            <v>Masculino</v>
          </cell>
          <cell r="M1001" t="str">
            <v>Parda</v>
          </cell>
          <cell r="N1001">
            <v>28835</v>
          </cell>
          <cell r="O1001" t="str">
            <v>301799362</v>
          </cell>
          <cell r="P1001" t="str">
            <v>SP</v>
          </cell>
          <cell r="Q1001" t="str">
            <v>SSP</v>
          </cell>
          <cell r="R1001" t="str">
            <v>SAO VICENTE</v>
          </cell>
        </row>
        <row r="1002">
          <cell r="A1002" t="str">
            <v>ELISEU MALAQUIAS</v>
          </cell>
          <cell r="B1002" t="str">
            <v>Casado</v>
          </cell>
          <cell r="C1002" t="str">
            <v>R Alexandre Herculano</v>
          </cell>
          <cell r="D1002" t="str">
            <v>Gonzaga</v>
          </cell>
          <cell r="E1002" t="str">
            <v>SANTOS</v>
          </cell>
          <cell r="F1002" t="str">
            <v>SP</v>
          </cell>
          <cell r="G1002" t="str">
            <v>159</v>
          </cell>
          <cell r="H1002" t="str">
            <v>Apto. 12</v>
          </cell>
          <cell r="I1002" t="str">
            <v>11050-031</v>
          </cell>
          <cell r="J1002" t="str">
            <v>33490373</v>
          </cell>
          <cell r="K1002" t="str">
            <v/>
          </cell>
          <cell r="L1002" t="str">
            <v>Masculino</v>
          </cell>
          <cell r="M1002" t="str">
            <v>Parda</v>
          </cell>
          <cell r="N1002">
            <v>28738</v>
          </cell>
          <cell r="O1002" t="str">
            <v>339312646</v>
          </cell>
          <cell r="P1002" t="str">
            <v>SP</v>
          </cell>
          <cell r="Q1002" t="str">
            <v>SSP</v>
          </cell>
          <cell r="R1002" t="str">
            <v>SAO VICENTE</v>
          </cell>
        </row>
        <row r="1003">
          <cell r="A1003" t="str">
            <v>WILSON DIAS DE CASTRO JUNIOR</v>
          </cell>
          <cell r="B1003" t="str">
            <v>Casado</v>
          </cell>
          <cell r="C1003" t="str">
            <v>R Tiradentes</v>
          </cell>
          <cell r="D1003" t="str">
            <v>Canto do Forte</v>
          </cell>
          <cell r="E1003" t="str">
            <v>PRAIA GRANDE</v>
          </cell>
          <cell r="F1003" t="str">
            <v>SP</v>
          </cell>
          <cell r="G1003" t="str">
            <v>771</v>
          </cell>
          <cell r="H1003" t="str">
            <v>Casa 1</v>
          </cell>
          <cell r="I1003" t="str">
            <v>11700-290</v>
          </cell>
          <cell r="J1003" t="str">
            <v>996202127</v>
          </cell>
          <cell r="K1003" t="str">
            <v/>
          </cell>
          <cell r="L1003" t="str">
            <v>Masculino</v>
          </cell>
          <cell r="M1003" t="str">
            <v>Parda</v>
          </cell>
          <cell r="N1003">
            <v>29237</v>
          </cell>
          <cell r="O1003" t="str">
            <v>285779242</v>
          </cell>
          <cell r="P1003" t="str">
            <v>SP</v>
          </cell>
          <cell r="Q1003" t="str">
            <v>SSP</v>
          </cell>
          <cell r="R1003" t="str">
            <v>SAO PAULO</v>
          </cell>
        </row>
        <row r="1004">
          <cell r="A1004" t="str">
            <v>KIMBERCIG MOREIRA DOS SANTOS</v>
          </cell>
          <cell r="B1004" t="str">
            <v>Divorciado</v>
          </cell>
          <cell r="C1004" t="str">
            <v>R Arnaldo Perticarati</v>
          </cell>
          <cell r="D1004" t="str">
            <v>Nova Mirim</v>
          </cell>
          <cell r="E1004" t="str">
            <v>PRAIA GRANDE</v>
          </cell>
          <cell r="F1004" t="str">
            <v>SP</v>
          </cell>
          <cell r="G1004" t="str">
            <v>112</v>
          </cell>
          <cell r="H1004" t="str">
            <v>Casa 01</v>
          </cell>
          <cell r="I1004" t="str">
            <v>11717-090</v>
          </cell>
          <cell r="J1004" t="str">
            <v>982324539</v>
          </cell>
          <cell r="K1004" t="str">
            <v>32993050</v>
          </cell>
          <cell r="L1004" t="str">
            <v>Feminino</v>
          </cell>
          <cell r="M1004" t="str">
            <v>Parda</v>
          </cell>
          <cell r="N1004">
            <v>36891</v>
          </cell>
          <cell r="O1004" t="str">
            <v>630903682</v>
          </cell>
          <cell r="P1004" t="str">
            <v>SP</v>
          </cell>
          <cell r="Q1004" t="str">
            <v>SSP</v>
          </cell>
          <cell r="R1004" t="str">
            <v>SANTOS</v>
          </cell>
        </row>
        <row r="1005">
          <cell r="A1005" t="str">
            <v>JEAN CARLOS SILVA DOS REIS</v>
          </cell>
          <cell r="B1005" t="str">
            <v>Solteiro</v>
          </cell>
          <cell r="C1005" t="str">
            <v>R João Caetano</v>
          </cell>
          <cell r="D1005" t="str">
            <v>Campo Grande</v>
          </cell>
          <cell r="E1005" t="str">
            <v>SANTOS</v>
          </cell>
          <cell r="F1005" t="str">
            <v>SP</v>
          </cell>
          <cell r="G1005" t="str">
            <v>56</v>
          </cell>
          <cell r="H1005" t="str">
            <v>Apto: 32</v>
          </cell>
          <cell r="I1005" t="str">
            <v>11070-310</v>
          </cell>
          <cell r="J1005" t="str">
            <v>991697887</v>
          </cell>
          <cell r="K1005" t="str">
            <v/>
          </cell>
          <cell r="L1005" t="str">
            <v>Masculino</v>
          </cell>
          <cell r="M1005" t="str">
            <v>Parda</v>
          </cell>
          <cell r="N1005">
            <v>30078</v>
          </cell>
          <cell r="O1005" t="str">
            <v>329152828</v>
          </cell>
          <cell r="P1005" t="str">
            <v>SP</v>
          </cell>
          <cell r="Q1005" t="str">
            <v>SSP</v>
          </cell>
          <cell r="R1005" t="str">
            <v>SANTOS</v>
          </cell>
        </row>
        <row r="1006">
          <cell r="A1006" t="str">
            <v>JOAO PEDRO VIANA</v>
          </cell>
          <cell r="B1006" t="str">
            <v>União Estável</v>
          </cell>
          <cell r="C1006" t="str">
            <v>AV BERNARDINO DE CAMPOS</v>
          </cell>
          <cell r="D1006" t="str">
            <v>Campo Grande</v>
          </cell>
          <cell r="E1006" t="str">
            <v>SANTOS</v>
          </cell>
          <cell r="F1006" t="str">
            <v>SP</v>
          </cell>
          <cell r="G1006" t="str">
            <v>300</v>
          </cell>
          <cell r="H1006" t="str">
            <v>BLOCO A APTO. 31</v>
          </cell>
          <cell r="I1006" t="str">
            <v>11065-002</v>
          </cell>
          <cell r="J1006" t="str">
            <v>991903102</v>
          </cell>
          <cell r="K1006" t="str">
            <v/>
          </cell>
          <cell r="L1006" t="str">
            <v>Masculino</v>
          </cell>
          <cell r="M1006" t="str">
            <v>Parda</v>
          </cell>
          <cell r="N1006">
            <v>21763</v>
          </cell>
          <cell r="O1006" t="str">
            <v>136202019</v>
          </cell>
          <cell r="P1006" t="str">
            <v>SP</v>
          </cell>
          <cell r="Q1006" t="str">
            <v>SSP</v>
          </cell>
          <cell r="R1006" t="str">
            <v>SANTOS</v>
          </cell>
        </row>
        <row r="1007">
          <cell r="A1007" t="str">
            <v>JOSE DOURIVAL LIMA DOS SANTOS</v>
          </cell>
          <cell r="B1007" t="str">
            <v>Casado</v>
          </cell>
          <cell r="C1007" t="str">
            <v>R Alexandre Martins</v>
          </cell>
          <cell r="D1007" t="str">
            <v>Aparecida</v>
          </cell>
          <cell r="E1007" t="str">
            <v>SANTOS</v>
          </cell>
          <cell r="F1007" t="str">
            <v>SP</v>
          </cell>
          <cell r="G1007" t="str">
            <v>180</v>
          </cell>
          <cell r="H1007" t="str">
            <v>Apto 332</v>
          </cell>
          <cell r="I1007" t="str">
            <v>11025-200</v>
          </cell>
          <cell r="J1007" t="str">
            <v>30189232</v>
          </cell>
          <cell r="K1007" t="str">
            <v>988026275</v>
          </cell>
          <cell r="L1007" t="str">
            <v>Masculino</v>
          </cell>
          <cell r="M1007" t="str">
            <v>Parda</v>
          </cell>
          <cell r="N1007">
            <v>28081</v>
          </cell>
          <cell r="O1007" t="str">
            <v>274217971</v>
          </cell>
          <cell r="P1007" t="str">
            <v>SP</v>
          </cell>
          <cell r="Q1007" t="str">
            <v>SSP</v>
          </cell>
          <cell r="R1007" t="str">
            <v>SANTOS</v>
          </cell>
        </row>
        <row r="1008">
          <cell r="A1008" t="str">
            <v>MARCELO DE CARVALHO VILLAFANHA</v>
          </cell>
          <cell r="B1008" t="str">
            <v>Casado</v>
          </cell>
          <cell r="C1008" t="str">
            <v>R Major Santos Silva</v>
          </cell>
          <cell r="D1008" t="str">
            <v>Embaré</v>
          </cell>
          <cell r="E1008" t="str">
            <v>SANTOS</v>
          </cell>
          <cell r="F1008" t="str">
            <v>SP</v>
          </cell>
          <cell r="G1008" t="str">
            <v>18</v>
          </cell>
          <cell r="H1008" t="str">
            <v>Apartamento 101</v>
          </cell>
          <cell r="I1008" t="str">
            <v>11025-100</v>
          </cell>
          <cell r="J1008" t="str">
            <v>997738481</v>
          </cell>
          <cell r="K1008" t="str">
            <v>997738481</v>
          </cell>
          <cell r="L1008" t="str">
            <v>Masculino</v>
          </cell>
          <cell r="M1008" t="str">
            <v>Parda</v>
          </cell>
          <cell r="N1008">
            <v>23021</v>
          </cell>
          <cell r="O1008" t="str">
            <v>165909183</v>
          </cell>
          <cell r="P1008" t="str">
            <v>SP</v>
          </cell>
          <cell r="Q1008" t="str">
            <v>SSP</v>
          </cell>
          <cell r="R1008" t="str">
            <v>SANTOS</v>
          </cell>
        </row>
        <row r="1009">
          <cell r="A1009" t="str">
            <v>RICARDO ARTEN GORZELAK</v>
          </cell>
          <cell r="B1009" t="str">
            <v>Casado</v>
          </cell>
          <cell r="C1009" t="str">
            <v>AV DELFIM MARIO PADUA PEIXOTO</v>
          </cell>
          <cell r="D1009" t="str">
            <v>Balneario Santa Clara</v>
          </cell>
          <cell r="E1009" t="str">
            <v>ITAJAI</v>
          </cell>
          <cell r="F1009" t="str">
            <v>SC</v>
          </cell>
          <cell r="G1009" t="str">
            <v>350</v>
          </cell>
          <cell r="H1009" t="str">
            <v>APTO 802 TORRE 2</v>
          </cell>
          <cell r="I1009" t="str">
            <v>88306-806</v>
          </cell>
          <cell r="J1009" t="str">
            <v>32955000</v>
          </cell>
          <cell r="K1009" t="str">
            <v/>
          </cell>
          <cell r="L1009" t="str">
            <v>Masculino</v>
          </cell>
          <cell r="M1009" t="str">
            <v>Parda</v>
          </cell>
          <cell r="N1009">
            <v>26485</v>
          </cell>
          <cell r="O1009" t="str">
            <v>79930396</v>
          </cell>
          <cell r="P1009" t="str">
            <v>SP</v>
          </cell>
          <cell r="Q1009" t="str">
            <v>SSP</v>
          </cell>
          <cell r="R1009" t="str">
            <v>SANTOS</v>
          </cell>
        </row>
        <row r="1010">
          <cell r="A1010" t="str">
            <v>MARCELO GOMES DE OLIVEIRA</v>
          </cell>
          <cell r="B1010" t="str">
            <v>Casado</v>
          </cell>
          <cell r="C1010" t="str">
            <v>R FRANCISCA FARIA</v>
          </cell>
          <cell r="D1010" t="str">
            <v>Aparecida</v>
          </cell>
          <cell r="E1010" t="str">
            <v>SANTOS</v>
          </cell>
          <cell r="F1010" t="str">
            <v>SP</v>
          </cell>
          <cell r="G1010" t="str">
            <v>111</v>
          </cell>
          <cell r="H1010" t="str">
            <v>APTO 11</v>
          </cell>
          <cell r="I1010" t="str">
            <v>11035-250</v>
          </cell>
          <cell r="J1010" t="str">
            <v>32717570</v>
          </cell>
          <cell r="K1010" t="str">
            <v>974128065</v>
          </cell>
          <cell r="L1010" t="str">
            <v>Masculino</v>
          </cell>
          <cell r="M1010" t="str">
            <v>Parda</v>
          </cell>
          <cell r="N1010">
            <v>25387</v>
          </cell>
          <cell r="O1010" t="str">
            <v>189923416</v>
          </cell>
          <cell r="P1010" t="str">
            <v>SP</v>
          </cell>
          <cell r="Q1010" t="str">
            <v>SSP</v>
          </cell>
          <cell r="R1010" t="str">
            <v>SANTOS</v>
          </cell>
        </row>
        <row r="1011">
          <cell r="A1011" t="str">
            <v>DAILTON TAVARES DE OLIVEIRA</v>
          </cell>
          <cell r="B1011" t="str">
            <v>Casado</v>
          </cell>
          <cell r="C1011" t="str">
            <v>R VISCONDE DE FARIA</v>
          </cell>
          <cell r="D1011" t="str">
            <v>Campo Grande</v>
          </cell>
          <cell r="E1011" t="str">
            <v>SANTOS</v>
          </cell>
          <cell r="F1011" t="str">
            <v>SP</v>
          </cell>
          <cell r="G1011" t="str">
            <v>250</v>
          </cell>
          <cell r="H1011" t="str">
            <v/>
          </cell>
          <cell r="I1011" t="str">
            <v>11075-711</v>
          </cell>
          <cell r="J1011" t="str">
            <v>33262877</v>
          </cell>
          <cell r="K1011" t="str">
            <v>991526482</v>
          </cell>
          <cell r="L1011" t="str">
            <v>Masculino</v>
          </cell>
          <cell r="M1011" t="str">
            <v>Parda</v>
          </cell>
          <cell r="N1011">
            <v>22906</v>
          </cell>
          <cell r="O1011" t="str">
            <v>15531614</v>
          </cell>
          <cell r="P1011" t="str">
            <v>SP</v>
          </cell>
          <cell r="Q1011" t="str">
            <v>SSP</v>
          </cell>
          <cell r="R1011" t="str">
            <v>SANTOS</v>
          </cell>
        </row>
        <row r="1012">
          <cell r="A1012" t="str">
            <v>CLAUDIO LUIZ ALVES VIANA</v>
          </cell>
          <cell r="B1012" t="str">
            <v>Casado</v>
          </cell>
          <cell r="C1012" t="str">
            <v>R RANGEL PESTANA</v>
          </cell>
          <cell r="D1012" t="str">
            <v>Centro</v>
          </cell>
          <cell r="E1012" t="str">
            <v>SAO VICENTE</v>
          </cell>
          <cell r="F1012" t="str">
            <v>SP</v>
          </cell>
          <cell r="G1012" t="str">
            <v>66</v>
          </cell>
          <cell r="H1012" t="str">
            <v>APTO 81</v>
          </cell>
          <cell r="I1012" t="str">
            <v>11320-120</v>
          </cell>
          <cell r="J1012" t="str">
            <v>33799694</v>
          </cell>
          <cell r="K1012" t="str">
            <v>997573026</v>
          </cell>
          <cell r="L1012" t="str">
            <v>Masculino</v>
          </cell>
          <cell r="M1012" t="str">
            <v>Parda</v>
          </cell>
          <cell r="N1012">
            <v>26531</v>
          </cell>
          <cell r="O1012" t="str">
            <v>245458736</v>
          </cell>
          <cell r="P1012" t="str">
            <v>SP</v>
          </cell>
          <cell r="Q1012" t="str">
            <v>SSP</v>
          </cell>
          <cell r="R1012" t="str">
            <v>SAO VICENTE</v>
          </cell>
        </row>
        <row r="1013">
          <cell r="A1013" t="str">
            <v>EDISON RAMOS PEREIRA</v>
          </cell>
          <cell r="B1013" t="str">
            <v>Casado</v>
          </cell>
          <cell r="C1013" t="str">
            <v>R ESPIRITO SANTO</v>
          </cell>
          <cell r="D1013" t="str">
            <v>Jardim Independência</v>
          </cell>
          <cell r="E1013" t="str">
            <v>SAO VICENTE</v>
          </cell>
          <cell r="F1013" t="str">
            <v>SP</v>
          </cell>
          <cell r="G1013" t="str">
            <v>412</v>
          </cell>
          <cell r="H1013" t="str">
            <v>APTO 12</v>
          </cell>
          <cell r="I1013" t="str">
            <v>11380-380</v>
          </cell>
          <cell r="J1013" t="str">
            <v>974157113</v>
          </cell>
          <cell r="K1013" t="str">
            <v>997149370</v>
          </cell>
          <cell r="L1013" t="str">
            <v>Masculino</v>
          </cell>
          <cell r="M1013" t="str">
            <v>Parda</v>
          </cell>
          <cell r="N1013">
            <v>27455</v>
          </cell>
          <cell r="O1013" t="str">
            <v>215260600</v>
          </cell>
          <cell r="P1013" t="str">
            <v>SP</v>
          </cell>
          <cell r="Q1013" t="str">
            <v>SSP</v>
          </cell>
          <cell r="R1013" t="str">
            <v>SANTOS</v>
          </cell>
        </row>
        <row r="1014">
          <cell r="A1014" t="str">
            <v>ORLANDO CORREIA DOS SANTOS</v>
          </cell>
          <cell r="B1014" t="str">
            <v>Casado</v>
          </cell>
          <cell r="C1014" t="str">
            <v>AV DOUTOR ALCIDES DE ARAUJO</v>
          </cell>
          <cell r="D1014" t="str">
            <v>Vila Cascatinha</v>
          </cell>
          <cell r="E1014" t="str">
            <v>SAO VICENTE</v>
          </cell>
          <cell r="F1014" t="str">
            <v>SP</v>
          </cell>
          <cell r="G1014" t="str">
            <v>31</v>
          </cell>
          <cell r="H1014" t="str">
            <v/>
          </cell>
          <cell r="I1014" t="str">
            <v>11370-200</v>
          </cell>
          <cell r="J1014" t="str">
            <v>974115151</v>
          </cell>
          <cell r="K1014" t="str">
            <v>974143434</v>
          </cell>
          <cell r="L1014" t="str">
            <v>Masculino</v>
          </cell>
          <cell r="M1014" t="str">
            <v>Parda</v>
          </cell>
          <cell r="N1014">
            <v>24342</v>
          </cell>
          <cell r="O1014" t="str">
            <v>157369407</v>
          </cell>
          <cell r="P1014" t="str">
            <v>SP</v>
          </cell>
          <cell r="Q1014" t="str">
            <v>SSP</v>
          </cell>
          <cell r="R1014" t="str">
            <v>SANTOS</v>
          </cell>
        </row>
        <row r="1015">
          <cell r="A1015" t="str">
            <v>GUILHERME HENRIQUE CAMARGO BASSO</v>
          </cell>
          <cell r="B1015" t="str">
            <v>Casado</v>
          </cell>
          <cell r="C1015" t="str">
            <v>R ALEXANDRE FLEMING</v>
          </cell>
          <cell r="D1015" t="str">
            <v>Aparecida</v>
          </cell>
          <cell r="E1015" t="str">
            <v>SANTOS</v>
          </cell>
          <cell r="F1015" t="str">
            <v>SP</v>
          </cell>
          <cell r="G1015" t="str">
            <v>341</v>
          </cell>
          <cell r="H1015" t="str">
            <v>APTO 23</v>
          </cell>
          <cell r="I1015" t="str">
            <v>11040-010</v>
          </cell>
          <cell r="J1015" t="str">
            <v>996226778</v>
          </cell>
          <cell r="K1015" t="str">
            <v/>
          </cell>
          <cell r="L1015" t="str">
            <v>Masculino</v>
          </cell>
          <cell r="M1015" t="str">
            <v>Parda</v>
          </cell>
          <cell r="N1015">
            <v>32644</v>
          </cell>
          <cell r="O1015" t="str">
            <v>34509377X</v>
          </cell>
          <cell r="P1015" t="str">
            <v>SP</v>
          </cell>
          <cell r="Q1015" t="str">
            <v>SSP</v>
          </cell>
          <cell r="R1015" t="str">
            <v>SANTOS</v>
          </cell>
        </row>
        <row r="1016">
          <cell r="A1016" t="str">
            <v>ALEX SANDER DE SOUZA SANTOS</v>
          </cell>
          <cell r="B1016" t="str">
            <v>Casado</v>
          </cell>
          <cell r="C1016" t="str">
            <v>R LIBERDADE</v>
          </cell>
          <cell r="D1016" t="str">
            <v>Boqueirao</v>
          </cell>
          <cell r="E1016" t="str">
            <v>SANTOS</v>
          </cell>
          <cell r="F1016" t="str">
            <v>SP</v>
          </cell>
          <cell r="G1016" t="str">
            <v>268</v>
          </cell>
          <cell r="H1016" t="str">
            <v>APTO 32</v>
          </cell>
          <cell r="I1016" t="str">
            <v>11025-030</v>
          </cell>
          <cell r="J1016" t="str">
            <v>974039091</v>
          </cell>
          <cell r="K1016" t="str">
            <v>32362862</v>
          </cell>
          <cell r="L1016" t="str">
            <v>Masculino</v>
          </cell>
          <cell r="M1016" t="str">
            <v>Preta/Negra</v>
          </cell>
          <cell r="N1016">
            <v>29515</v>
          </cell>
          <cell r="O1016" t="str">
            <v>323226659</v>
          </cell>
          <cell r="P1016" t="str">
            <v>SP</v>
          </cell>
          <cell r="Q1016" t="str">
            <v>SSP</v>
          </cell>
          <cell r="R1016" t="str">
            <v>SAO JOSE DO RIO PRETO</v>
          </cell>
        </row>
        <row r="1017">
          <cell r="A1017" t="str">
            <v>NELSON VANEI DE OLIVEIRA</v>
          </cell>
          <cell r="B1017" t="str">
            <v>Casado</v>
          </cell>
          <cell r="C1017" t="str">
            <v>R AMADA DA SILVA MORAIS</v>
          </cell>
          <cell r="D1017" t="str">
            <v>Vila Sonia</v>
          </cell>
          <cell r="E1017" t="str">
            <v>PRAIA GRANDE</v>
          </cell>
          <cell r="F1017" t="str">
            <v>SP</v>
          </cell>
          <cell r="G1017" t="str">
            <v>312</v>
          </cell>
          <cell r="H1017" t="str">
            <v>CA 7</v>
          </cell>
          <cell r="I1017" t="str">
            <v>11722-120</v>
          </cell>
          <cell r="J1017" t="str">
            <v>981423049</v>
          </cell>
          <cell r="K1017" t="str">
            <v>33729404</v>
          </cell>
          <cell r="L1017" t="str">
            <v>Masculino</v>
          </cell>
          <cell r="M1017" t="str">
            <v>Parda</v>
          </cell>
          <cell r="N1017">
            <v>25749</v>
          </cell>
          <cell r="O1017" t="str">
            <v>236708934</v>
          </cell>
          <cell r="P1017" t="str">
            <v>MG</v>
          </cell>
          <cell r="Q1017" t="str">
            <v>SSP</v>
          </cell>
          <cell r="R1017" t="str">
            <v>SANTOS DUMONT</v>
          </cell>
        </row>
        <row r="1018">
          <cell r="A1018" t="str">
            <v>SIMONE MACHADO MEDEIROS JARDIM</v>
          </cell>
          <cell r="B1018" t="str">
            <v>Casado</v>
          </cell>
          <cell r="C1018" t="str">
            <v>R Cesário Bastos</v>
          </cell>
          <cell r="D1018" t="str">
            <v>Vila Belmiro</v>
          </cell>
          <cell r="E1018" t="str">
            <v>SANTOS</v>
          </cell>
          <cell r="F1018" t="str">
            <v>SP</v>
          </cell>
          <cell r="G1018" t="str">
            <v>28</v>
          </cell>
          <cell r="H1018" t="str">
            <v>casa 01</v>
          </cell>
          <cell r="I1018" t="str">
            <v>11075-270</v>
          </cell>
          <cell r="J1018" t="str">
            <v>996160025</v>
          </cell>
          <cell r="K1018" t="str">
            <v/>
          </cell>
          <cell r="L1018" t="str">
            <v>Feminino</v>
          </cell>
          <cell r="M1018" t="str">
            <v>Branca</v>
          </cell>
          <cell r="N1018">
            <v>30759</v>
          </cell>
          <cell r="O1018" t="str">
            <v>409182175</v>
          </cell>
          <cell r="P1018" t="str">
            <v>SP</v>
          </cell>
          <cell r="Q1018" t="str">
            <v>SSP</v>
          </cell>
          <cell r="R1018" t="str">
            <v>SANTOS</v>
          </cell>
        </row>
        <row r="1019">
          <cell r="A1019" t="str">
            <v>SILVIO PEREIRA</v>
          </cell>
          <cell r="B1019" t="str">
            <v>Casado</v>
          </cell>
          <cell r="C1019" t="str">
            <v>R JORGE CHADDAD</v>
          </cell>
          <cell r="D1019" t="str">
            <v>Jardim Las Palmas</v>
          </cell>
          <cell r="E1019" t="str">
            <v>GUARUJA</v>
          </cell>
          <cell r="F1019" t="str">
            <v>SP</v>
          </cell>
          <cell r="G1019" t="str">
            <v>501</v>
          </cell>
          <cell r="H1019" t="str">
            <v/>
          </cell>
          <cell r="I1019" t="str">
            <v>11420-230</v>
          </cell>
          <cell r="J1019" t="str">
            <v>997393013</v>
          </cell>
          <cell r="K1019" t="str">
            <v>974039234</v>
          </cell>
          <cell r="L1019" t="str">
            <v>Masculino</v>
          </cell>
          <cell r="M1019" t="str">
            <v>Parda</v>
          </cell>
          <cell r="N1019">
            <v>26043</v>
          </cell>
          <cell r="O1019" t="str">
            <v>225488875</v>
          </cell>
          <cell r="P1019" t="str">
            <v>SP</v>
          </cell>
          <cell r="Q1019" t="str">
            <v>SSP</v>
          </cell>
          <cell r="R1019" t="str">
            <v>GUARUJA</v>
          </cell>
        </row>
        <row r="1020">
          <cell r="A1020" t="str">
            <v>FLORIVALDO LEITE CERQUEIRA</v>
          </cell>
          <cell r="B1020" t="str">
            <v>Casado</v>
          </cell>
          <cell r="C1020" t="str">
            <v>R PAULINO PINTO DE OLIVEIRA</v>
          </cell>
          <cell r="D1020" t="str">
            <v>Jardim Conceiçãozinh</v>
          </cell>
          <cell r="E1020" t="str">
            <v>GUARUJA</v>
          </cell>
          <cell r="F1020" t="str">
            <v>SP</v>
          </cell>
          <cell r="G1020" t="str">
            <v>451</v>
          </cell>
          <cell r="H1020" t="str">
            <v>B</v>
          </cell>
          <cell r="I1020" t="str">
            <v>11472-060</v>
          </cell>
          <cell r="J1020" t="str">
            <v>997626127</v>
          </cell>
          <cell r="K1020" t="str">
            <v/>
          </cell>
          <cell r="L1020" t="str">
            <v>Masculino</v>
          </cell>
          <cell r="M1020" t="str">
            <v>Parda</v>
          </cell>
          <cell r="N1020">
            <v>24450</v>
          </cell>
          <cell r="O1020" t="str">
            <v>183269858</v>
          </cell>
          <cell r="P1020" t="str">
            <v>SP</v>
          </cell>
          <cell r="Q1020" t="str">
            <v>SSP</v>
          </cell>
          <cell r="R1020" t="str">
            <v>PALMEIRA DOS INDIOS</v>
          </cell>
        </row>
        <row r="1021">
          <cell r="A1021" t="str">
            <v>CARLOS ROBERTO DOS SANTOS</v>
          </cell>
          <cell r="B1021" t="str">
            <v>Viúvo</v>
          </cell>
          <cell r="C1021" t="str">
            <v>R TORRES HOMEM</v>
          </cell>
          <cell r="D1021" t="str">
            <v>Boqueirao</v>
          </cell>
          <cell r="E1021" t="str">
            <v>SANTOS</v>
          </cell>
          <cell r="F1021" t="str">
            <v>SP</v>
          </cell>
          <cell r="G1021" t="str">
            <v>233</v>
          </cell>
          <cell r="H1021" t="str">
            <v>APTO 602</v>
          </cell>
          <cell r="I1021" t="str">
            <v>11025-020</v>
          </cell>
          <cell r="J1021" t="str">
            <v>996761822</v>
          </cell>
          <cell r="K1021" t="str">
            <v>996761822</v>
          </cell>
          <cell r="L1021" t="str">
            <v>Masculino</v>
          </cell>
          <cell r="M1021" t="str">
            <v>Parda</v>
          </cell>
          <cell r="N1021">
            <v>27705</v>
          </cell>
          <cell r="O1021" t="str">
            <v>27005666X</v>
          </cell>
          <cell r="P1021" t="str">
            <v>SP</v>
          </cell>
          <cell r="Q1021" t="str">
            <v>SSP</v>
          </cell>
          <cell r="R1021" t="str">
            <v>SANTOS</v>
          </cell>
        </row>
        <row r="1022">
          <cell r="A1022" t="str">
            <v>RENATO GILBERT DE MATOS GUEDES</v>
          </cell>
          <cell r="B1022" t="str">
            <v>Casado</v>
          </cell>
          <cell r="C1022" t="str">
            <v>R CURACAO</v>
          </cell>
          <cell r="D1022" t="str">
            <v>Vila Nossa Senhora d</v>
          </cell>
          <cell r="E1022" t="str">
            <v>SAO VICENTE</v>
          </cell>
          <cell r="F1022" t="str">
            <v>SP</v>
          </cell>
          <cell r="G1022" t="str">
            <v>267</v>
          </cell>
          <cell r="H1022" t="str">
            <v>CASA 2</v>
          </cell>
          <cell r="I1022" t="str">
            <v>11355-320</v>
          </cell>
          <cell r="J1022" t="str">
            <v>34618164</v>
          </cell>
          <cell r="K1022" t="str">
            <v>991825666</v>
          </cell>
          <cell r="L1022" t="str">
            <v>Masculino</v>
          </cell>
          <cell r="M1022" t="str">
            <v>Parda</v>
          </cell>
          <cell r="N1022">
            <v>30389</v>
          </cell>
          <cell r="O1022" t="str">
            <v>298726130</v>
          </cell>
          <cell r="P1022" t="str">
            <v>SP</v>
          </cell>
          <cell r="Q1022" t="str">
            <v>SSP</v>
          </cell>
          <cell r="R1022" t="str">
            <v>SAO PAULO</v>
          </cell>
        </row>
        <row r="1023">
          <cell r="A1023" t="str">
            <v>ROBSON VARELA BARACHO</v>
          </cell>
          <cell r="B1023" t="str">
            <v>Casado</v>
          </cell>
          <cell r="C1023" t="str">
            <v>AV Antonio Carneiro Lopes</v>
          </cell>
          <cell r="D1023" t="str">
            <v>Parque Continental</v>
          </cell>
          <cell r="E1023" t="str">
            <v>SAO VICENTE</v>
          </cell>
          <cell r="F1023" t="str">
            <v>SP</v>
          </cell>
          <cell r="G1023" t="str">
            <v>382</v>
          </cell>
          <cell r="H1023" t="str">
            <v>Casa</v>
          </cell>
          <cell r="I1023" t="str">
            <v>11348-250</v>
          </cell>
          <cell r="J1023" t="str">
            <v>996800879</v>
          </cell>
          <cell r="K1023" t="str">
            <v>34063220</v>
          </cell>
          <cell r="L1023" t="str">
            <v>Masculino</v>
          </cell>
          <cell r="M1023" t="str">
            <v>Parda</v>
          </cell>
          <cell r="N1023">
            <v>28115</v>
          </cell>
          <cell r="O1023" t="str">
            <v>284469683</v>
          </cell>
          <cell r="P1023" t="str">
            <v>SP</v>
          </cell>
          <cell r="Q1023" t="str">
            <v>SSP</v>
          </cell>
          <cell r="R1023" t="str">
            <v>SAO VICENTE</v>
          </cell>
        </row>
        <row r="1024">
          <cell r="A1024" t="str">
            <v>DANIEL CARLOS DE LIMA</v>
          </cell>
          <cell r="B1024" t="str">
            <v>Casado</v>
          </cell>
          <cell r="C1024" t="str">
            <v>AV NOVE DE JULHO</v>
          </cell>
          <cell r="D1024" t="str">
            <v>Vila Cascatinha</v>
          </cell>
          <cell r="E1024" t="str">
            <v>SAO VICENTE</v>
          </cell>
          <cell r="F1024" t="str">
            <v>SP</v>
          </cell>
          <cell r="G1024" t="str">
            <v>445</v>
          </cell>
          <cell r="H1024" t="str">
            <v>CASA</v>
          </cell>
          <cell r="I1024" t="str">
            <v>11320-010</v>
          </cell>
          <cell r="J1024" t="str">
            <v>35617691</v>
          </cell>
          <cell r="K1024" t="str">
            <v>981002941</v>
          </cell>
          <cell r="L1024" t="str">
            <v>Masculino</v>
          </cell>
          <cell r="M1024" t="str">
            <v>Parda</v>
          </cell>
          <cell r="N1024">
            <v>29009</v>
          </cell>
          <cell r="O1024" t="str">
            <v>279257636</v>
          </cell>
          <cell r="P1024" t="str">
            <v>SP</v>
          </cell>
          <cell r="Q1024" t="str">
            <v>SSP</v>
          </cell>
          <cell r="R1024" t="str">
            <v>SANTOS</v>
          </cell>
        </row>
        <row r="1025">
          <cell r="A1025" t="str">
            <v>SIDNEI FERREIRA DE LIMA</v>
          </cell>
          <cell r="B1025" t="str">
            <v>Casado</v>
          </cell>
          <cell r="C1025" t="str">
            <v>R MARIA MERCEDES FEA</v>
          </cell>
          <cell r="D1025" t="str">
            <v>Saboo</v>
          </cell>
          <cell r="E1025" t="str">
            <v>SANTOS</v>
          </cell>
          <cell r="F1025" t="str">
            <v>SP</v>
          </cell>
          <cell r="G1025" t="str">
            <v>268</v>
          </cell>
          <cell r="H1025" t="str">
            <v>APTO 67</v>
          </cell>
          <cell r="I1025" t="str">
            <v>11085-100</v>
          </cell>
          <cell r="J1025" t="str">
            <v>974042311</v>
          </cell>
          <cell r="K1025" t="str">
            <v>22022581</v>
          </cell>
          <cell r="L1025" t="str">
            <v>Masculino</v>
          </cell>
          <cell r="M1025" t="str">
            <v>Parda</v>
          </cell>
          <cell r="N1025">
            <v>28199</v>
          </cell>
          <cell r="O1025" t="str">
            <v>273464644</v>
          </cell>
          <cell r="P1025" t="str">
            <v>SP</v>
          </cell>
          <cell r="Q1025" t="str">
            <v>SSP</v>
          </cell>
          <cell r="R1025" t="str">
            <v>SANTOS</v>
          </cell>
        </row>
        <row r="1026">
          <cell r="A1026" t="str">
            <v>RODRIGO MARTINS MOREIRA</v>
          </cell>
          <cell r="B1026" t="str">
            <v>Casado</v>
          </cell>
          <cell r="C1026" t="str">
            <v>R JORDAO OTAVIO DE AZEVEDO</v>
          </cell>
          <cell r="D1026" t="str">
            <v>Jardim Monteiro da Cruz</v>
          </cell>
          <cell r="E1026" t="str">
            <v>GUARUJA</v>
          </cell>
          <cell r="F1026" t="str">
            <v>SP</v>
          </cell>
          <cell r="G1026" t="str">
            <v>385</v>
          </cell>
          <cell r="H1026" t="str">
            <v/>
          </cell>
          <cell r="I1026" t="str">
            <v>11462-400</v>
          </cell>
          <cell r="J1026" t="str">
            <v>981623172</v>
          </cell>
          <cell r="K1026" t="str">
            <v/>
          </cell>
          <cell r="L1026" t="str">
            <v>Masculino</v>
          </cell>
          <cell r="M1026" t="str">
            <v>Parda</v>
          </cell>
          <cell r="N1026">
            <v>27769</v>
          </cell>
          <cell r="O1026" t="str">
            <v>26842004X</v>
          </cell>
          <cell r="P1026" t="str">
            <v>SP</v>
          </cell>
          <cell r="Q1026" t="str">
            <v>SSP</v>
          </cell>
          <cell r="R1026" t="str">
            <v>GUARUJA</v>
          </cell>
        </row>
        <row r="1027">
          <cell r="A1027" t="str">
            <v>FERNANDO GOMES DA COSTA</v>
          </cell>
          <cell r="B1027" t="str">
            <v>Casado</v>
          </cell>
          <cell r="C1027" t="str">
            <v>R JOAQUIM DIAS</v>
          </cell>
          <cell r="D1027" t="str">
            <v>Vila Valença</v>
          </cell>
          <cell r="E1027" t="str">
            <v>SAO VICENTE</v>
          </cell>
          <cell r="F1027" t="str">
            <v>SP</v>
          </cell>
          <cell r="G1027" t="str">
            <v>102</v>
          </cell>
          <cell r="H1027" t="str">
            <v>CASA 2</v>
          </cell>
          <cell r="I1027" t="str">
            <v>11390-170</v>
          </cell>
          <cell r="J1027" t="str">
            <v>34666895</v>
          </cell>
          <cell r="K1027" t="str">
            <v>991418830</v>
          </cell>
          <cell r="L1027" t="str">
            <v>Masculino</v>
          </cell>
          <cell r="M1027" t="str">
            <v>Parda</v>
          </cell>
          <cell r="N1027">
            <v>23485</v>
          </cell>
          <cell r="O1027" t="str">
            <v>162469159</v>
          </cell>
          <cell r="P1027" t="str">
            <v>SP</v>
          </cell>
          <cell r="Q1027" t="str">
            <v>SSP</v>
          </cell>
          <cell r="R1027" t="str">
            <v>SANTOS</v>
          </cell>
        </row>
        <row r="1028">
          <cell r="A1028" t="str">
            <v>PAULO ROBERTO DE ARAUJO</v>
          </cell>
          <cell r="B1028" t="str">
            <v>Casado</v>
          </cell>
          <cell r="C1028" t="str">
            <v>AV PRESIDENTE KENNEDY</v>
          </cell>
          <cell r="D1028" t="str">
            <v>Guilhermina</v>
          </cell>
          <cell r="E1028" t="str">
            <v>PRAIA GRANDE</v>
          </cell>
          <cell r="F1028" t="str">
            <v>SP</v>
          </cell>
          <cell r="G1028" t="str">
            <v>32130</v>
          </cell>
          <cell r="H1028" t="str">
            <v>CASA 1</v>
          </cell>
          <cell r="I1028" t="str">
            <v>11702-200</v>
          </cell>
          <cell r="J1028" t="str">
            <v>974234266</v>
          </cell>
          <cell r="K1028" t="str">
            <v>974239455</v>
          </cell>
          <cell r="L1028" t="str">
            <v>Masculino</v>
          </cell>
          <cell r="M1028" t="str">
            <v>Parda</v>
          </cell>
          <cell r="N1028">
            <v>28230</v>
          </cell>
          <cell r="O1028" t="str">
            <v>268858664</v>
          </cell>
          <cell r="P1028" t="str">
            <v>SP</v>
          </cell>
          <cell r="Q1028" t="str">
            <v>SSP</v>
          </cell>
          <cell r="R1028" t="str">
            <v>SANTOS</v>
          </cell>
        </row>
        <row r="1029">
          <cell r="A1029" t="str">
            <v>CARLOS ALBERTO DA SILVA OLIVEIRA ARAUJO</v>
          </cell>
          <cell r="B1029" t="str">
            <v>Casado</v>
          </cell>
          <cell r="C1029" t="str">
            <v>R SEBASTIAO PAES DE ALCANTARA</v>
          </cell>
          <cell r="D1029" t="str">
            <v>Esplanada dos Barrei</v>
          </cell>
          <cell r="E1029" t="str">
            <v>SAO VICENTE</v>
          </cell>
          <cell r="F1029" t="str">
            <v>SP</v>
          </cell>
          <cell r="G1029" t="str">
            <v>28</v>
          </cell>
          <cell r="H1029" t="str">
            <v>CASA</v>
          </cell>
          <cell r="I1029" t="str">
            <v>11340-290</v>
          </cell>
          <cell r="J1029" t="str">
            <v>982084548</v>
          </cell>
          <cell r="K1029" t="str">
            <v>34617811</v>
          </cell>
          <cell r="L1029" t="str">
            <v>Masculino</v>
          </cell>
          <cell r="M1029" t="str">
            <v>Parda</v>
          </cell>
          <cell r="N1029">
            <v>29476</v>
          </cell>
          <cell r="O1029" t="str">
            <v>270327551</v>
          </cell>
          <cell r="P1029" t="str">
            <v>SP</v>
          </cell>
          <cell r="Q1029" t="str">
            <v>SSP</v>
          </cell>
          <cell r="R1029" t="str">
            <v>SANTOS</v>
          </cell>
        </row>
        <row r="1030">
          <cell r="A1030" t="str">
            <v>PAULO ROBERTO ROSENDO</v>
          </cell>
          <cell r="B1030" t="str">
            <v>Casado</v>
          </cell>
          <cell r="C1030" t="str">
            <v>R IRMA MARIA ALBERTA</v>
          </cell>
          <cell r="D1030" t="str">
            <v>Samarita</v>
          </cell>
          <cell r="E1030" t="str">
            <v>SAO VICENTE</v>
          </cell>
          <cell r="F1030" t="str">
            <v>SP</v>
          </cell>
          <cell r="G1030" t="str">
            <v>76</v>
          </cell>
          <cell r="H1030" t="str">
            <v>BLOCO 1 AP 201</v>
          </cell>
          <cell r="I1030" t="str">
            <v>11345-045</v>
          </cell>
          <cell r="J1030" t="str">
            <v>991822823</v>
          </cell>
          <cell r="K1030" t="str">
            <v>991822823</v>
          </cell>
          <cell r="L1030" t="str">
            <v>Masculino</v>
          </cell>
          <cell r="M1030" t="str">
            <v>Parda</v>
          </cell>
          <cell r="N1030">
            <v>27121</v>
          </cell>
          <cell r="O1030" t="str">
            <v>250065393</v>
          </cell>
          <cell r="P1030" t="str">
            <v>SP</v>
          </cell>
          <cell r="Q1030" t="str">
            <v>SSP</v>
          </cell>
          <cell r="R1030" t="str">
            <v>TIMBAUBA</v>
          </cell>
        </row>
        <row r="1031">
          <cell r="A1031" t="str">
            <v>JULIANO DA SILVA SOUZA</v>
          </cell>
          <cell r="B1031" t="str">
            <v>Casado</v>
          </cell>
          <cell r="C1031" t="str">
            <v>R ALAMEDA DAS PALMAS</v>
          </cell>
          <cell r="D1031" t="str">
            <v>Jardim Primavera</v>
          </cell>
          <cell r="E1031" t="str">
            <v>GUARUJA</v>
          </cell>
          <cell r="F1031" t="str">
            <v>SP</v>
          </cell>
          <cell r="G1031" t="str">
            <v>365</v>
          </cell>
          <cell r="H1031" t="str">
            <v>CASA</v>
          </cell>
          <cell r="I1031" t="str">
            <v>11432-230</v>
          </cell>
          <cell r="J1031" t="str">
            <v>981409851</v>
          </cell>
          <cell r="K1031" t="str">
            <v>981860027</v>
          </cell>
          <cell r="L1031" t="str">
            <v>Masculino</v>
          </cell>
          <cell r="M1031" t="str">
            <v>Parda</v>
          </cell>
          <cell r="N1031">
            <v>32078</v>
          </cell>
          <cell r="O1031" t="str">
            <v>424171314</v>
          </cell>
          <cell r="P1031" t="str">
            <v>SP</v>
          </cell>
          <cell r="Q1031" t="str">
            <v>SSP</v>
          </cell>
          <cell r="R1031" t="str">
            <v>GUARUJA</v>
          </cell>
        </row>
        <row r="1032">
          <cell r="A1032" t="str">
            <v>EDSON ROBERTO BENEDITO LEITE</v>
          </cell>
          <cell r="B1032" t="str">
            <v>Casado</v>
          </cell>
          <cell r="C1032" t="str">
            <v>R AFONSO CAMARA</v>
          </cell>
          <cell r="D1032" t="str">
            <v>Parque Enseada</v>
          </cell>
          <cell r="E1032" t="str">
            <v>GUARUJA</v>
          </cell>
          <cell r="F1032" t="str">
            <v>SP</v>
          </cell>
          <cell r="G1032" t="str">
            <v>116</v>
          </cell>
          <cell r="H1032" t="str">
            <v>CASA</v>
          </cell>
          <cell r="I1032" t="str">
            <v>11443-110</v>
          </cell>
          <cell r="J1032" t="str">
            <v>991078345</v>
          </cell>
          <cell r="K1032" t="str">
            <v>988426830</v>
          </cell>
          <cell r="L1032" t="str">
            <v>Masculino</v>
          </cell>
          <cell r="M1032" t="str">
            <v>Parda</v>
          </cell>
          <cell r="N1032">
            <v>28616</v>
          </cell>
          <cell r="O1032" t="str">
            <v>326773976</v>
          </cell>
          <cell r="P1032" t="str">
            <v>SP</v>
          </cell>
          <cell r="Q1032" t="str">
            <v>SSP</v>
          </cell>
          <cell r="R1032" t="str">
            <v>GUARUJA</v>
          </cell>
        </row>
        <row r="1033">
          <cell r="A1033" t="str">
            <v>ADILSON PEREIRA COSTA</v>
          </cell>
          <cell r="B1033" t="str">
            <v>Casado</v>
          </cell>
          <cell r="C1033" t="str">
            <v>R CALIXTO DAIGE</v>
          </cell>
          <cell r="D1033" t="str">
            <v>Vila Santo Antonio</v>
          </cell>
          <cell r="E1033" t="str">
            <v>GUARUJA</v>
          </cell>
          <cell r="F1033" t="str">
            <v>SP</v>
          </cell>
          <cell r="G1033" t="str">
            <v>56</v>
          </cell>
          <cell r="H1033" t="str">
            <v>CASA A</v>
          </cell>
          <cell r="I1033" t="str">
            <v>11432-490</v>
          </cell>
          <cell r="J1033" t="str">
            <v>33577086</v>
          </cell>
          <cell r="K1033" t="str">
            <v>974168115</v>
          </cell>
          <cell r="L1033" t="str">
            <v>Masculino</v>
          </cell>
          <cell r="M1033" t="str">
            <v>Parda</v>
          </cell>
          <cell r="N1033">
            <v>26120</v>
          </cell>
          <cell r="O1033" t="str">
            <v>22544820</v>
          </cell>
          <cell r="P1033" t="str">
            <v>SP</v>
          </cell>
          <cell r="Q1033" t="str">
            <v>SSP</v>
          </cell>
          <cell r="R1033" t="str">
            <v>SANTOS</v>
          </cell>
        </row>
        <row r="1034">
          <cell r="A1034" t="str">
            <v>CAMILA SILVEIRA PICCIRILO DUARTE</v>
          </cell>
          <cell r="B1034" t="str">
            <v>Solteiro</v>
          </cell>
          <cell r="C1034" t="str">
            <v>AV PARIS</v>
          </cell>
          <cell r="D1034" t="str">
            <v>Boqueirao</v>
          </cell>
          <cell r="E1034" t="str">
            <v>PRAIA GRANDE</v>
          </cell>
          <cell r="F1034" t="str">
            <v>SP</v>
          </cell>
          <cell r="G1034" t="str">
            <v>1071</v>
          </cell>
          <cell r="H1034" t="str">
            <v>Casa</v>
          </cell>
          <cell r="I1034" t="str">
            <v>11700-080</v>
          </cell>
          <cell r="J1034" t="str">
            <v>974197117</v>
          </cell>
          <cell r="K1034" t="str">
            <v/>
          </cell>
          <cell r="L1034" t="str">
            <v>Feminino</v>
          </cell>
          <cell r="M1034" t="str">
            <v>Parda</v>
          </cell>
          <cell r="N1034">
            <v>34241</v>
          </cell>
          <cell r="O1034" t="str">
            <v>392265709</v>
          </cell>
          <cell r="P1034" t="str">
            <v>SP</v>
          </cell>
          <cell r="Q1034" t="str">
            <v>SSP</v>
          </cell>
          <cell r="R1034" t="str">
            <v>SANTOS</v>
          </cell>
        </row>
        <row r="1035">
          <cell r="A1035" t="str">
            <v>ELIAS LOPES DE OLIVEIRA JUNIOR</v>
          </cell>
          <cell r="B1035" t="str">
            <v>Casado</v>
          </cell>
          <cell r="C1035" t="str">
            <v>AV PEDRO TAQUES</v>
          </cell>
          <cell r="D1035" t="str">
            <v>Jardim Trevo</v>
          </cell>
          <cell r="E1035" t="str">
            <v>PRAIA GRANDE</v>
          </cell>
          <cell r="F1035" t="str">
            <v>SP</v>
          </cell>
          <cell r="G1035" t="str">
            <v>72</v>
          </cell>
          <cell r="H1035" t="str">
            <v>CASA 3</v>
          </cell>
          <cell r="I1035" t="str">
            <v>11714-430</v>
          </cell>
          <cell r="J1035" t="str">
            <v>988148142</v>
          </cell>
          <cell r="K1035" t="str">
            <v>981492161</v>
          </cell>
          <cell r="L1035" t="str">
            <v>Masculino</v>
          </cell>
          <cell r="M1035" t="str">
            <v>Parda</v>
          </cell>
          <cell r="N1035">
            <v>28705</v>
          </cell>
          <cell r="O1035" t="str">
            <v>558266691</v>
          </cell>
          <cell r="P1035" t="str">
            <v>SP</v>
          </cell>
          <cell r="Q1035" t="str">
            <v>SSP</v>
          </cell>
          <cell r="R1035" t="str">
            <v>FEIRA DE SANTANA</v>
          </cell>
        </row>
        <row r="1036">
          <cell r="A1036" t="str">
            <v>ALEXANDRE GOMES DOS SANTOS</v>
          </cell>
          <cell r="B1036" t="str">
            <v>Solteiro</v>
          </cell>
          <cell r="C1036" t="str">
            <v>AV AFONSO PENNA</v>
          </cell>
          <cell r="D1036" t="str">
            <v>Boqueirao</v>
          </cell>
          <cell r="E1036" t="str">
            <v>SANTOS</v>
          </cell>
          <cell r="F1036" t="str">
            <v>SP</v>
          </cell>
          <cell r="G1036" t="str">
            <v>255</v>
          </cell>
          <cell r="H1036" t="str">
            <v>AP 12</v>
          </cell>
          <cell r="I1036" t="str">
            <v>11020-000</v>
          </cell>
          <cell r="J1036" t="str">
            <v>40102715</v>
          </cell>
          <cell r="K1036" t="str">
            <v>997192206</v>
          </cell>
          <cell r="L1036" t="str">
            <v>Masculino</v>
          </cell>
          <cell r="M1036" t="str">
            <v>Parda</v>
          </cell>
          <cell r="N1036">
            <v>34153</v>
          </cell>
          <cell r="O1036" t="str">
            <v>489006292</v>
          </cell>
          <cell r="P1036" t="str">
            <v>SP</v>
          </cell>
          <cell r="Q1036" t="str">
            <v>SSP</v>
          </cell>
          <cell r="R1036" t="str">
            <v>SANTOS</v>
          </cell>
        </row>
        <row r="1037">
          <cell r="A1037" t="str">
            <v>RODRIGO FERREIRA DOS SANTOS</v>
          </cell>
          <cell r="B1037" t="str">
            <v>Casado</v>
          </cell>
          <cell r="C1037" t="str">
            <v>R Dona Leonor Mendes de Barros</v>
          </cell>
          <cell r="D1037" t="str">
            <v>Vila São Jorge</v>
          </cell>
          <cell r="E1037" t="str">
            <v>SAO VICENTE</v>
          </cell>
          <cell r="F1037" t="str">
            <v>SP</v>
          </cell>
          <cell r="G1037" t="str">
            <v>586</v>
          </cell>
          <cell r="H1037" t="str">
            <v>Casa 04</v>
          </cell>
          <cell r="I1037" t="str">
            <v>11380-050</v>
          </cell>
          <cell r="J1037" t="str">
            <v>996650515</v>
          </cell>
          <cell r="K1037" t="str">
            <v/>
          </cell>
          <cell r="L1037" t="str">
            <v>Masculino</v>
          </cell>
          <cell r="M1037" t="str">
            <v>Branca</v>
          </cell>
          <cell r="N1037">
            <v>31510</v>
          </cell>
          <cell r="O1037" t="str">
            <v>442159213</v>
          </cell>
          <cell r="P1037" t="str">
            <v>SP</v>
          </cell>
          <cell r="Q1037" t="str">
            <v>SSP</v>
          </cell>
          <cell r="R1037" t="str">
            <v>SANTOS</v>
          </cell>
        </row>
        <row r="1038">
          <cell r="A1038" t="str">
            <v>WAGNER BARGA DA COSTA SILVA</v>
          </cell>
          <cell r="B1038" t="str">
            <v>Casado</v>
          </cell>
          <cell r="C1038" t="str">
            <v>R COMENDADOR ALFAIA RODRIGUES</v>
          </cell>
          <cell r="D1038" t="str">
            <v>Embare</v>
          </cell>
          <cell r="E1038" t="str">
            <v>SANTOS</v>
          </cell>
          <cell r="F1038" t="str">
            <v>SP</v>
          </cell>
          <cell r="G1038" t="str">
            <v>102</v>
          </cell>
          <cell r="H1038" t="str">
            <v>CASA DE BAIXO</v>
          </cell>
          <cell r="I1038" t="str">
            <v>11025-150</v>
          </cell>
          <cell r="J1038" t="str">
            <v>33459507</v>
          </cell>
          <cell r="K1038" t="str">
            <v>997020991</v>
          </cell>
          <cell r="L1038" t="str">
            <v>Masculino</v>
          </cell>
          <cell r="M1038" t="str">
            <v>Parda</v>
          </cell>
          <cell r="N1038">
            <v>30405</v>
          </cell>
          <cell r="O1038" t="str">
            <v>347427819</v>
          </cell>
          <cell r="P1038" t="str">
            <v>SP</v>
          </cell>
          <cell r="Q1038" t="str">
            <v>SSP</v>
          </cell>
          <cell r="R1038" t="str">
            <v>SANTOS</v>
          </cell>
        </row>
        <row r="1039">
          <cell r="A1039" t="str">
            <v>ANDRE LUIZ DOS SANTOS LIMA</v>
          </cell>
          <cell r="B1039" t="str">
            <v>Casado</v>
          </cell>
          <cell r="C1039" t="str">
            <v>AV ALVORADA</v>
          </cell>
          <cell r="D1039" t="str">
            <v>Jardim Alvorada (Vic</v>
          </cell>
          <cell r="E1039" t="str">
            <v>GUARUJA</v>
          </cell>
          <cell r="F1039" t="str">
            <v>SP</v>
          </cell>
          <cell r="G1039" t="str">
            <v>501</v>
          </cell>
          <cell r="H1039" t="str">
            <v/>
          </cell>
          <cell r="I1039" t="str">
            <v>11470-000</v>
          </cell>
          <cell r="J1039" t="str">
            <v>33425675</v>
          </cell>
          <cell r="K1039" t="str">
            <v>974156118</v>
          </cell>
          <cell r="L1039" t="str">
            <v>Masculino</v>
          </cell>
          <cell r="M1039" t="str">
            <v>Parda</v>
          </cell>
          <cell r="N1039">
            <v>26022</v>
          </cell>
          <cell r="O1039" t="str">
            <v>233204647</v>
          </cell>
          <cell r="P1039" t="str">
            <v>SP</v>
          </cell>
          <cell r="Q1039" t="str">
            <v>SSP</v>
          </cell>
          <cell r="R1039" t="str">
            <v>SANTOS</v>
          </cell>
        </row>
        <row r="1040">
          <cell r="A1040" t="str">
            <v>HUGO ALVES DE SOUZA</v>
          </cell>
          <cell r="B1040" t="str">
            <v>Casado</v>
          </cell>
          <cell r="C1040" t="str">
            <v>R PEDRO ALVARES CABRAL</v>
          </cell>
          <cell r="D1040" t="str">
            <v>Vila Valença</v>
          </cell>
          <cell r="E1040" t="str">
            <v>SAO VICENTE</v>
          </cell>
          <cell r="F1040" t="str">
            <v>SP</v>
          </cell>
          <cell r="G1040" t="str">
            <v>206</v>
          </cell>
          <cell r="H1040" t="str">
            <v/>
          </cell>
          <cell r="I1040" t="str">
            <v>11390-120</v>
          </cell>
          <cell r="J1040" t="str">
            <v>32305544</v>
          </cell>
          <cell r="K1040" t="str">
            <v>991140141</v>
          </cell>
          <cell r="L1040" t="str">
            <v>Masculino</v>
          </cell>
          <cell r="M1040" t="str">
            <v>Parda</v>
          </cell>
          <cell r="N1040">
            <v>29869</v>
          </cell>
          <cell r="O1040" t="str">
            <v>438536447</v>
          </cell>
          <cell r="P1040" t="str">
            <v>SP</v>
          </cell>
          <cell r="Q1040" t="str">
            <v>SSP</v>
          </cell>
          <cell r="R1040" t="str">
            <v>SANTOS</v>
          </cell>
        </row>
        <row r="1041">
          <cell r="A1041" t="str">
            <v>ARTUR CESAR DE OLIVEIRA MEIRELLES</v>
          </cell>
          <cell r="B1041" t="str">
            <v>Casado</v>
          </cell>
          <cell r="C1041" t="str">
            <v>R ANGELO MARTINS MELERO</v>
          </cell>
          <cell r="D1041" t="str">
            <v>Caneleira</v>
          </cell>
          <cell r="E1041" t="str">
            <v>SANTOS</v>
          </cell>
          <cell r="F1041" t="str">
            <v>SP</v>
          </cell>
          <cell r="G1041" t="str">
            <v>251</v>
          </cell>
          <cell r="H1041" t="str">
            <v>BL B AP 33</v>
          </cell>
          <cell r="I1041" t="str">
            <v>11085-580</v>
          </cell>
          <cell r="J1041" t="str">
            <v>33853614</v>
          </cell>
          <cell r="K1041" t="str">
            <v>997786370</v>
          </cell>
          <cell r="L1041" t="str">
            <v>Masculino</v>
          </cell>
          <cell r="M1041" t="str">
            <v>Parda</v>
          </cell>
          <cell r="N1041">
            <v>26530</v>
          </cell>
          <cell r="O1041" t="str">
            <v>230355213</v>
          </cell>
          <cell r="P1041" t="str">
            <v>SP</v>
          </cell>
          <cell r="Q1041" t="str">
            <v>SSP</v>
          </cell>
          <cell r="R1041" t="str">
            <v>SANTOS</v>
          </cell>
        </row>
        <row r="1042">
          <cell r="A1042" t="str">
            <v>LUAN HENRIQUE AGUIAR</v>
          </cell>
          <cell r="B1042" t="str">
            <v>Casado</v>
          </cell>
          <cell r="C1042" t="str">
            <v>R SATURNINO DE BRITO</v>
          </cell>
          <cell r="D1042" t="str">
            <v>Tude Bastos</v>
          </cell>
          <cell r="E1042" t="str">
            <v>PRAIA GRANDE</v>
          </cell>
          <cell r="F1042" t="str">
            <v>SP</v>
          </cell>
          <cell r="G1042" t="str">
            <v>78</v>
          </cell>
          <cell r="H1042" t="str">
            <v>CASA 6</v>
          </cell>
          <cell r="I1042" t="str">
            <v>11725-160</v>
          </cell>
          <cell r="J1042" t="str">
            <v>996894077</v>
          </cell>
          <cell r="K1042" t="str">
            <v>997076207</v>
          </cell>
          <cell r="L1042" t="str">
            <v>Masculino</v>
          </cell>
          <cell r="M1042" t="str">
            <v>Parda</v>
          </cell>
          <cell r="N1042">
            <v>33852</v>
          </cell>
          <cell r="O1042" t="str">
            <v>360095458</v>
          </cell>
          <cell r="P1042" t="str">
            <v>SP</v>
          </cell>
          <cell r="Q1042" t="str">
            <v>SSP</v>
          </cell>
          <cell r="R1042" t="str">
            <v>PRAIA GRANDE</v>
          </cell>
        </row>
        <row r="1043">
          <cell r="A1043" t="str">
            <v>FABIO ALVES COELHO</v>
          </cell>
          <cell r="B1043" t="str">
            <v>Casado</v>
          </cell>
          <cell r="C1043" t="str">
            <v>R ALEXANDRE MARTINS</v>
          </cell>
          <cell r="D1043" t="str">
            <v>Aparecida</v>
          </cell>
          <cell r="E1043" t="str">
            <v>SANTOS</v>
          </cell>
          <cell r="F1043" t="str">
            <v>SP</v>
          </cell>
          <cell r="G1043" t="str">
            <v>172</v>
          </cell>
          <cell r="H1043" t="str">
            <v>AP 221</v>
          </cell>
          <cell r="I1043" t="str">
            <v>11025-200</v>
          </cell>
          <cell r="J1043" t="str">
            <v>33270140</v>
          </cell>
          <cell r="K1043" t="str">
            <v>974051940</v>
          </cell>
          <cell r="L1043" t="str">
            <v>Masculino</v>
          </cell>
          <cell r="M1043" t="str">
            <v>Parda</v>
          </cell>
          <cell r="N1043">
            <v>26893</v>
          </cell>
          <cell r="O1043" t="str">
            <v>238688112</v>
          </cell>
          <cell r="P1043" t="str">
            <v>SP</v>
          </cell>
          <cell r="Q1043" t="str">
            <v>SSP</v>
          </cell>
          <cell r="R1043" t="str">
            <v>SANTOS</v>
          </cell>
        </row>
        <row r="1044">
          <cell r="A1044" t="str">
            <v>EDMILSO DA CUNHA CRUZ</v>
          </cell>
          <cell r="B1044" t="str">
            <v>Casado</v>
          </cell>
          <cell r="C1044" t="str">
            <v>AV CAP LUIS HOURNEAUX DE MOURA</v>
          </cell>
          <cell r="D1044" t="str">
            <v>Jardim Paraíso</v>
          </cell>
          <cell r="E1044" t="str">
            <v>SAO VICENTE</v>
          </cell>
          <cell r="F1044" t="str">
            <v>SP</v>
          </cell>
          <cell r="G1044" t="str">
            <v>82</v>
          </cell>
          <cell r="H1044" t="str">
            <v>AP 31</v>
          </cell>
          <cell r="I1044" t="str">
            <v>11370-500</v>
          </cell>
          <cell r="J1044" t="str">
            <v>996971708</v>
          </cell>
          <cell r="K1044" t="str">
            <v>991371919</v>
          </cell>
          <cell r="L1044" t="str">
            <v>Masculino</v>
          </cell>
          <cell r="M1044" t="str">
            <v>Parda</v>
          </cell>
          <cell r="N1044">
            <v>26540</v>
          </cell>
          <cell r="O1044" t="str">
            <v>230355481</v>
          </cell>
          <cell r="P1044" t="str">
            <v>SP</v>
          </cell>
          <cell r="Q1044" t="str">
            <v>SSP</v>
          </cell>
          <cell r="R1044" t="str">
            <v>SAO VICENTE</v>
          </cell>
        </row>
        <row r="1045">
          <cell r="A1045" t="str">
            <v>TONY ROGERIO DINIZ GOMES</v>
          </cell>
          <cell r="B1045" t="str">
            <v>União Estável</v>
          </cell>
          <cell r="C1045" t="str">
            <v>R GUIMARAES ROSA</v>
          </cell>
          <cell r="D1045" t="str">
            <v>Ocian</v>
          </cell>
          <cell r="E1045" t="str">
            <v>PRAIA GRANDE</v>
          </cell>
          <cell r="F1045" t="str">
            <v>SP</v>
          </cell>
          <cell r="G1045" t="str">
            <v>547</v>
          </cell>
          <cell r="H1045" t="str">
            <v>AP 81</v>
          </cell>
          <cell r="I1045" t="str">
            <v>11704-160</v>
          </cell>
          <cell r="J1045" t="str">
            <v>974055359</v>
          </cell>
          <cell r="K1045" t="str">
            <v/>
          </cell>
          <cell r="L1045" t="str">
            <v>Masculino</v>
          </cell>
          <cell r="M1045" t="str">
            <v>Parda</v>
          </cell>
          <cell r="N1045">
            <v>28003</v>
          </cell>
          <cell r="O1045" t="str">
            <v>289206595</v>
          </cell>
          <cell r="P1045" t="str">
            <v>SP</v>
          </cell>
          <cell r="Q1045" t="str">
            <v>SSP</v>
          </cell>
          <cell r="R1045" t="str">
            <v>SANTOS</v>
          </cell>
        </row>
        <row r="1046">
          <cell r="A1046" t="str">
            <v>JOBISMAR LUIZ DA SILVA</v>
          </cell>
          <cell r="B1046" t="str">
            <v>Viúvo</v>
          </cell>
          <cell r="C1046" t="str">
            <v>R NABUCO DE ARAUJO</v>
          </cell>
          <cell r="D1046" t="str">
            <v>Embaré</v>
          </cell>
          <cell r="E1046" t="str">
            <v>SANTOS</v>
          </cell>
          <cell r="F1046" t="str">
            <v>SP</v>
          </cell>
          <cell r="G1046" t="str">
            <v>394</v>
          </cell>
          <cell r="H1046" t="str">
            <v>AP03</v>
          </cell>
          <cell r="I1046" t="str">
            <v>11025-011</v>
          </cell>
          <cell r="J1046" t="str">
            <v>988709268</v>
          </cell>
          <cell r="K1046" t="str">
            <v>997467140 - ES</v>
          </cell>
          <cell r="L1046" t="str">
            <v>Masculino</v>
          </cell>
          <cell r="M1046" t="str">
            <v>Parda</v>
          </cell>
          <cell r="N1046">
            <v>24282</v>
          </cell>
          <cell r="O1046" t="str">
            <v>193794834</v>
          </cell>
          <cell r="P1046" t="str">
            <v>SP</v>
          </cell>
          <cell r="Q1046" t="str">
            <v>SSP</v>
          </cell>
          <cell r="R1046" t="str">
            <v>GOIANIA</v>
          </cell>
        </row>
        <row r="1047">
          <cell r="A1047" t="str">
            <v>ALEX SANDRO SANTOS MENESES</v>
          </cell>
          <cell r="B1047" t="str">
            <v>Solteiro</v>
          </cell>
          <cell r="C1047" t="str">
            <v>R MAURICIO MOURA</v>
          </cell>
          <cell r="D1047" t="str">
            <v>Cidade Nautica</v>
          </cell>
          <cell r="E1047" t="str">
            <v>SAO VICENTE</v>
          </cell>
          <cell r="F1047" t="str">
            <v>SP</v>
          </cell>
          <cell r="G1047" t="str">
            <v>296</v>
          </cell>
          <cell r="H1047" t="str">
            <v>AP 1</v>
          </cell>
          <cell r="I1047" t="str">
            <v>11355-410</v>
          </cell>
          <cell r="J1047" t="str">
            <v>981312214</v>
          </cell>
          <cell r="K1047" t="str">
            <v/>
          </cell>
          <cell r="L1047" t="str">
            <v>Masculino</v>
          </cell>
          <cell r="M1047" t="str">
            <v>Parda</v>
          </cell>
          <cell r="N1047">
            <v>31612</v>
          </cell>
          <cell r="O1047" t="str">
            <v>407934455</v>
          </cell>
          <cell r="P1047" t="str">
            <v>SP</v>
          </cell>
          <cell r="Q1047" t="str">
            <v>SSP</v>
          </cell>
          <cell r="R1047" t="str">
            <v>SAO VICENTE</v>
          </cell>
        </row>
        <row r="1048">
          <cell r="A1048" t="str">
            <v>VICTOR ROGERIO DE JESUS PEDROSO</v>
          </cell>
          <cell r="B1048" t="str">
            <v>Solteiro</v>
          </cell>
          <cell r="C1048" t="str">
            <v>R DA IMPRENSA</v>
          </cell>
          <cell r="D1048" t="str">
            <v>Esplanada dos Barrei</v>
          </cell>
          <cell r="E1048" t="str">
            <v>SAO VICENTE</v>
          </cell>
          <cell r="F1048" t="str">
            <v>SP</v>
          </cell>
          <cell r="G1048" t="str">
            <v>231</v>
          </cell>
          <cell r="H1048" t="str">
            <v/>
          </cell>
          <cell r="I1048" t="str">
            <v>11340-120</v>
          </cell>
          <cell r="J1048" t="str">
            <v>997119543</v>
          </cell>
          <cell r="K1048" t="str">
            <v>996485788</v>
          </cell>
          <cell r="L1048" t="str">
            <v>Masculino</v>
          </cell>
          <cell r="M1048" t="str">
            <v>Parda</v>
          </cell>
          <cell r="N1048">
            <v>36067</v>
          </cell>
          <cell r="O1048" t="str">
            <v>557608521</v>
          </cell>
          <cell r="P1048" t="str">
            <v>SP</v>
          </cell>
          <cell r="Q1048" t="str">
            <v>SSP</v>
          </cell>
          <cell r="R1048" t="str">
            <v>SAO VICENTE</v>
          </cell>
        </row>
        <row r="1049">
          <cell r="A1049" t="str">
            <v>EVERTON SANTANA TOMAS RODRIGUES</v>
          </cell>
          <cell r="B1049" t="str">
            <v>Casado</v>
          </cell>
          <cell r="C1049" t="str">
            <v>R GUAIRA</v>
          </cell>
          <cell r="D1049" t="str">
            <v>Vila Áurea (Vicente</v>
          </cell>
          <cell r="E1049" t="str">
            <v>GUARUJA</v>
          </cell>
          <cell r="F1049" t="str">
            <v>SP</v>
          </cell>
          <cell r="G1049" t="str">
            <v>39</v>
          </cell>
          <cell r="H1049" t="str">
            <v>CS B</v>
          </cell>
          <cell r="I1049" t="str">
            <v>11454-080</v>
          </cell>
          <cell r="J1049" t="str">
            <v>33411593</v>
          </cell>
          <cell r="K1049" t="str">
            <v>991913832</v>
          </cell>
          <cell r="L1049" t="str">
            <v>Masculino</v>
          </cell>
          <cell r="M1049" t="str">
            <v>Parda</v>
          </cell>
          <cell r="N1049">
            <v>31328</v>
          </cell>
          <cell r="O1049" t="str">
            <v>415531032</v>
          </cell>
          <cell r="P1049" t="str">
            <v>SP</v>
          </cell>
          <cell r="Q1049" t="str">
            <v>SSP</v>
          </cell>
          <cell r="R1049" t="str">
            <v>SANTOS</v>
          </cell>
        </row>
        <row r="1050">
          <cell r="A1050" t="str">
            <v>ELIZANDRA AULETTA MARTINS</v>
          </cell>
          <cell r="B1050" t="str">
            <v>Divorciado</v>
          </cell>
          <cell r="C1050" t="str">
            <v>R CIDADE DE SANTOS</v>
          </cell>
          <cell r="D1050" t="str">
            <v>Vila Margarida</v>
          </cell>
          <cell r="E1050" t="str">
            <v>SAO VICENTE</v>
          </cell>
          <cell r="F1050" t="str">
            <v>SP</v>
          </cell>
          <cell r="G1050" t="str">
            <v>842</v>
          </cell>
          <cell r="H1050" t="str">
            <v>CASA 2</v>
          </cell>
          <cell r="I1050" t="str">
            <v>11330-709</v>
          </cell>
          <cell r="J1050" t="str">
            <v>988200510</v>
          </cell>
          <cell r="K1050" t="str">
            <v/>
          </cell>
          <cell r="L1050" t="str">
            <v>Feminino</v>
          </cell>
          <cell r="M1050" t="str">
            <v>Parda</v>
          </cell>
          <cell r="N1050">
            <v>29133</v>
          </cell>
          <cell r="O1050" t="str">
            <v>323772365</v>
          </cell>
          <cell r="P1050" t="str">
            <v>SP</v>
          </cell>
          <cell r="Q1050" t="str">
            <v>SSP</v>
          </cell>
          <cell r="R1050" t="str">
            <v>SANTOS</v>
          </cell>
        </row>
        <row r="1051">
          <cell r="A1051" t="str">
            <v>LUANA DE MEDEIROS ROSARIO</v>
          </cell>
          <cell r="B1051" t="str">
            <v>Casado</v>
          </cell>
          <cell r="C1051" t="str">
            <v>R MANOEL HIPOLITO DO REGO</v>
          </cell>
          <cell r="D1051" t="str">
            <v>Jardim Boa Esperança</v>
          </cell>
          <cell r="E1051" t="str">
            <v>GUARUJA</v>
          </cell>
          <cell r="F1051" t="str">
            <v>SP</v>
          </cell>
          <cell r="G1051" t="str">
            <v>954</v>
          </cell>
          <cell r="H1051" t="str">
            <v/>
          </cell>
          <cell r="I1051" t="str">
            <v>11470-200</v>
          </cell>
          <cell r="J1051" t="str">
            <v>988199532</v>
          </cell>
          <cell r="K1051" t="str">
            <v/>
          </cell>
          <cell r="L1051" t="str">
            <v>Feminino</v>
          </cell>
          <cell r="M1051" t="str">
            <v>Parda</v>
          </cell>
          <cell r="N1051">
            <v>32133</v>
          </cell>
          <cell r="O1051" t="str">
            <v>423712263</v>
          </cell>
          <cell r="P1051" t="str">
            <v>SP</v>
          </cell>
          <cell r="Q1051" t="str">
            <v>SSP</v>
          </cell>
          <cell r="R1051" t="str">
            <v>GUARUJA</v>
          </cell>
        </row>
        <row r="1052">
          <cell r="A1052" t="str">
            <v>ROBERTA RODRIGUES RIBEIRO</v>
          </cell>
          <cell r="B1052" t="str">
            <v>Solteiro</v>
          </cell>
          <cell r="C1052" t="str">
            <v>AV OSASCO</v>
          </cell>
          <cell r="D1052" t="str">
            <v>Ocian</v>
          </cell>
          <cell r="E1052" t="str">
            <v>PRAIA GRANDE</v>
          </cell>
          <cell r="F1052" t="str">
            <v>SP</v>
          </cell>
          <cell r="G1052" t="str">
            <v>728</v>
          </cell>
          <cell r="H1052" t="str">
            <v>CS 2</v>
          </cell>
          <cell r="I1052" t="str">
            <v>11704-050</v>
          </cell>
          <cell r="J1052" t="str">
            <v>974111006</v>
          </cell>
          <cell r="K1052" t="str">
            <v>33453544</v>
          </cell>
          <cell r="L1052" t="str">
            <v>Feminino</v>
          </cell>
          <cell r="M1052" t="str">
            <v>Parda</v>
          </cell>
          <cell r="N1052">
            <v>32844</v>
          </cell>
          <cell r="O1052" t="str">
            <v>464108871</v>
          </cell>
          <cell r="P1052" t="str">
            <v>SP</v>
          </cell>
          <cell r="Q1052" t="str">
            <v>SSP</v>
          </cell>
          <cell r="R1052" t="str">
            <v>SANTOS</v>
          </cell>
        </row>
        <row r="1053">
          <cell r="A1053" t="str">
            <v>THIAGO OLIVEIRA DOS SANTOS</v>
          </cell>
          <cell r="B1053" t="str">
            <v>Casado</v>
          </cell>
          <cell r="C1053" t="str">
            <v>R VIOLETAS</v>
          </cell>
          <cell r="D1053" t="str">
            <v>Vila Natal</v>
          </cell>
          <cell r="E1053" t="str">
            <v>CUBATAO</v>
          </cell>
          <cell r="F1053" t="str">
            <v>SP</v>
          </cell>
          <cell r="G1053" t="str">
            <v>371</v>
          </cell>
          <cell r="H1053" t="str">
            <v/>
          </cell>
          <cell r="I1053" t="str">
            <v>11538-050</v>
          </cell>
          <cell r="J1053" t="str">
            <v>997934171</v>
          </cell>
          <cell r="K1053" t="str">
            <v>33752343</v>
          </cell>
          <cell r="L1053" t="str">
            <v>Masculino</v>
          </cell>
          <cell r="M1053" t="str">
            <v>Parda</v>
          </cell>
          <cell r="N1053">
            <v>31142</v>
          </cell>
          <cell r="O1053" t="str">
            <v>443966503</v>
          </cell>
          <cell r="P1053" t="str">
            <v>SP</v>
          </cell>
          <cell r="Q1053" t="str">
            <v>SSP</v>
          </cell>
          <cell r="R1053" t="str">
            <v>CUBATAO</v>
          </cell>
        </row>
        <row r="1054">
          <cell r="A1054" t="str">
            <v>ALEX SANDRO DOS SANTOS FERNANDES</v>
          </cell>
          <cell r="B1054" t="str">
            <v>Casado</v>
          </cell>
          <cell r="C1054" t="str">
            <v>R VALDOMIRO MACARIO</v>
          </cell>
          <cell r="D1054" t="str">
            <v>Jardim Conceiçãozinh</v>
          </cell>
          <cell r="E1054" t="str">
            <v>GUARUJA</v>
          </cell>
          <cell r="F1054" t="str">
            <v>SP</v>
          </cell>
          <cell r="G1054" t="str">
            <v>351</v>
          </cell>
          <cell r="H1054" t="str">
            <v>BL C AP 14</v>
          </cell>
          <cell r="I1054" t="str">
            <v>11472-100</v>
          </cell>
          <cell r="J1054" t="str">
            <v>997038713</v>
          </cell>
          <cell r="K1054" t="str">
            <v>33717194</v>
          </cell>
          <cell r="L1054" t="str">
            <v>Masculino</v>
          </cell>
          <cell r="M1054" t="str">
            <v>Parda</v>
          </cell>
          <cell r="N1054">
            <v>26066</v>
          </cell>
          <cell r="O1054" t="str">
            <v>228405154</v>
          </cell>
          <cell r="P1054" t="str">
            <v>SP</v>
          </cell>
          <cell r="Q1054" t="str">
            <v>SSP</v>
          </cell>
          <cell r="R1054" t="str">
            <v>GUARUJA</v>
          </cell>
        </row>
        <row r="1055">
          <cell r="A1055" t="str">
            <v>PEDRO VICENTE RIZZI ZOIA</v>
          </cell>
          <cell r="B1055" t="str">
            <v>Casado</v>
          </cell>
          <cell r="C1055" t="str">
            <v>AV AFONSO PENA</v>
          </cell>
          <cell r="D1055" t="str">
            <v>Aparecida</v>
          </cell>
          <cell r="E1055" t="str">
            <v>SANTOS</v>
          </cell>
          <cell r="F1055" t="str">
            <v>SP</v>
          </cell>
          <cell r="G1055" t="str">
            <v>478</v>
          </cell>
          <cell r="H1055" t="str">
            <v>AP 65</v>
          </cell>
          <cell r="I1055" t="str">
            <v>11020-002</v>
          </cell>
          <cell r="J1055" t="str">
            <v>997534388</v>
          </cell>
          <cell r="K1055" t="str">
            <v/>
          </cell>
          <cell r="L1055" t="str">
            <v>Masculino</v>
          </cell>
          <cell r="M1055" t="str">
            <v>Parda</v>
          </cell>
          <cell r="N1055">
            <v>29915</v>
          </cell>
          <cell r="O1055" t="str">
            <v>35487536X</v>
          </cell>
          <cell r="P1055" t="str">
            <v>SP</v>
          </cell>
          <cell r="Q1055" t="str">
            <v>SSP</v>
          </cell>
          <cell r="R1055" t="str">
            <v>SANTOS</v>
          </cell>
        </row>
        <row r="1056">
          <cell r="A1056" t="str">
            <v>LAUDICEIA RODRIGUES DOS SANTOS</v>
          </cell>
          <cell r="B1056" t="str">
            <v>Solteiro</v>
          </cell>
          <cell r="C1056" t="str">
            <v>AV DAS ACACIAS</v>
          </cell>
          <cell r="D1056" t="str">
            <v>Vila Santo Antonio</v>
          </cell>
          <cell r="E1056" t="str">
            <v>GUARUJA</v>
          </cell>
          <cell r="F1056" t="str">
            <v>SP</v>
          </cell>
          <cell r="G1056" t="str">
            <v>392</v>
          </cell>
          <cell r="H1056" t="str">
            <v/>
          </cell>
          <cell r="I1056" t="str">
            <v>11432-290</v>
          </cell>
          <cell r="J1056" t="str">
            <v>997524014</v>
          </cell>
          <cell r="K1056" t="str">
            <v>33821864</v>
          </cell>
          <cell r="L1056" t="str">
            <v>Feminino</v>
          </cell>
          <cell r="M1056" t="str">
            <v>Parda</v>
          </cell>
          <cell r="N1056">
            <v>32974</v>
          </cell>
          <cell r="O1056" t="str">
            <v>468334038</v>
          </cell>
          <cell r="P1056" t="str">
            <v>SP</v>
          </cell>
          <cell r="Q1056" t="str">
            <v>SSP</v>
          </cell>
          <cell r="R1056" t="str">
            <v>GUARUJA</v>
          </cell>
        </row>
        <row r="1057">
          <cell r="A1057" t="str">
            <v>NILSON LIRA RODRIGUES</v>
          </cell>
          <cell r="B1057" t="str">
            <v>Casado</v>
          </cell>
          <cell r="C1057" t="str">
            <v>R PASCHOAL FERNANDES</v>
          </cell>
          <cell r="D1057" t="str">
            <v>Tude Bastos</v>
          </cell>
          <cell r="E1057" t="str">
            <v>PRAIA GRANDE</v>
          </cell>
          <cell r="F1057" t="str">
            <v>SP</v>
          </cell>
          <cell r="G1057" t="str">
            <v>208</v>
          </cell>
          <cell r="H1057" t="str">
            <v>CASA 01</v>
          </cell>
          <cell r="I1057" t="str">
            <v>11725-340</v>
          </cell>
          <cell r="J1057" t="str">
            <v>988595380</v>
          </cell>
          <cell r="K1057" t="str">
            <v>34732706</v>
          </cell>
          <cell r="L1057" t="str">
            <v>Masculino</v>
          </cell>
          <cell r="M1057" t="str">
            <v>Branca</v>
          </cell>
          <cell r="N1057">
            <v>28891</v>
          </cell>
          <cell r="O1057" t="str">
            <v>291398789</v>
          </cell>
          <cell r="P1057" t="str">
            <v>SP</v>
          </cell>
          <cell r="Q1057" t="str">
            <v>SSP</v>
          </cell>
          <cell r="R1057" t="str">
            <v>MONTE ALEGRE</v>
          </cell>
        </row>
        <row r="1058">
          <cell r="A1058" t="str">
            <v>NIELSON CAVALCANTE DOS SANTOS</v>
          </cell>
          <cell r="B1058" t="str">
            <v>Solteiro</v>
          </cell>
          <cell r="C1058" t="str">
            <v>R DO PACHECO 5</v>
          </cell>
          <cell r="D1058" t="str">
            <v>Morro Pacheco</v>
          </cell>
          <cell r="E1058" t="str">
            <v>SANTOS</v>
          </cell>
          <cell r="F1058" t="str">
            <v>SP</v>
          </cell>
          <cell r="G1058" t="str">
            <v>4409</v>
          </cell>
          <cell r="H1058" t="str">
            <v/>
          </cell>
          <cell r="I1058" t="str">
            <v>11081-300</v>
          </cell>
          <cell r="J1058" t="str">
            <v>974150351</v>
          </cell>
          <cell r="K1058" t="str">
            <v>32198938</v>
          </cell>
          <cell r="L1058" t="str">
            <v>Masculino</v>
          </cell>
          <cell r="M1058" t="str">
            <v>Parda</v>
          </cell>
          <cell r="N1058">
            <v>34675</v>
          </cell>
          <cell r="O1058" t="str">
            <v>408331161</v>
          </cell>
          <cell r="P1058" t="str">
            <v>SP</v>
          </cell>
          <cell r="Q1058" t="str">
            <v>SSP</v>
          </cell>
          <cell r="R1058" t="str">
            <v>SANTOS</v>
          </cell>
        </row>
        <row r="1059">
          <cell r="A1059" t="str">
            <v>ANA CRISTINA DOS SANTOS</v>
          </cell>
          <cell r="B1059" t="str">
            <v>Casado</v>
          </cell>
          <cell r="C1059" t="str">
            <v>R JURUBATUBA</v>
          </cell>
          <cell r="D1059" t="str">
            <v>Aparecida</v>
          </cell>
          <cell r="E1059" t="str">
            <v>SANTOS</v>
          </cell>
          <cell r="F1059" t="str">
            <v>SP</v>
          </cell>
          <cell r="G1059" t="str">
            <v>18</v>
          </cell>
          <cell r="H1059" t="str">
            <v>BL C AP 206</v>
          </cell>
          <cell r="I1059" t="str">
            <v>11035-100</v>
          </cell>
          <cell r="J1059" t="str">
            <v>988171008</v>
          </cell>
          <cell r="K1059" t="str">
            <v>978184140</v>
          </cell>
          <cell r="L1059" t="str">
            <v>Feminino</v>
          </cell>
          <cell r="M1059" t="str">
            <v>Parda</v>
          </cell>
          <cell r="N1059">
            <v>27669</v>
          </cell>
          <cell r="O1059" t="str">
            <v>305894481</v>
          </cell>
          <cell r="P1059" t="str">
            <v>SP</v>
          </cell>
          <cell r="Q1059" t="str">
            <v>SSP</v>
          </cell>
          <cell r="R1059" t="str">
            <v>SOUSA</v>
          </cell>
        </row>
        <row r="1060">
          <cell r="A1060" t="str">
            <v>RAIMUNDO CLAUDINO DE MENDONCA</v>
          </cell>
          <cell r="B1060" t="str">
            <v>Solteiro</v>
          </cell>
          <cell r="C1060" t="str">
            <v>R COLOMBIA</v>
          </cell>
          <cell r="D1060" t="str">
            <v>Parque Enseada</v>
          </cell>
          <cell r="E1060" t="str">
            <v>GUARUJA</v>
          </cell>
          <cell r="F1060" t="str">
            <v>SP</v>
          </cell>
          <cell r="G1060" t="str">
            <v>741</v>
          </cell>
          <cell r="H1060" t="str">
            <v/>
          </cell>
          <cell r="I1060" t="str">
            <v>11440-360</v>
          </cell>
          <cell r="J1060" t="str">
            <v>33525811</v>
          </cell>
          <cell r="K1060" t="str">
            <v>997978246</v>
          </cell>
          <cell r="L1060" t="str">
            <v>Masculino</v>
          </cell>
          <cell r="M1060" t="str">
            <v>Parda</v>
          </cell>
          <cell r="N1060">
            <v>25244</v>
          </cell>
          <cell r="O1060" t="str">
            <v>212508635</v>
          </cell>
          <cell r="P1060" t="str">
            <v>SP</v>
          </cell>
          <cell r="Q1060" t="str">
            <v>SSP</v>
          </cell>
          <cell r="R1060" t="str">
            <v>GUARABIRA</v>
          </cell>
        </row>
        <row r="1061">
          <cell r="A1061" t="str">
            <v>EVERTON ALMEIDA SANTOS</v>
          </cell>
          <cell r="B1061" t="str">
            <v>Casado</v>
          </cell>
          <cell r="C1061" t="str">
            <v>R Braz Cubas</v>
          </cell>
          <cell r="D1061" t="str">
            <v>Vila Valença</v>
          </cell>
          <cell r="E1061" t="str">
            <v>SAO VICENTE</v>
          </cell>
          <cell r="F1061" t="str">
            <v>SP</v>
          </cell>
          <cell r="G1061" t="str">
            <v>56</v>
          </cell>
          <cell r="H1061" t="str">
            <v>apto 04</v>
          </cell>
          <cell r="I1061" t="str">
            <v>11390-110</v>
          </cell>
          <cell r="J1061" t="str">
            <v>997752283</v>
          </cell>
          <cell r="K1061" t="str">
            <v>34616632</v>
          </cell>
          <cell r="L1061" t="str">
            <v>Masculino</v>
          </cell>
          <cell r="M1061" t="str">
            <v>Parda</v>
          </cell>
          <cell r="N1061">
            <v>30328</v>
          </cell>
          <cell r="O1061" t="str">
            <v>345064495</v>
          </cell>
          <cell r="P1061" t="str">
            <v>SP</v>
          </cell>
          <cell r="Q1061" t="str">
            <v>SSP</v>
          </cell>
          <cell r="R1061" t="str">
            <v>SANTOS</v>
          </cell>
        </row>
        <row r="1062">
          <cell r="A1062" t="str">
            <v>ROBERTO BOMFIM DA SILVA</v>
          </cell>
          <cell r="B1062" t="str">
            <v>Casado</v>
          </cell>
          <cell r="C1062" t="str">
            <v>R  FREI FRANCISCO SAMPAIO</v>
          </cell>
          <cell r="D1062" t="str">
            <v>Embare</v>
          </cell>
          <cell r="E1062" t="str">
            <v>SANTOS</v>
          </cell>
          <cell r="F1062" t="str">
            <v>SP</v>
          </cell>
          <cell r="G1062" t="str">
            <v>189</v>
          </cell>
          <cell r="H1062" t="str">
            <v/>
          </cell>
          <cell r="I1062" t="str">
            <v>11040-220</v>
          </cell>
          <cell r="J1062" t="str">
            <v>976007873</v>
          </cell>
          <cell r="K1062" t="str">
            <v>32380291</v>
          </cell>
          <cell r="L1062" t="str">
            <v>Masculino</v>
          </cell>
          <cell r="M1062" t="str">
            <v>Parda</v>
          </cell>
          <cell r="N1062">
            <v>22258</v>
          </cell>
          <cell r="O1062" t="str">
            <v>12682941X</v>
          </cell>
          <cell r="P1062" t="str">
            <v>SP</v>
          </cell>
          <cell r="Q1062" t="str">
            <v>SSP</v>
          </cell>
          <cell r="R1062" t="str">
            <v>SANTOS</v>
          </cell>
        </row>
        <row r="1063">
          <cell r="A1063" t="str">
            <v>SERGIO RICARDO MULERO</v>
          </cell>
          <cell r="B1063" t="str">
            <v>Casado</v>
          </cell>
          <cell r="C1063" t="str">
            <v>R LEONARDO NUNES</v>
          </cell>
          <cell r="D1063" t="str">
            <v>Parque Sao Vicente</v>
          </cell>
          <cell r="E1063" t="str">
            <v>SAO VICENTE</v>
          </cell>
          <cell r="F1063" t="str">
            <v>SP</v>
          </cell>
          <cell r="G1063" t="str">
            <v>1089</v>
          </cell>
          <cell r="H1063" t="str">
            <v/>
          </cell>
          <cell r="I1063" t="str">
            <v>11365-280</v>
          </cell>
          <cell r="J1063" t="str">
            <v>997099291</v>
          </cell>
          <cell r="K1063" t="str">
            <v>997099291</v>
          </cell>
          <cell r="L1063" t="str">
            <v>Masculino</v>
          </cell>
          <cell r="M1063" t="str">
            <v>Parda</v>
          </cell>
          <cell r="N1063">
            <v>27341</v>
          </cell>
          <cell r="O1063" t="str">
            <v>233215463</v>
          </cell>
          <cell r="P1063" t="str">
            <v>SP</v>
          </cell>
          <cell r="Q1063" t="str">
            <v>SSP</v>
          </cell>
          <cell r="R1063" t="str">
            <v>SAO VICENTE</v>
          </cell>
        </row>
        <row r="1064">
          <cell r="A1064" t="str">
            <v>MARCOS ZITEI DA SILVA</v>
          </cell>
          <cell r="B1064" t="str">
            <v>Casado</v>
          </cell>
          <cell r="C1064" t="str">
            <v>R MIN XAVIER DE TOLEDO</v>
          </cell>
          <cell r="D1064" t="str">
            <v>Campo Grande</v>
          </cell>
          <cell r="E1064" t="str">
            <v>SANTOS</v>
          </cell>
          <cell r="F1064" t="str">
            <v>SP</v>
          </cell>
          <cell r="G1064" t="str">
            <v>89</v>
          </cell>
          <cell r="H1064" t="str">
            <v>AP 42</v>
          </cell>
          <cell r="I1064" t="str">
            <v>11070-300</v>
          </cell>
          <cell r="J1064" t="str">
            <v>974025753</v>
          </cell>
          <cell r="K1064" t="str">
            <v>974054201</v>
          </cell>
          <cell r="L1064" t="str">
            <v>Masculino</v>
          </cell>
          <cell r="M1064" t="str">
            <v>Parda</v>
          </cell>
          <cell r="N1064">
            <v>27319</v>
          </cell>
          <cell r="O1064" t="str">
            <v>20462244X</v>
          </cell>
          <cell r="P1064" t="str">
            <v>SP</v>
          </cell>
          <cell r="Q1064" t="str">
            <v>SSP</v>
          </cell>
          <cell r="R1064" t="str">
            <v>SANTOS</v>
          </cell>
        </row>
        <row r="1065">
          <cell r="A1065" t="str">
            <v>ANDRESSA DE LIMA PAULA</v>
          </cell>
          <cell r="B1065" t="str">
            <v>Divorciado</v>
          </cell>
          <cell r="C1065" t="str">
            <v>R DR CAMPOS SALES</v>
          </cell>
          <cell r="D1065" t="str">
            <v>Parque Sao Vicente</v>
          </cell>
          <cell r="E1065" t="str">
            <v>SAO VICENTE</v>
          </cell>
          <cell r="F1065" t="str">
            <v>SP</v>
          </cell>
          <cell r="G1065" t="str">
            <v>355</v>
          </cell>
          <cell r="H1065" t="str">
            <v>CENTRO AP 508</v>
          </cell>
          <cell r="I1065" t="str">
            <v>11365-350</v>
          </cell>
          <cell r="J1065" t="str">
            <v>974055412</v>
          </cell>
          <cell r="K1065" t="str">
            <v/>
          </cell>
          <cell r="L1065" t="str">
            <v>Feminino</v>
          </cell>
          <cell r="M1065" t="str">
            <v>Parda</v>
          </cell>
          <cell r="N1065">
            <v>29864</v>
          </cell>
          <cell r="O1065" t="str">
            <v>287961357</v>
          </cell>
          <cell r="P1065" t="str">
            <v>SP</v>
          </cell>
          <cell r="Q1065" t="str">
            <v>SSP</v>
          </cell>
          <cell r="R1065" t="str">
            <v>SAO VICENTE</v>
          </cell>
        </row>
        <row r="1066">
          <cell r="A1066" t="str">
            <v>Marcio Fernandes Jose</v>
          </cell>
          <cell r="B1066" t="str">
            <v>Casado</v>
          </cell>
          <cell r="C1066" t="str">
            <v>AV VICENTE DE CARVALHO</v>
          </cell>
          <cell r="D1066" t="str">
            <v>Jardim Esplanada do</v>
          </cell>
          <cell r="E1066" t="str">
            <v>GUARUJA</v>
          </cell>
          <cell r="F1066" t="str">
            <v>SP</v>
          </cell>
          <cell r="G1066" t="str">
            <v>388</v>
          </cell>
          <cell r="H1066" t="str">
            <v/>
          </cell>
          <cell r="I1066" t="str">
            <v>11470-120</v>
          </cell>
          <cell r="J1066" t="str">
            <v>991410482</v>
          </cell>
          <cell r="K1066" t="str">
            <v/>
          </cell>
          <cell r="L1066" t="str">
            <v>Masculino</v>
          </cell>
          <cell r="M1066" t="str">
            <v>Parda</v>
          </cell>
          <cell r="N1066">
            <v>26376</v>
          </cell>
          <cell r="O1066" t="str">
            <v>253385738</v>
          </cell>
          <cell r="P1066" t="str">
            <v>SP</v>
          </cell>
          <cell r="Q1066" t="str">
            <v>SSP</v>
          </cell>
          <cell r="R1066" t="str">
            <v>SANTOS</v>
          </cell>
        </row>
        <row r="1067">
          <cell r="A1067" t="str">
            <v>ALEX DE CARVALHO</v>
          </cell>
          <cell r="B1067" t="str">
            <v>Casado</v>
          </cell>
          <cell r="C1067" t="str">
            <v>AV ENGENHEIRO MANOEL FERRAMENTA</v>
          </cell>
          <cell r="D1067" t="str">
            <v>Areia Branca</v>
          </cell>
          <cell r="E1067" t="str">
            <v>SANTOS</v>
          </cell>
          <cell r="F1067" t="str">
            <v>SP</v>
          </cell>
          <cell r="G1067" t="str">
            <v>363</v>
          </cell>
          <cell r="H1067" t="str">
            <v>AP 165 E</v>
          </cell>
          <cell r="I1067" t="str">
            <v>11086-400</v>
          </cell>
          <cell r="J1067" t="str">
            <v>33725777</v>
          </cell>
          <cell r="K1067" t="str">
            <v>988158705</v>
          </cell>
          <cell r="L1067" t="str">
            <v>Masculino</v>
          </cell>
          <cell r="M1067" t="str">
            <v>Parda</v>
          </cell>
          <cell r="N1067">
            <v>28878</v>
          </cell>
          <cell r="O1067" t="str">
            <v>272347309</v>
          </cell>
          <cell r="P1067" t="str">
            <v>SP</v>
          </cell>
          <cell r="Q1067" t="str">
            <v>SSP</v>
          </cell>
          <cell r="R1067" t="str">
            <v>SANTOS</v>
          </cell>
        </row>
        <row r="1068">
          <cell r="A1068" t="str">
            <v>CARLOS EDUARDO FERNANDES DA SILVA</v>
          </cell>
          <cell r="B1068" t="str">
            <v>Casado</v>
          </cell>
          <cell r="C1068" t="str">
            <v>R MEM DE SA</v>
          </cell>
          <cell r="D1068" t="str">
            <v>Centro</v>
          </cell>
          <cell r="E1068" t="str">
            <v>SAO VICENTE</v>
          </cell>
          <cell r="F1068" t="str">
            <v>SP</v>
          </cell>
          <cell r="G1068" t="str">
            <v>178</v>
          </cell>
          <cell r="H1068" t="str">
            <v>AP 2</v>
          </cell>
          <cell r="I1068" t="str">
            <v>11320-090</v>
          </cell>
          <cell r="J1068" t="str">
            <v>974063424</v>
          </cell>
          <cell r="K1068" t="str">
            <v>33954116</v>
          </cell>
          <cell r="L1068" t="str">
            <v>Masculino</v>
          </cell>
          <cell r="M1068" t="str">
            <v>Parda</v>
          </cell>
          <cell r="N1068">
            <v>30276</v>
          </cell>
          <cell r="O1068" t="str">
            <v>434526812</v>
          </cell>
          <cell r="P1068" t="str">
            <v>SP</v>
          </cell>
          <cell r="Q1068" t="str">
            <v>SSP</v>
          </cell>
          <cell r="R1068" t="str">
            <v>SAO VICENTE</v>
          </cell>
        </row>
        <row r="1069">
          <cell r="A1069" t="str">
            <v>VICTOR FELIX PRIOR</v>
          </cell>
          <cell r="B1069" t="str">
            <v>Solteiro</v>
          </cell>
          <cell r="C1069" t="str">
            <v>R ALEXANDRE HERCULANO</v>
          </cell>
          <cell r="D1069" t="str">
            <v>Boqueirao</v>
          </cell>
          <cell r="E1069" t="str">
            <v>SANTOS</v>
          </cell>
          <cell r="F1069" t="str">
            <v>SP</v>
          </cell>
          <cell r="G1069" t="str">
            <v>40</v>
          </cell>
          <cell r="H1069" t="str">
            <v>apt 66</v>
          </cell>
          <cell r="I1069" t="str">
            <v>11050-030</v>
          </cell>
          <cell r="J1069" t="str">
            <v>996575517</v>
          </cell>
          <cell r="K1069" t="str">
            <v/>
          </cell>
          <cell r="L1069" t="str">
            <v>Masculino</v>
          </cell>
          <cell r="M1069" t="str">
            <v>Parda</v>
          </cell>
          <cell r="N1069">
            <v>31467</v>
          </cell>
          <cell r="O1069" t="str">
            <v>309474425</v>
          </cell>
          <cell r="P1069" t="str">
            <v>SP</v>
          </cell>
          <cell r="Q1069" t="str">
            <v>SSP</v>
          </cell>
          <cell r="R1069" t="str">
            <v>SANTOS</v>
          </cell>
        </row>
        <row r="1070">
          <cell r="A1070" t="str">
            <v>LEVY OLIVEIRA SARAIVA DA SILVA</v>
          </cell>
          <cell r="B1070" t="str">
            <v>Divorciado</v>
          </cell>
          <cell r="C1070" t="str">
            <v>R MANOEL OTERO RODRIGUES</v>
          </cell>
          <cell r="D1070" t="str">
            <v>Jardim Boa Esperança</v>
          </cell>
          <cell r="E1070" t="str">
            <v>GUARUJA</v>
          </cell>
          <cell r="F1070" t="str">
            <v>SP</v>
          </cell>
          <cell r="G1070" t="str">
            <v>253</v>
          </cell>
          <cell r="H1070" t="str">
            <v/>
          </cell>
          <cell r="I1070" t="str">
            <v>11471-120</v>
          </cell>
          <cell r="J1070" t="str">
            <v>997979347</v>
          </cell>
          <cell r="K1070" t="str">
            <v/>
          </cell>
          <cell r="L1070" t="str">
            <v>Masculino</v>
          </cell>
          <cell r="M1070" t="str">
            <v>Parda</v>
          </cell>
          <cell r="N1070">
            <v>32329</v>
          </cell>
          <cell r="O1070" t="str">
            <v>436070856</v>
          </cell>
          <cell r="P1070" t="str">
            <v>SP</v>
          </cell>
          <cell r="Q1070" t="str">
            <v>SSP</v>
          </cell>
          <cell r="R1070" t="str">
            <v>MUCUGE</v>
          </cell>
        </row>
        <row r="1071">
          <cell r="A1071" t="str">
            <v>EVERTON DA SILVA FLORENCIO</v>
          </cell>
          <cell r="B1071" t="str">
            <v>Casado</v>
          </cell>
          <cell r="C1071" t="str">
            <v>R GREENHALG</v>
          </cell>
          <cell r="D1071" t="str">
            <v>Embare</v>
          </cell>
          <cell r="E1071" t="str">
            <v>SANTOS</v>
          </cell>
          <cell r="F1071" t="str">
            <v>SP</v>
          </cell>
          <cell r="G1071" t="str">
            <v>31</v>
          </cell>
          <cell r="H1071" t="str">
            <v>BL UNICO AP 13</v>
          </cell>
          <cell r="I1071" t="str">
            <v>11025-130</v>
          </cell>
          <cell r="J1071" t="str">
            <v>22028132</v>
          </cell>
          <cell r="K1071" t="str">
            <v>974095676</v>
          </cell>
          <cell r="L1071" t="str">
            <v>Masculino</v>
          </cell>
          <cell r="M1071" t="str">
            <v>Parda</v>
          </cell>
          <cell r="N1071">
            <v>27533</v>
          </cell>
          <cell r="O1071" t="str">
            <v>20459795X</v>
          </cell>
          <cell r="P1071" t="str">
            <v>SP</v>
          </cell>
          <cell r="Q1071" t="str">
            <v>SSP</v>
          </cell>
          <cell r="R1071" t="str">
            <v>SANTOS</v>
          </cell>
        </row>
        <row r="1072">
          <cell r="A1072" t="str">
            <v>CARLOS ANDRE FRAZAO FURTADO JUNIOR</v>
          </cell>
          <cell r="B1072" t="str">
            <v>União Estável</v>
          </cell>
          <cell r="C1072" t="str">
            <v>R ERICO VERISSIMO</v>
          </cell>
          <cell r="D1072" t="str">
            <v>Vila Jockei Clube</v>
          </cell>
          <cell r="E1072" t="str">
            <v>SAO VICENTE</v>
          </cell>
          <cell r="F1072" t="str">
            <v>SP</v>
          </cell>
          <cell r="G1072" t="str">
            <v>685</v>
          </cell>
          <cell r="H1072" t="str">
            <v>CASA</v>
          </cell>
          <cell r="I1072" t="str">
            <v>11360-380</v>
          </cell>
          <cell r="J1072" t="str">
            <v>9974042063</v>
          </cell>
          <cell r="K1072" t="str">
            <v>974027010</v>
          </cell>
          <cell r="L1072" t="str">
            <v>Masculino</v>
          </cell>
          <cell r="M1072" t="str">
            <v>Parda</v>
          </cell>
          <cell r="N1072">
            <v>35174</v>
          </cell>
          <cell r="O1072" t="str">
            <v>455039884</v>
          </cell>
          <cell r="P1072" t="str">
            <v>SP</v>
          </cell>
          <cell r="Q1072" t="str">
            <v>SSP</v>
          </cell>
          <cell r="R1072" t="str">
            <v>SANTOS</v>
          </cell>
        </row>
        <row r="1073">
          <cell r="A1073" t="str">
            <v>LAIS DOS ANJOS MATOS</v>
          </cell>
          <cell r="B1073" t="str">
            <v>Solteiro</v>
          </cell>
          <cell r="C1073" t="str">
            <v>R JOSE CLEMENTE PEREIRA</v>
          </cell>
          <cell r="D1073" t="str">
            <v>Campo Grande</v>
          </cell>
          <cell r="E1073" t="str">
            <v>SANTOS</v>
          </cell>
          <cell r="F1073" t="str">
            <v>SP</v>
          </cell>
          <cell r="G1073" t="str">
            <v>22</v>
          </cell>
          <cell r="H1073" t="str">
            <v>AP 5</v>
          </cell>
          <cell r="I1073" t="str">
            <v>11070-320</v>
          </cell>
          <cell r="J1073" t="str">
            <v>981094863</v>
          </cell>
          <cell r="K1073" t="str">
            <v/>
          </cell>
          <cell r="L1073" t="str">
            <v>Feminino</v>
          </cell>
          <cell r="M1073" t="str">
            <v>Parda</v>
          </cell>
          <cell r="N1073">
            <v>37144</v>
          </cell>
          <cell r="O1073" t="str">
            <v>384315707</v>
          </cell>
          <cell r="P1073" t="str">
            <v>SP</v>
          </cell>
          <cell r="Q1073" t="str">
            <v>SSP</v>
          </cell>
          <cell r="R1073" t="str">
            <v>SANTOS</v>
          </cell>
        </row>
        <row r="1074">
          <cell r="A1074" t="str">
            <v>ALVARO DE SOUZA FERREIRA</v>
          </cell>
          <cell r="B1074" t="str">
            <v>Casado</v>
          </cell>
          <cell r="C1074" t="str">
            <v>R Oito (Residencial Victoria Park)</v>
          </cell>
          <cell r="D1074" t="str">
            <v>VILA ZILDA</v>
          </cell>
          <cell r="E1074" t="str">
            <v>GUARUJA</v>
          </cell>
          <cell r="F1074" t="str">
            <v>SP</v>
          </cell>
          <cell r="G1074" t="str">
            <v>50</v>
          </cell>
          <cell r="H1074" t="str">
            <v>Casa</v>
          </cell>
          <cell r="I1074" t="str">
            <v>11436-540</v>
          </cell>
          <cell r="J1074" t="str">
            <v>974081159</v>
          </cell>
          <cell r="K1074" t="str">
            <v>974081159</v>
          </cell>
          <cell r="L1074" t="str">
            <v>Masculino</v>
          </cell>
          <cell r="M1074" t="str">
            <v>Parda</v>
          </cell>
          <cell r="N1074">
            <v>33579</v>
          </cell>
          <cell r="O1074" t="str">
            <v>485722860</v>
          </cell>
          <cell r="P1074" t="str">
            <v>SP</v>
          </cell>
          <cell r="Q1074" t="str">
            <v>SSP</v>
          </cell>
          <cell r="R1074" t="str">
            <v>SANTOS</v>
          </cell>
        </row>
        <row r="1075">
          <cell r="A1075" t="str">
            <v>AGUINALDO VASCONCELOS IGLESIAS</v>
          </cell>
          <cell r="B1075" t="str">
            <v>Casado</v>
          </cell>
          <cell r="C1075" t="str">
            <v>R ALEXANDRE FLEMING</v>
          </cell>
          <cell r="D1075" t="str">
            <v>Aparecida</v>
          </cell>
          <cell r="E1075" t="str">
            <v>SANTOS</v>
          </cell>
          <cell r="F1075" t="str">
            <v>SP</v>
          </cell>
          <cell r="G1075" t="str">
            <v>446</v>
          </cell>
          <cell r="H1075" t="str">
            <v>AP 73</v>
          </cell>
          <cell r="I1075" t="str">
            <v>11040-010</v>
          </cell>
          <cell r="J1075" t="str">
            <v>974081877</v>
          </cell>
          <cell r="K1075" t="str">
            <v>33413033</v>
          </cell>
          <cell r="L1075" t="str">
            <v>Masculino</v>
          </cell>
          <cell r="M1075" t="str">
            <v>Parda</v>
          </cell>
          <cell r="N1075">
            <v>23978</v>
          </cell>
          <cell r="O1075" t="str">
            <v>165871428</v>
          </cell>
          <cell r="P1075" t="str">
            <v>SP</v>
          </cell>
          <cell r="Q1075" t="str">
            <v>SSP</v>
          </cell>
          <cell r="R1075" t="str">
            <v>SANTOS</v>
          </cell>
        </row>
        <row r="1076">
          <cell r="A1076" t="str">
            <v>LUA SOUZA NUSSI</v>
          </cell>
          <cell r="B1076" t="str">
            <v>Casado</v>
          </cell>
          <cell r="C1076" t="str">
            <v>R IGUAPE</v>
          </cell>
          <cell r="D1076" t="str">
            <v>Saboo</v>
          </cell>
          <cell r="E1076" t="str">
            <v>SANTOS</v>
          </cell>
          <cell r="F1076" t="str">
            <v>SP</v>
          </cell>
          <cell r="G1076" t="str">
            <v>525</v>
          </cell>
          <cell r="H1076" t="str">
            <v>91 B</v>
          </cell>
          <cell r="I1076" t="str">
            <v>11085-170</v>
          </cell>
          <cell r="J1076" t="str">
            <v>974128509</v>
          </cell>
          <cell r="K1076" t="str">
            <v>974021130</v>
          </cell>
          <cell r="L1076" t="str">
            <v>Masculino</v>
          </cell>
          <cell r="M1076" t="str">
            <v>Preta/Negra</v>
          </cell>
          <cell r="N1076">
            <v>33339</v>
          </cell>
          <cell r="O1076" t="str">
            <v>402509201</v>
          </cell>
          <cell r="P1076" t="str">
            <v>SP</v>
          </cell>
          <cell r="Q1076" t="str">
            <v>SSP</v>
          </cell>
          <cell r="R1076" t="str">
            <v>SANTOS</v>
          </cell>
        </row>
        <row r="1077">
          <cell r="A1077" t="str">
            <v>MARCOS ROBERTO DA SILVA MANDIRA</v>
          </cell>
          <cell r="B1077" t="str">
            <v>Casado</v>
          </cell>
          <cell r="C1077" t="str">
            <v>AV PREF JOSE MONTEIRO</v>
          </cell>
          <cell r="D1077" t="str">
            <v>Jardim Independencia</v>
          </cell>
          <cell r="E1077" t="str">
            <v>SAO VICENTE</v>
          </cell>
          <cell r="F1077" t="str">
            <v>SP</v>
          </cell>
          <cell r="G1077" t="str">
            <v>134</v>
          </cell>
          <cell r="H1077" t="str">
            <v>AP 13</v>
          </cell>
          <cell r="I1077" t="str">
            <v>11380-000</v>
          </cell>
          <cell r="J1077" t="str">
            <v>991767269</v>
          </cell>
          <cell r="K1077" t="str">
            <v>34678459</v>
          </cell>
          <cell r="L1077" t="str">
            <v>Masculino</v>
          </cell>
          <cell r="M1077" t="str">
            <v>Parda</v>
          </cell>
          <cell r="N1077">
            <v>25091</v>
          </cell>
          <cell r="O1077" t="str">
            <v>205861374</v>
          </cell>
          <cell r="P1077" t="str">
            <v>SP</v>
          </cell>
          <cell r="Q1077" t="str">
            <v>SSP</v>
          </cell>
          <cell r="R1077" t="str">
            <v>SANTOS</v>
          </cell>
        </row>
        <row r="1078">
          <cell r="A1078" t="str">
            <v>GUSTAVO HENRIQUE MONTEIRO</v>
          </cell>
          <cell r="B1078" t="str">
            <v>Casado</v>
          </cell>
          <cell r="C1078" t="str">
            <v>R VINTE E OITO DE SETEMBRO</v>
          </cell>
          <cell r="D1078" t="str">
            <v>Macuco</v>
          </cell>
          <cell r="E1078" t="str">
            <v>SANTOS</v>
          </cell>
          <cell r="F1078" t="str">
            <v>SP</v>
          </cell>
          <cell r="G1078" t="str">
            <v>295</v>
          </cell>
          <cell r="H1078" t="str">
            <v>AP 215</v>
          </cell>
          <cell r="I1078" t="str">
            <v>11015-110</v>
          </cell>
          <cell r="J1078" t="str">
            <v>997997676</v>
          </cell>
          <cell r="K1078" t="str">
            <v/>
          </cell>
          <cell r="L1078" t="str">
            <v>Masculino</v>
          </cell>
          <cell r="M1078" t="str">
            <v>Parda</v>
          </cell>
          <cell r="N1078">
            <v>29817</v>
          </cell>
          <cell r="O1078" t="str">
            <v>243248945</v>
          </cell>
          <cell r="P1078" t="str">
            <v>SP</v>
          </cell>
          <cell r="Q1078" t="str">
            <v>SSP</v>
          </cell>
          <cell r="R1078" t="str">
            <v>SANTOS</v>
          </cell>
        </row>
        <row r="1079">
          <cell r="A1079" t="str">
            <v>JOAO BATISTA MATIAS JUNIOR</v>
          </cell>
          <cell r="B1079" t="str">
            <v>Solteiro</v>
          </cell>
          <cell r="C1079" t="str">
            <v>R PASTOR FRANCISCO GONZAGA DA SILVA</v>
          </cell>
          <cell r="D1079" t="str">
            <v>Bom Retiro</v>
          </cell>
          <cell r="E1079" t="str">
            <v>SANTOS</v>
          </cell>
          <cell r="F1079" t="str">
            <v>SP</v>
          </cell>
          <cell r="G1079" t="str">
            <v>118</v>
          </cell>
          <cell r="H1079" t="str">
            <v/>
          </cell>
          <cell r="I1079" t="str">
            <v>11088-070</v>
          </cell>
          <cell r="J1079" t="str">
            <v>974047129</v>
          </cell>
          <cell r="K1079" t="str">
            <v/>
          </cell>
          <cell r="L1079" t="str">
            <v>Masculino</v>
          </cell>
          <cell r="M1079" t="str">
            <v>Parda</v>
          </cell>
          <cell r="N1079">
            <v>29273</v>
          </cell>
          <cell r="O1079" t="str">
            <v>272360867</v>
          </cell>
          <cell r="P1079" t="str">
            <v>SP</v>
          </cell>
          <cell r="Q1079" t="str">
            <v>SSP</v>
          </cell>
          <cell r="R1079" t="str">
            <v>SANTOS</v>
          </cell>
        </row>
        <row r="1080">
          <cell r="A1080" t="str">
            <v>ADILSON DOS SANTOS</v>
          </cell>
          <cell r="B1080" t="str">
            <v>Casado</v>
          </cell>
          <cell r="C1080" t="str">
            <v>R EZIO DA COSTA GAMA</v>
          </cell>
          <cell r="D1080" t="str">
            <v>Jardim Boa Esperança</v>
          </cell>
          <cell r="E1080" t="str">
            <v>GUARUJA</v>
          </cell>
          <cell r="F1080" t="str">
            <v>SP</v>
          </cell>
          <cell r="G1080" t="str">
            <v>129</v>
          </cell>
          <cell r="H1080" t="str">
            <v>B</v>
          </cell>
          <cell r="I1080" t="str">
            <v>11471-050</v>
          </cell>
          <cell r="J1080" t="str">
            <v>974109503</v>
          </cell>
          <cell r="K1080" t="str">
            <v/>
          </cell>
          <cell r="L1080" t="str">
            <v>Masculino</v>
          </cell>
          <cell r="M1080" t="str">
            <v>Parda</v>
          </cell>
          <cell r="N1080">
            <v>26342</v>
          </cell>
          <cell r="O1080" t="str">
            <v>265372355</v>
          </cell>
          <cell r="P1080" t="str">
            <v>SP</v>
          </cell>
          <cell r="Q1080" t="str">
            <v>SSP</v>
          </cell>
          <cell r="R1080" t="str">
            <v>GUARUJA</v>
          </cell>
        </row>
        <row r="1081">
          <cell r="A1081" t="str">
            <v>MOISES JULIO BERNARDES CERQUEIRA</v>
          </cell>
          <cell r="B1081" t="str">
            <v>Casado</v>
          </cell>
          <cell r="C1081" t="str">
            <v>R FREI GASPAR</v>
          </cell>
          <cell r="D1081" t="str">
            <v>Centro</v>
          </cell>
          <cell r="E1081" t="str">
            <v>SAO VICENTE</v>
          </cell>
          <cell r="F1081" t="str">
            <v>SP</v>
          </cell>
          <cell r="G1081" t="str">
            <v>143</v>
          </cell>
          <cell r="H1081" t="str">
            <v>AP 103</v>
          </cell>
          <cell r="I1081" t="str">
            <v>11310-060</v>
          </cell>
          <cell r="J1081" t="str">
            <v>974104645</v>
          </cell>
          <cell r="K1081" t="str">
            <v>33711800</v>
          </cell>
          <cell r="L1081" t="str">
            <v>Masculino</v>
          </cell>
          <cell r="M1081" t="str">
            <v>Parda</v>
          </cell>
          <cell r="N1081">
            <v>26765</v>
          </cell>
          <cell r="O1081" t="str">
            <v>242683332</v>
          </cell>
          <cell r="P1081" t="str">
            <v>SP</v>
          </cell>
          <cell r="Q1081" t="str">
            <v>SSP</v>
          </cell>
          <cell r="R1081" t="str">
            <v>SAO PAULO</v>
          </cell>
        </row>
        <row r="1082">
          <cell r="A1082" t="str">
            <v>RENATO FERREIRA DA SILVA</v>
          </cell>
          <cell r="B1082" t="str">
            <v>Casado</v>
          </cell>
          <cell r="C1082" t="str">
            <v>R PROFESSOR TORRES HOMEM</v>
          </cell>
          <cell r="D1082" t="str">
            <v>Embare</v>
          </cell>
          <cell r="E1082" t="str">
            <v>SANTOS</v>
          </cell>
          <cell r="F1082" t="str">
            <v>SP</v>
          </cell>
          <cell r="G1082" t="str">
            <v>503</v>
          </cell>
          <cell r="H1082" t="str">
            <v>AP 32</v>
          </cell>
          <cell r="I1082" t="str">
            <v>11025-021</v>
          </cell>
          <cell r="J1082" t="str">
            <v>996260051</v>
          </cell>
          <cell r="K1082" t="str">
            <v>991504683</v>
          </cell>
          <cell r="L1082" t="str">
            <v>Masculino</v>
          </cell>
          <cell r="M1082" t="str">
            <v>Parda</v>
          </cell>
          <cell r="N1082">
            <v>24193</v>
          </cell>
          <cell r="O1082" t="str">
            <v>605107646</v>
          </cell>
          <cell r="P1082" t="str">
            <v>MG</v>
          </cell>
          <cell r="Q1082" t="str">
            <v>SSP</v>
          </cell>
          <cell r="R1082" t="str">
            <v>ITAJUBA</v>
          </cell>
        </row>
        <row r="1083">
          <cell r="A1083" t="str">
            <v>RAFAEL GALANTE DOS SANTOS</v>
          </cell>
          <cell r="B1083" t="str">
            <v>Solteiro</v>
          </cell>
          <cell r="C1083" t="str">
            <v>R EDUARDO ALVES</v>
          </cell>
          <cell r="D1083" t="str">
            <v>São Jorge</v>
          </cell>
          <cell r="E1083" t="str">
            <v>SANTOS</v>
          </cell>
          <cell r="F1083" t="str">
            <v>SP</v>
          </cell>
          <cell r="G1083" t="str">
            <v>366</v>
          </cell>
          <cell r="H1083" t="str">
            <v>CASA 01</v>
          </cell>
          <cell r="I1083" t="str">
            <v>11085-680</v>
          </cell>
          <cell r="J1083" t="str">
            <v>991100707</v>
          </cell>
          <cell r="K1083" t="str">
            <v/>
          </cell>
          <cell r="L1083" t="str">
            <v>Masculino</v>
          </cell>
          <cell r="M1083" t="str">
            <v>Parda</v>
          </cell>
          <cell r="N1083">
            <v>30533</v>
          </cell>
          <cell r="O1083" t="str">
            <v>443330827</v>
          </cell>
          <cell r="P1083" t="str">
            <v>SP</v>
          </cell>
          <cell r="Q1083" t="str">
            <v>SSP</v>
          </cell>
          <cell r="R1083" t="str">
            <v>SANTOS</v>
          </cell>
        </row>
        <row r="1084">
          <cell r="A1084" t="str">
            <v>CLAUDIO PEREIRA DA CRUZ</v>
          </cell>
          <cell r="B1084" t="str">
            <v>Solteiro</v>
          </cell>
          <cell r="C1084" t="str">
            <v>R LIBERDADE</v>
          </cell>
          <cell r="D1084" t="str">
            <v>Boqueirao</v>
          </cell>
          <cell r="E1084" t="str">
            <v>SANTOS</v>
          </cell>
          <cell r="F1084" t="str">
            <v>SP</v>
          </cell>
          <cell r="G1084" t="str">
            <v>327</v>
          </cell>
          <cell r="H1084" t="str">
            <v>BL A AP 32</v>
          </cell>
          <cell r="I1084" t="str">
            <v>11025-030</v>
          </cell>
          <cell r="J1084" t="str">
            <v>32274939</v>
          </cell>
          <cell r="K1084" t="str">
            <v>997731500</v>
          </cell>
          <cell r="L1084" t="str">
            <v>Masculino</v>
          </cell>
          <cell r="M1084" t="str">
            <v>Parda</v>
          </cell>
          <cell r="N1084">
            <v>28381</v>
          </cell>
          <cell r="O1084" t="str">
            <v>27213692X</v>
          </cell>
          <cell r="P1084" t="str">
            <v>SP</v>
          </cell>
          <cell r="Q1084" t="str">
            <v>SSP</v>
          </cell>
          <cell r="R1084" t="str">
            <v>SANTOS</v>
          </cell>
        </row>
        <row r="1085">
          <cell r="A1085" t="str">
            <v>LUAN ANDRADE DOS SANTOS</v>
          </cell>
          <cell r="B1085" t="str">
            <v>Casado</v>
          </cell>
          <cell r="C1085" t="str">
            <v>AV PEDRO AMERICO</v>
          </cell>
          <cell r="D1085" t="str">
            <v>Jardim Trevo</v>
          </cell>
          <cell r="E1085" t="str">
            <v>PRAIA GRANDE</v>
          </cell>
          <cell r="F1085" t="str">
            <v>SP</v>
          </cell>
          <cell r="G1085" t="str">
            <v>326</v>
          </cell>
          <cell r="H1085" t="str">
            <v>CASA 01</v>
          </cell>
          <cell r="I1085" t="str">
            <v>11713-070</v>
          </cell>
          <cell r="J1085" t="str">
            <v>35764580</v>
          </cell>
          <cell r="K1085" t="str">
            <v>996440976</v>
          </cell>
          <cell r="L1085" t="str">
            <v>Masculino</v>
          </cell>
          <cell r="M1085" t="str">
            <v>Parda</v>
          </cell>
          <cell r="N1085">
            <v>34367</v>
          </cell>
          <cell r="O1085" t="str">
            <v>421101520</v>
          </cell>
          <cell r="P1085" t="str">
            <v>SP</v>
          </cell>
          <cell r="Q1085" t="str">
            <v>SSP</v>
          </cell>
          <cell r="R1085" t="str">
            <v>CUBATAO</v>
          </cell>
        </row>
        <row r="1086">
          <cell r="A1086" t="str">
            <v>DANIELA CAMARA CHIORO</v>
          </cell>
          <cell r="B1086" t="str">
            <v>Casado</v>
          </cell>
          <cell r="C1086" t="str">
            <v>R DOUTOR MOURA RIBEIRO</v>
          </cell>
          <cell r="D1086" t="str">
            <v>Marapé</v>
          </cell>
          <cell r="E1086" t="str">
            <v>SANTOS</v>
          </cell>
          <cell r="F1086" t="str">
            <v>SP</v>
          </cell>
          <cell r="G1086" t="str">
            <v>125</v>
          </cell>
          <cell r="H1086" t="str">
            <v>AP 235G</v>
          </cell>
          <cell r="I1086" t="str">
            <v>11070-061</v>
          </cell>
          <cell r="J1086" t="str">
            <v>982294401</v>
          </cell>
          <cell r="K1086" t="str">
            <v/>
          </cell>
          <cell r="L1086" t="str">
            <v>Feminino</v>
          </cell>
          <cell r="M1086" t="str">
            <v>Parda</v>
          </cell>
          <cell r="N1086">
            <v>28947</v>
          </cell>
          <cell r="O1086" t="str">
            <v>298643170</v>
          </cell>
          <cell r="P1086" t="str">
            <v>SP</v>
          </cell>
          <cell r="Q1086" t="str">
            <v>SSP</v>
          </cell>
          <cell r="R1086" t="str">
            <v>SANTOS</v>
          </cell>
        </row>
        <row r="1087">
          <cell r="A1087" t="str">
            <v>SERGIO RICARDO E SOUZA</v>
          </cell>
          <cell r="B1087" t="str">
            <v>Solteiro</v>
          </cell>
          <cell r="C1087" t="str">
            <v>R JOAO JOSE FLORINDO DA SILVA</v>
          </cell>
          <cell r="D1087" t="str">
            <v>Itarare</v>
          </cell>
          <cell r="E1087" t="str">
            <v>SAO VICENTE</v>
          </cell>
          <cell r="F1087" t="str">
            <v>SP</v>
          </cell>
          <cell r="G1087" t="str">
            <v>27</v>
          </cell>
          <cell r="H1087" t="str">
            <v>APTO 1106</v>
          </cell>
          <cell r="I1087" t="str">
            <v>11320-230</v>
          </cell>
          <cell r="J1087" t="str">
            <v>981622157</v>
          </cell>
          <cell r="K1087" t="str">
            <v>981622157</v>
          </cell>
          <cell r="L1087" t="str">
            <v>Masculino</v>
          </cell>
          <cell r="M1087" t="str">
            <v>Branca</v>
          </cell>
          <cell r="N1087">
            <v>25346</v>
          </cell>
          <cell r="O1087" t="str">
            <v>220460139</v>
          </cell>
          <cell r="P1087" t="str">
            <v>SP</v>
          </cell>
          <cell r="Q1087" t="str">
            <v>SSP</v>
          </cell>
          <cell r="R1087" t="str">
            <v>MIRAI</v>
          </cell>
        </row>
        <row r="1088">
          <cell r="A1088" t="str">
            <v>VALTER RAIMUNDO SOUZA JUNIOR</v>
          </cell>
          <cell r="B1088" t="str">
            <v>Casado</v>
          </cell>
          <cell r="C1088" t="str">
            <v>R DONA MARIA MAXIMO</v>
          </cell>
          <cell r="D1088" t="str">
            <v>Aparecida</v>
          </cell>
          <cell r="E1088" t="str">
            <v>SANTOS</v>
          </cell>
          <cell r="F1088" t="str">
            <v>SP</v>
          </cell>
          <cell r="G1088" t="str">
            <v>102</v>
          </cell>
          <cell r="H1088" t="str">
            <v>AP 24</v>
          </cell>
          <cell r="I1088" t="str">
            <v>11030-100</v>
          </cell>
          <cell r="J1088" t="str">
            <v>32360661</v>
          </cell>
          <cell r="K1088" t="str">
            <v>991872643</v>
          </cell>
          <cell r="L1088" t="str">
            <v>Masculino</v>
          </cell>
          <cell r="M1088" t="str">
            <v>Parda</v>
          </cell>
          <cell r="N1088">
            <v>24968</v>
          </cell>
          <cell r="O1088" t="str">
            <v>208219523</v>
          </cell>
          <cell r="P1088" t="str">
            <v>SP</v>
          </cell>
          <cell r="Q1088" t="str">
            <v>SSP</v>
          </cell>
          <cell r="R1088" t="str">
            <v>SANTOS</v>
          </cell>
        </row>
        <row r="1089">
          <cell r="A1089" t="str">
            <v>ALEXANDRE CASSIANO</v>
          </cell>
          <cell r="B1089" t="str">
            <v>Casado</v>
          </cell>
          <cell r="C1089" t="str">
            <v>R TRIESTE</v>
          </cell>
          <cell r="D1089" t="str">
            <v>Macuco</v>
          </cell>
          <cell r="E1089" t="str">
            <v>SANTOS</v>
          </cell>
          <cell r="F1089" t="str">
            <v>SP</v>
          </cell>
          <cell r="G1089" t="str">
            <v>6</v>
          </cell>
          <cell r="H1089" t="str">
            <v/>
          </cell>
          <cell r="I1089" t="str">
            <v>11020-130</v>
          </cell>
          <cell r="J1089" t="str">
            <v>974084621</v>
          </cell>
          <cell r="K1089" t="str">
            <v>974084621</v>
          </cell>
          <cell r="L1089" t="str">
            <v>Masculino</v>
          </cell>
          <cell r="M1089" t="str">
            <v>Parda</v>
          </cell>
          <cell r="N1089">
            <v>26585</v>
          </cell>
          <cell r="O1089" t="str">
            <v>205852488</v>
          </cell>
          <cell r="P1089" t="str">
            <v>SP</v>
          </cell>
          <cell r="Q1089" t="str">
            <v>SSP</v>
          </cell>
          <cell r="R1089" t="str">
            <v>SANTOS</v>
          </cell>
        </row>
        <row r="1090">
          <cell r="A1090" t="str">
            <v>THIAGO CAMARGO SOUZA OLIVEIRA</v>
          </cell>
          <cell r="B1090" t="str">
            <v>Casado</v>
          </cell>
          <cell r="C1090" t="str">
            <v>R EDUARDO DIAS COELHO</v>
          </cell>
          <cell r="D1090" t="str">
            <v>Esplanada dos Barrei</v>
          </cell>
          <cell r="E1090" t="str">
            <v>SAO VICENTE</v>
          </cell>
          <cell r="F1090" t="str">
            <v>SP</v>
          </cell>
          <cell r="G1090" t="str">
            <v>200</v>
          </cell>
          <cell r="H1090" t="str">
            <v/>
          </cell>
          <cell r="I1090" t="str">
            <v>11340-260</v>
          </cell>
          <cell r="J1090" t="str">
            <v>981225540</v>
          </cell>
          <cell r="K1090" t="str">
            <v>981225540</v>
          </cell>
          <cell r="L1090" t="str">
            <v>Masculino</v>
          </cell>
          <cell r="M1090" t="str">
            <v>Parda</v>
          </cell>
          <cell r="N1090">
            <v>32213</v>
          </cell>
          <cell r="O1090" t="str">
            <v>415897841</v>
          </cell>
          <cell r="P1090" t="str">
            <v>SP</v>
          </cell>
          <cell r="Q1090" t="str">
            <v>SSP</v>
          </cell>
          <cell r="R1090" t="str">
            <v>SANTOS</v>
          </cell>
        </row>
        <row r="1091">
          <cell r="A1091" t="str">
            <v>PAULO EDUARDO DOS SANTOS JUNIOR</v>
          </cell>
          <cell r="B1091" t="str">
            <v>Casado</v>
          </cell>
          <cell r="C1091" t="str">
            <v>AV MARECHAL DEODORO</v>
          </cell>
          <cell r="D1091" t="str">
            <v>Vila Valença</v>
          </cell>
          <cell r="E1091" t="str">
            <v>SAO VICENTE</v>
          </cell>
          <cell r="F1091" t="str">
            <v>SP</v>
          </cell>
          <cell r="G1091" t="str">
            <v>1099</v>
          </cell>
          <cell r="H1091" t="str">
            <v>APTO 905</v>
          </cell>
          <cell r="I1091" t="str">
            <v>11390-100</v>
          </cell>
          <cell r="J1091" t="str">
            <v>991446959</v>
          </cell>
          <cell r="K1091" t="str">
            <v/>
          </cell>
          <cell r="L1091" t="str">
            <v>Masculino</v>
          </cell>
          <cell r="M1091" t="str">
            <v>Parda</v>
          </cell>
          <cell r="N1091">
            <v>31772</v>
          </cell>
          <cell r="O1091" t="str">
            <v>439940771</v>
          </cell>
          <cell r="P1091" t="str">
            <v>SP</v>
          </cell>
          <cell r="Q1091" t="str">
            <v>SSP</v>
          </cell>
          <cell r="R1091" t="str">
            <v>SANTOS</v>
          </cell>
        </row>
        <row r="1092">
          <cell r="A1092" t="str">
            <v>VALTER SOARES MENDONCA</v>
          </cell>
          <cell r="B1092" t="str">
            <v>Casado</v>
          </cell>
          <cell r="C1092" t="str">
            <v>R INACIO MIGUEL STEFANO</v>
          </cell>
          <cell r="D1092" t="str">
            <v>Jardim Três Marias</v>
          </cell>
          <cell r="E1092" t="str">
            <v>GUARUJA</v>
          </cell>
          <cell r="F1092" t="str">
            <v>SP</v>
          </cell>
          <cell r="G1092" t="str">
            <v>636</v>
          </cell>
          <cell r="H1092" t="str">
            <v>APTO 14</v>
          </cell>
          <cell r="I1092" t="str">
            <v>11440-160</v>
          </cell>
          <cell r="J1092" t="str">
            <v/>
          </cell>
          <cell r="K1092" t="str">
            <v/>
          </cell>
          <cell r="L1092" t="str">
            <v>Masculino</v>
          </cell>
          <cell r="M1092" t="str">
            <v>Parda</v>
          </cell>
          <cell r="N1092">
            <v>26927</v>
          </cell>
          <cell r="O1092" t="str">
            <v>8054403384</v>
          </cell>
          <cell r="P1092" t="str">
            <v>SP</v>
          </cell>
          <cell r="Q1092" t="str">
            <v>SSP</v>
          </cell>
          <cell r="R1092" t="str">
            <v>RIO GRANDE</v>
          </cell>
        </row>
        <row r="1093">
          <cell r="A1093" t="str">
            <v>FABIO BARRETO DE GOIS</v>
          </cell>
          <cell r="B1093" t="str">
            <v>União Estável</v>
          </cell>
          <cell r="C1093" t="str">
            <v>EST JOAO BAPTISTA</v>
          </cell>
          <cell r="D1093" t="str">
            <v>Morro Penha</v>
          </cell>
          <cell r="E1093" t="str">
            <v>SANTOS</v>
          </cell>
          <cell r="F1093" t="str">
            <v>SP</v>
          </cell>
          <cell r="G1093" t="str">
            <v>230</v>
          </cell>
          <cell r="H1093" t="str">
            <v>CASA</v>
          </cell>
          <cell r="I1093" t="str">
            <v>11081-200</v>
          </cell>
          <cell r="J1093" t="str">
            <v>32961098</v>
          </cell>
          <cell r="K1093" t="str">
            <v>981385987</v>
          </cell>
          <cell r="L1093" t="str">
            <v>Masculino</v>
          </cell>
          <cell r="M1093" t="str">
            <v>Parda</v>
          </cell>
          <cell r="N1093">
            <v>28314</v>
          </cell>
          <cell r="O1093" t="str">
            <v>250037816</v>
          </cell>
          <cell r="P1093" t="str">
            <v>SP</v>
          </cell>
          <cell r="Q1093" t="str">
            <v>SSP</v>
          </cell>
          <cell r="R1093" t="str">
            <v>SANTOS</v>
          </cell>
        </row>
        <row r="1094">
          <cell r="A1094" t="str">
            <v>ANDERSON MARACAIPE LEITE</v>
          </cell>
          <cell r="B1094" t="str">
            <v>Divorciado</v>
          </cell>
          <cell r="C1094" t="str">
            <v>AV ODILON MAXIMIANO DOS SANTOS</v>
          </cell>
          <cell r="D1094" t="str">
            <v>Morrinhos</v>
          </cell>
          <cell r="E1094" t="str">
            <v>GUARUJA</v>
          </cell>
          <cell r="F1094" t="str">
            <v>SP</v>
          </cell>
          <cell r="G1094" t="str">
            <v>79</v>
          </cell>
          <cell r="H1094" t="str">
            <v>Casa</v>
          </cell>
          <cell r="I1094" t="str">
            <v>11495-012</v>
          </cell>
          <cell r="J1094" t="str">
            <v>33594943</v>
          </cell>
          <cell r="K1094" t="str">
            <v>974078331</v>
          </cell>
          <cell r="L1094" t="str">
            <v>Masculino</v>
          </cell>
          <cell r="M1094" t="str">
            <v>Parda</v>
          </cell>
          <cell r="N1094">
            <v>29510</v>
          </cell>
          <cell r="O1094" t="str">
            <v>320704142</v>
          </cell>
          <cell r="P1094" t="str">
            <v>SP</v>
          </cell>
          <cell r="Q1094" t="str">
            <v>SSP</v>
          </cell>
          <cell r="R1094" t="str">
            <v>GUARUJA</v>
          </cell>
        </row>
        <row r="1095">
          <cell r="A1095" t="str">
            <v>GISELE GRAVATA BARROS</v>
          </cell>
          <cell r="B1095" t="str">
            <v>Solteiro</v>
          </cell>
          <cell r="C1095" t="str">
            <v>R NEIDE MARIA CHAVES FERNANDES</v>
          </cell>
          <cell r="D1095" t="str">
            <v>Jardim Progresso (Vi</v>
          </cell>
          <cell r="E1095" t="str">
            <v>GUARUJA</v>
          </cell>
          <cell r="F1095" t="str">
            <v>SP</v>
          </cell>
          <cell r="G1095" t="str">
            <v>136</v>
          </cell>
          <cell r="H1095" t="str">
            <v>CASA A</v>
          </cell>
          <cell r="I1095" t="str">
            <v>11453-040</v>
          </cell>
          <cell r="J1095" t="str">
            <v>33411924</v>
          </cell>
          <cell r="K1095" t="str">
            <v>974070680</v>
          </cell>
          <cell r="L1095" t="str">
            <v>Feminino</v>
          </cell>
          <cell r="M1095" t="str">
            <v>Parda</v>
          </cell>
          <cell r="N1095">
            <v>30083</v>
          </cell>
          <cell r="O1095" t="str">
            <v>295366333</v>
          </cell>
          <cell r="P1095" t="str">
            <v>SP</v>
          </cell>
          <cell r="Q1095" t="str">
            <v>SSP</v>
          </cell>
          <cell r="R1095" t="str">
            <v>GUARUJA</v>
          </cell>
        </row>
        <row r="1096">
          <cell r="A1096" t="str">
            <v>JOSE RICARDO RIBEIRO DA SILVA</v>
          </cell>
          <cell r="B1096" t="str">
            <v>União Estável</v>
          </cell>
          <cell r="C1096" t="str">
            <v>AV BRASIL</v>
          </cell>
          <cell r="D1096" t="str">
            <v>Morro Nova Cintra</v>
          </cell>
          <cell r="E1096" t="str">
            <v>SANTOS</v>
          </cell>
          <cell r="F1096" t="str">
            <v>SP</v>
          </cell>
          <cell r="G1096" t="str">
            <v>96</v>
          </cell>
          <cell r="H1096" t="str">
            <v>BL G AP 14</v>
          </cell>
          <cell r="I1096" t="str">
            <v>11080-250</v>
          </cell>
          <cell r="J1096" t="str">
            <v>988787677</v>
          </cell>
          <cell r="K1096" t="str">
            <v>981216932</v>
          </cell>
          <cell r="L1096" t="str">
            <v>Masculino</v>
          </cell>
          <cell r="M1096" t="str">
            <v>Parda</v>
          </cell>
          <cell r="N1096">
            <v>29383</v>
          </cell>
          <cell r="O1096" t="str">
            <v>320034690</v>
          </cell>
          <cell r="P1096" t="str">
            <v>SP</v>
          </cell>
          <cell r="Q1096" t="str">
            <v>SSP</v>
          </cell>
          <cell r="R1096" t="str">
            <v>ALHANDRA</v>
          </cell>
        </row>
        <row r="1097">
          <cell r="A1097" t="str">
            <v>DANIEL FELIPE SILVA DE OLIVEIRA SANTOS</v>
          </cell>
          <cell r="B1097" t="str">
            <v>Casado</v>
          </cell>
          <cell r="C1097" t="str">
            <v>AV Abílio dos Santos Branco</v>
          </cell>
          <cell r="D1097" t="str">
            <v>Enseada</v>
          </cell>
          <cell r="E1097" t="str">
            <v>GUARUJA</v>
          </cell>
          <cell r="F1097" t="str">
            <v>SP</v>
          </cell>
          <cell r="G1097" t="str">
            <v>646</v>
          </cell>
          <cell r="H1097" t="str">
            <v>APTO 45</v>
          </cell>
          <cell r="I1097" t="str">
            <v>11440-380</v>
          </cell>
          <cell r="J1097" t="str">
            <v>996037895</v>
          </cell>
          <cell r="K1097" t="str">
            <v/>
          </cell>
          <cell r="L1097" t="str">
            <v>Masculino</v>
          </cell>
          <cell r="M1097" t="str">
            <v>Parda</v>
          </cell>
          <cell r="N1097">
            <v>32272</v>
          </cell>
          <cell r="O1097" t="str">
            <v>440054217</v>
          </cell>
          <cell r="P1097" t="str">
            <v>SP</v>
          </cell>
          <cell r="Q1097" t="str">
            <v>SSP</v>
          </cell>
          <cell r="R1097" t="str">
            <v>GUARUJA</v>
          </cell>
        </row>
        <row r="1098">
          <cell r="A1098" t="str">
            <v>PAULO CESAR NASCIMENTO SANTOS</v>
          </cell>
          <cell r="B1098" t="str">
            <v>Solteiro</v>
          </cell>
          <cell r="C1098" t="str">
            <v>AV MARECHAL MAURICIO JOSE CARDOSO</v>
          </cell>
          <cell r="D1098" t="str">
            <v>Canto do Forte</v>
          </cell>
          <cell r="E1098" t="str">
            <v>PRAIA GRANDE</v>
          </cell>
          <cell r="F1098" t="str">
            <v>SP</v>
          </cell>
          <cell r="G1098" t="str">
            <v>554</v>
          </cell>
          <cell r="H1098" t="str">
            <v>AP 49</v>
          </cell>
          <cell r="I1098" t="str">
            <v>11700-140</v>
          </cell>
          <cell r="J1098" t="str">
            <v>992123066</v>
          </cell>
          <cell r="K1098" t="str">
            <v/>
          </cell>
          <cell r="L1098" t="str">
            <v>Masculino</v>
          </cell>
          <cell r="M1098" t="str">
            <v>Parda</v>
          </cell>
          <cell r="N1098">
            <v>33651</v>
          </cell>
          <cell r="O1098" t="str">
            <v>486193354</v>
          </cell>
          <cell r="P1098" t="str">
            <v>SP</v>
          </cell>
          <cell r="Q1098" t="str">
            <v>SSP</v>
          </cell>
          <cell r="R1098" t="str">
            <v>SAO VICENTE</v>
          </cell>
        </row>
        <row r="1099">
          <cell r="A1099" t="str">
            <v>ALESSANDRO ANTHONY DA SILVA</v>
          </cell>
          <cell r="B1099" t="str">
            <v>Casado</v>
          </cell>
          <cell r="C1099" t="str">
            <v>R BENTO VIANA</v>
          </cell>
          <cell r="D1099" t="str">
            <v>Parque Bitaru</v>
          </cell>
          <cell r="E1099" t="str">
            <v>SAO VICENTE</v>
          </cell>
          <cell r="F1099" t="str">
            <v>SP</v>
          </cell>
          <cell r="G1099" t="str">
            <v>860</v>
          </cell>
          <cell r="H1099" t="str">
            <v/>
          </cell>
          <cell r="I1099" t="str">
            <v>11310-220</v>
          </cell>
          <cell r="J1099" t="str">
            <v>974110671</v>
          </cell>
          <cell r="K1099" t="str">
            <v>974110671</v>
          </cell>
          <cell r="L1099" t="str">
            <v>Masculino</v>
          </cell>
          <cell r="M1099" t="str">
            <v>Parda</v>
          </cell>
          <cell r="N1099">
            <v>25649</v>
          </cell>
          <cell r="O1099" t="str">
            <v>180635967</v>
          </cell>
          <cell r="P1099" t="str">
            <v>SP</v>
          </cell>
          <cell r="Q1099" t="str">
            <v>SSP</v>
          </cell>
          <cell r="R1099" t="str">
            <v>SANTOS</v>
          </cell>
        </row>
        <row r="1100">
          <cell r="A1100" t="str">
            <v>CLAUDINEIA DE OLIVEIRA E SOUZA DE CAMPOS</v>
          </cell>
          <cell r="B1100" t="str">
            <v>Casado</v>
          </cell>
          <cell r="C1100" t="str">
            <v>R DR NAPOLEAO LAUREANO</v>
          </cell>
          <cell r="D1100" t="str">
            <v>Tupi</v>
          </cell>
          <cell r="E1100" t="str">
            <v>PRAIA GRANDE</v>
          </cell>
          <cell r="F1100" t="str">
            <v>SP</v>
          </cell>
          <cell r="G1100" t="str">
            <v>397</v>
          </cell>
          <cell r="H1100" t="str">
            <v>VILA TUPI</v>
          </cell>
          <cell r="I1100" t="str">
            <v>11703-620</v>
          </cell>
          <cell r="J1100" t="str">
            <v>996298019</v>
          </cell>
          <cell r="K1100" t="str">
            <v/>
          </cell>
          <cell r="L1100" t="str">
            <v>Feminino</v>
          </cell>
          <cell r="M1100" t="str">
            <v>Parda</v>
          </cell>
          <cell r="N1100">
            <v>25889</v>
          </cell>
          <cell r="O1100" t="str">
            <v>251168608</v>
          </cell>
          <cell r="P1100" t="str">
            <v>SP</v>
          </cell>
          <cell r="Q1100" t="str">
            <v>SSP</v>
          </cell>
          <cell r="R1100" t="str">
            <v>LENCOIS PAULISTA</v>
          </cell>
        </row>
        <row r="1101">
          <cell r="A1101" t="str">
            <v>CARLOS ROBERTO LIMA MARTINS</v>
          </cell>
          <cell r="B1101" t="str">
            <v>Solteiro</v>
          </cell>
          <cell r="C1101" t="str">
            <v>AV General San Martin</v>
          </cell>
          <cell r="D1101" t="str">
            <v>Ponta da Praia</v>
          </cell>
          <cell r="E1101" t="str">
            <v>SANTOS</v>
          </cell>
          <cell r="F1101" t="str">
            <v>SP</v>
          </cell>
          <cell r="G1101" t="str">
            <v>77</v>
          </cell>
          <cell r="H1101" t="str">
            <v>Apto 33</v>
          </cell>
          <cell r="I1101" t="str">
            <v>11030-251</v>
          </cell>
          <cell r="J1101" t="str">
            <v>991049418</v>
          </cell>
          <cell r="K1101" t="str">
            <v/>
          </cell>
          <cell r="L1101" t="str">
            <v>Masculino</v>
          </cell>
          <cell r="M1101" t="str">
            <v>Parda</v>
          </cell>
          <cell r="N1101">
            <v>27106</v>
          </cell>
          <cell r="O1101" t="str">
            <v>274215974</v>
          </cell>
          <cell r="P1101" t="str">
            <v>SP</v>
          </cell>
          <cell r="Q1101" t="str">
            <v>SSP</v>
          </cell>
          <cell r="R1101" t="str">
            <v>SANTOS</v>
          </cell>
        </row>
        <row r="1102">
          <cell r="A1102" t="str">
            <v>MARCIO JOSE PEREIRA DOS SANTOS</v>
          </cell>
          <cell r="B1102" t="str">
            <v>Casado</v>
          </cell>
          <cell r="C1102" t="str">
            <v>R DOZE</v>
          </cell>
          <cell r="D1102" t="str">
            <v>Morro Nova Cintra</v>
          </cell>
          <cell r="E1102" t="str">
            <v>SANTOS</v>
          </cell>
          <cell r="F1102" t="str">
            <v>SP</v>
          </cell>
          <cell r="G1102" t="str">
            <v>582</v>
          </cell>
          <cell r="H1102" t="str">
            <v>AL</v>
          </cell>
          <cell r="I1102" t="str">
            <v>11080-015</v>
          </cell>
          <cell r="J1102" t="str">
            <v>974056947</v>
          </cell>
          <cell r="K1102" t="str">
            <v/>
          </cell>
          <cell r="L1102" t="str">
            <v>Masculino</v>
          </cell>
          <cell r="M1102" t="str">
            <v>Parda</v>
          </cell>
          <cell r="N1102">
            <v>24376</v>
          </cell>
          <cell r="O1102" t="str">
            <v>157370768</v>
          </cell>
          <cell r="P1102" t="str">
            <v>SP</v>
          </cell>
          <cell r="Q1102" t="str">
            <v>SSP</v>
          </cell>
          <cell r="R1102" t="str">
            <v>SANTOS</v>
          </cell>
        </row>
        <row r="1103">
          <cell r="A1103" t="str">
            <v>ISMAEL RODRIGUES DE SOUSA</v>
          </cell>
          <cell r="B1103" t="str">
            <v>União Estável</v>
          </cell>
          <cell r="C1103" t="str">
            <v>R DOUTOR BERNARDO BROWNE</v>
          </cell>
          <cell r="D1103" t="str">
            <v>Estuario</v>
          </cell>
          <cell r="E1103" t="str">
            <v>SANTOS</v>
          </cell>
          <cell r="F1103" t="str">
            <v>SP</v>
          </cell>
          <cell r="G1103" t="str">
            <v>159</v>
          </cell>
          <cell r="H1103" t="str">
            <v>CASA 5</v>
          </cell>
          <cell r="I1103" t="str">
            <v>11025-240</v>
          </cell>
          <cell r="J1103" t="str">
            <v>974123383</v>
          </cell>
          <cell r="K1103" t="str">
            <v/>
          </cell>
          <cell r="L1103" t="str">
            <v>Masculino</v>
          </cell>
          <cell r="M1103" t="str">
            <v>Parda</v>
          </cell>
          <cell r="N1103">
            <v>25813</v>
          </cell>
          <cell r="O1103" t="str">
            <v>217849179</v>
          </cell>
          <cell r="P1103" t="str">
            <v>CE</v>
          </cell>
          <cell r="Q1103" t="str">
            <v>SSP</v>
          </cell>
          <cell r="R1103" t="str">
            <v>FORTALEZA</v>
          </cell>
        </row>
        <row r="1104">
          <cell r="A1104" t="str">
            <v>EDSON LUIZ AGRIA DOS SANTOS</v>
          </cell>
          <cell r="B1104" t="str">
            <v>Casado</v>
          </cell>
          <cell r="C1104" t="str">
            <v>R CORONEL PEDRO ARBUES</v>
          </cell>
          <cell r="D1104" t="str">
            <v>Ponta da Praia</v>
          </cell>
          <cell r="E1104" t="str">
            <v>SANTOS</v>
          </cell>
          <cell r="F1104" t="str">
            <v>SP</v>
          </cell>
          <cell r="G1104" t="str">
            <v>159</v>
          </cell>
          <cell r="H1104" t="str">
            <v/>
          </cell>
          <cell r="I1104" t="str">
            <v>11035-050</v>
          </cell>
          <cell r="J1104" t="str">
            <v>32275315</v>
          </cell>
          <cell r="K1104" t="str">
            <v>974025602</v>
          </cell>
          <cell r="L1104" t="str">
            <v>Masculino</v>
          </cell>
          <cell r="M1104" t="str">
            <v>Parda</v>
          </cell>
          <cell r="N1104">
            <v>26446</v>
          </cell>
          <cell r="O1104" t="str">
            <v>204609197</v>
          </cell>
          <cell r="P1104" t="str">
            <v>SP</v>
          </cell>
          <cell r="Q1104" t="str">
            <v>SSP</v>
          </cell>
          <cell r="R1104" t="str">
            <v>SANTOS</v>
          </cell>
        </row>
        <row r="1105">
          <cell r="A1105" t="str">
            <v>ANDERSON LUIZ ALMEIDA DE MOURA</v>
          </cell>
          <cell r="B1105" t="str">
            <v>Casado</v>
          </cell>
          <cell r="C1105" t="str">
            <v>R DOUTOR FERNANDO COSTA</v>
          </cell>
          <cell r="D1105" t="str">
            <v>Vila Valença</v>
          </cell>
          <cell r="E1105" t="str">
            <v>SAO VICENTE</v>
          </cell>
          <cell r="F1105" t="str">
            <v>SP</v>
          </cell>
          <cell r="G1105" t="str">
            <v>641</v>
          </cell>
          <cell r="H1105" t="str">
            <v>AP 1</v>
          </cell>
          <cell r="I1105" t="str">
            <v>11380-600</v>
          </cell>
          <cell r="J1105" t="str">
            <v>988703139</v>
          </cell>
          <cell r="K1105" t="str">
            <v/>
          </cell>
          <cell r="L1105" t="str">
            <v>Masculino</v>
          </cell>
          <cell r="M1105" t="str">
            <v>Parda</v>
          </cell>
          <cell r="N1105">
            <v>27482</v>
          </cell>
          <cell r="O1105" t="str">
            <v>255447383</v>
          </cell>
          <cell r="P1105" t="str">
            <v>SP</v>
          </cell>
          <cell r="Q1105" t="str">
            <v>SSP</v>
          </cell>
          <cell r="R1105" t="str">
            <v>SANTOS</v>
          </cell>
        </row>
        <row r="1106">
          <cell r="A1106" t="str">
            <v>PALOMA GUERRA MAIA CONCEICAO</v>
          </cell>
          <cell r="B1106" t="str">
            <v>Solteiro</v>
          </cell>
          <cell r="C1106" t="str">
            <v>R DOZE</v>
          </cell>
          <cell r="D1106" t="str">
            <v>Saboo</v>
          </cell>
          <cell r="E1106" t="str">
            <v>SANTOS</v>
          </cell>
          <cell r="F1106" t="str">
            <v>SP</v>
          </cell>
          <cell r="G1106" t="str">
            <v>10</v>
          </cell>
          <cell r="H1106" t="str">
            <v>CASA 05</v>
          </cell>
          <cell r="I1106" t="str">
            <v>11085-130</v>
          </cell>
          <cell r="J1106" t="str">
            <v/>
          </cell>
          <cell r="K1106" t="str">
            <v/>
          </cell>
          <cell r="L1106" t="str">
            <v>Feminino</v>
          </cell>
          <cell r="M1106" t="str">
            <v>Parda</v>
          </cell>
          <cell r="N1106">
            <v>36677</v>
          </cell>
          <cell r="O1106" t="str">
            <v>578624588</v>
          </cell>
          <cell r="P1106" t="str">
            <v>SP</v>
          </cell>
          <cell r="Q1106" t="str">
            <v>SSP</v>
          </cell>
          <cell r="R1106" t="str">
            <v>SANTOS</v>
          </cell>
        </row>
        <row r="1107">
          <cell r="A1107" t="str">
            <v>LUARA RIBEIRO ALVES DE SOUZA</v>
          </cell>
          <cell r="B1107" t="str">
            <v>Solteiro</v>
          </cell>
          <cell r="C1107" t="str">
            <v>R Vinte e Três de Maio</v>
          </cell>
          <cell r="D1107" t="str">
            <v>Mirim</v>
          </cell>
          <cell r="E1107" t="str">
            <v>PRAIA GRANDE</v>
          </cell>
          <cell r="F1107" t="str">
            <v>SP</v>
          </cell>
          <cell r="G1107" t="str">
            <v>781</v>
          </cell>
          <cell r="H1107" t="str">
            <v>Ap. 23</v>
          </cell>
          <cell r="I1107" t="str">
            <v>11704-690</v>
          </cell>
          <cell r="J1107" t="str">
            <v>978089089</v>
          </cell>
          <cell r="K1107" t="str">
            <v/>
          </cell>
          <cell r="L1107" t="str">
            <v>Feminino</v>
          </cell>
          <cell r="M1107" t="str">
            <v>Parda</v>
          </cell>
          <cell r="N1107">
            <v>36333</v>
          </cell>
          <cell r="O1107" t="str">
            <v>555783571</v>
          </cell>
          <cell r="P1107" t="str">
            <v>SP</v>
          </cell>
          <cell r="Q1107" t="str">
            <v>SSP</v>
          </cell>
          <cell r="R1107" t="str">
            <v>PRAIA GRANDE</v>
          </cell>
        </row>
        <row r="1108">
          <cell r="A1108" t="str">
            <v>RODRIGO CAVALCANTE SILVA GARCIA</v>
          </cell>
          <cell r="B1108" t="str">
            <v>Casado</v>
          </cell>
          <cell r="C1108" t="str">
            <v>R TIBIRICA</v>
          </cell>
          <cell r="D1108" t="str">
            <v>Centro</v>
          </cell>
          <cell r="E1108" t="str">
            <v>SAO VICENTE</v>
          </cell>
          <cell r="F1108" t="str">
            <v>SP</v>
          </cell>
          <cell r="G1108" t="str">
            <v>194</v>
          </cell>
          <cell r="H1108" t="str">
            <v>AP 206</v>
          </cell>
          <cell r="I1108" t="str">
            <v>11320-020</v>
          </cell>
          <cell r="J1108" t="str">
            <v/>
          </cell>
          <cell r="K1108" t="str">
            <v/>
          </cell>
          <cell r="L1108" t="str">
            <v>Masculino</v>
          </cell>
          <cell r="M1108" t="str">
            <v>Parda</v>
          </cell>
          <cell r="N1108">
            <v>32192</v>
          </cell>
          <cell r="O1108" t="str">
            <v>299486448</v>
          </cell>
          <cell r="P1108" t="str">
            <v>SP</v>
          </cell>
          <cell r="Q1108" t="str">
            <v>SSP</v>
          </cell>
          <cell r="R1108" t="str">
            <v>SANTOS</v>
          </cell>
        </row>
        <row r="1109">
          <cell r="A1109" t="str">
            <v>ISRAEL DE SOUZA RESENDE</v>
          </cell>
          <cell r="B1109" t="str">
            <v>Casado</v>
          </cell>
          <cell r="C1109" t="str">
            <v>R ARAGUACU</v>
          </cell>
          <cell r="D1109" t="str">
            <v>Enseada</v>
          </cell>
          <cell r="E1109" t="str">
            <v>GUARUJA</v>
          </cell>
          <cell r="F1109" t="str">
            <v>SP</v>
          </cell>
          <cell r="G1109" t="str">
            <v>788</v>
          </cell>
          <cell r="H1109" t="str">
            <v>CASA 2</v>
          </cell>
          <cell r="I1109" t="str">
            <v>11443-130</v>
          </cell>
          <cell r="J1109" t="str">
            <v/>
          </cell>
          <cell r="K1109" t="str">
            <v/>
          </cell>
          <cell r="L1109" t="str">
            <v>Masculino</v>
          </cell>
          <cell r="M1109" t="str">
            <v>Parda</v>
          </cell>
          <cell r="N1109">
            <v>30525</v>
          </cell>
          <cell r="O1109" t="str">
            <v>439178502</v>
          </cell>
          <cell r="P1109" t="str">
            <v>SP</v>
          </cell>
          <cell r="Q1109" t="str">
            <v>SSP</v>
          </cell>
          <cell r="R1109" t="str">
            <v>GUARANESIA</v>
          </cell>
        </row>
        <row r="1110">
          <cell r="A1110" t="str">
            <v>REGINA CLAUDIA SANTOS MESQUITA</v>
          </cell>
          <cell r="B1110" t="str">
            <v>Casado</v>
          </cell>
          <cell r="C1110" t="str">
            <v>R FERNANDO DE NORONHA</v>
          </cell>
          <cell r="D1110" t="str">
            <v>Sítio Paecara (Vicen</v>
          </cell>
          <cell r="E1110" t="str">
            <v>GUARUJA</v>
          </cell>
          <cell r="F1110" t="str">
            <v>SP</v>
          </cell>
          <cell r="G1110" t="str">
            <v>6</v>
          </cell>
          <cell r="H1110" t="str">
            <v>A</v>
          </cell>
          <cell r="I1110" t="str">
            <v>11463-370</v>
          </cell>
          <cell r="J1110" t="str">
            <v/>
          </cell>
          <cell r="K1110" t="str">
            <v/>
          </cell>
          <cell r="L1110" t="str">
            <v>Feminino</v>
          </cell>
          <cell r="M1110" t="str">
            <v>Parda</v>
          </cell>
          <cell r="N1110">
            <v>26851</v>
          </cell>
          <cell r="O1110" t="str">
            <v>25791168X</v>
          </cell>
          <cell r="P1110" t="str">
            <v>SP</v>
          </cell>
          <cell r="Q1110" t="str">
            <v>SSP</v>
          </cell>
          <cell r="R1110" t="str">
            <v>GUARUJA</v>
          </cell>
        </row>
        <row r="1111">
          <cell r="A1111" t="str">
            <v>LEONARDO VELOSA MASSOTI</v>
          </cell>
          <cell r="B1111" t="str">
            <v>Casado</v>
          </cell>
          <cell r="C1111" t="str">
            <v>R Alvaro Alvim</v>
          </cell>
          <cell r="D1111" t="str">
            <v>Embaré</v>
          </cell>
          <cell r="E1111" t="str">
            <v>SANTOS</v>
          </cell>
          <cell r="F1111" t="str">
            <v>SP</v>
          </cell>
          <cell r="G1111" t="str">
            <v>50</v>
          </cell>
          <cell r="H1111" t="str">
            <v>Apto. 153</v>
          </cell>
          <cell r="I1111" t="str">
            <v>11040-130</v>
          </cell>
          <cell r="J1111" t="str">
            <v>997045517</v>
          </cell>
          <cell r="K1111" t="str">
            <v>9997045517</v>
          </cell>
          <cell r="L1111" t="str">
            <v>Masculino</v>
          </cell>
          <cell r="M1111" t="str">
            <v>Parda</v>
          </cell>
          <cell r="N1111">
            <v>28196</v>
          </cell>
          <cell r="O1111" t="str">
            <v>280800861</v>
          </cell>
          <cell r="P1111" t="str">
            <v>SP</v>
          </cell>
          <cell r="Q1111" t="str">
            <v>SSP</v>
          </cell>
          <cell r="R1111" t="str">
            <v>SANTOS</v>
          </cell>
        </row>
        <row r="1112">
          <cell r="A1112" t="str">
            <v>DIOGO BERNARDO DOS SANTOS</v>
          </cell>
          <cell r="B1112" t="str">
            <v>Solteiro</v>
          </cell>
          <cell r="C1112" t="str">
            <v>R ANTONIO MONTEIRO DA CRUZ</v>
          </cell>
          <cell r="D1112" t="str">
            <v>Jardim Monteiro da Cruz</v>
          </cell>
          <cell r="E1112" t="str">
            <v>GUARUJA</v>
          </cell>
          <cell r="F1112" t="str">
            <v>SP</v>
          </cell>
          <cell r="G1112" t="str">
            <v>765</v>
          </cell>
          <cell r="H1112" t="str">
            <v>CASA</v>
          </cell>
          <cell r="I1112" t="str">
            <v>11462-310</v>
          </cell>
          <cell r="J1112" t="str">
            <v>996425681</v>
          </cell>
          <cell r="K1112" t="str">
            <v>997950089</v>
          </cell>
          <cell r="L1112" t="str">
            <v>Masculino</v>
          </cell>
          <cell r="M1112" t="str">
            <v>Parda</v>
          </cell>
          <cell r="N1112">
            <v>30860</v>
          </cell>
          <cell r="O1112" t="str">
            <v>427232922</v>
          </cell>
          <cell r="P1112" t="str">
            <v>SP</v>
          </cell>
          <cell r="Q1112" t="str">
            <v>SSP</v>
          </cell>
          <cell r="R1112" t="str">
            <v>GUARUJA</v>
          </cell>
        </row>
        <row r="1113">
          <cell r="A1113" t="str">
            <v>LEANDRO BAPTISTA DA SILVA</v>
          </cell>
          <cell r="B1113" t="str">
            <v>Casado</v>
          </cell>
          <cell r="C1113" t="str">
            <v>R DOS GERANIOS</v>
          </cell>
          <cell r="D1113" t="str">
            <v>Jardim Primavera</v>
          </cell>
          <cell r="E1113" t="str">
            <v>GUARUJA</v>
          </cell>
          <cell r="F1113" t="str">
            <v>SP</v>
          </cell>
          <cell r="G1113" t="str">
            <v>105</v>
          </cell>
          <cell r="H1113" t="str">
            <v/>
          </cell>
          <cell r="I1113" t="str">
            <v>11432-330</v>
          </cell>
          <cell r="J1113" t="str">
            <v>33866664</v>
          </cell>
          <cell r="K1113" t="str">
            <v>996856875</v>
          </cell>
          <cell r="L1113" t="str">
            <v>Masculino</v>
          </cell>
          <cell r="M1113" t="str">
            <v>Parda</v>
          </cell>
          <cell r="N1113">
            <v>32551</v>
          </cell>
          <cell r="O1113" t="str">
            <v>450252280</v>
          </cell>
          <cell r="P1113" t="str">
            <v>SP</v>
          </cell>
          <cell r="Q1113" t="str">
            <v>SSP</v>
          </cell>
          <cell r="R1113" t="str">
            <v>GUARUJA</v>
          </cell>
        </row>
        <row r="1114">
          <cell r="A1114" t="str">
            <v>VANDERLEI MENDONCA DOS SANTOS</v>
          </cell>
          <cell r="B1114" t="str">
            <v>Casado</v>
          </cell>
          <cell r="C1114" t="str">
            <v>R PASCOAL LEMBO</v>
          </cell>
          <cell r="D1114" t="str">
            <v>Santa Maria</v>
          </cell>
          <cell r="E1114" t="str">
            <v>SANTOS</v>
          </cell>
          <cell r="F1114" t="str">
            <v>SP</v>
          </cell>
          <cell r="G1114" t="str">
            <v>740</v>
          </cell>
          <cell r="H1114" t="str">
            <v/>
          </cell>
          <cell r="I1114" t="str">
            <v>11089-140</v>
          </cell>
          <cell r="J1114" t="str">
            <v/>
          </cell>
          <cell r="K1114" t="str">
            <v>988756377</v>
          </cell>
          <cell r="L1114" t="str">
            <v>Masculino</v>
          </cell>
          <cell r="M1114" t="str">
            <v>Parda</v>
          </cell>
          <cell r="N1114">
            <v>28335</v>
          </cell>
          <cell r="O1114" t="str">
            <v>279257739</v>
          </cell>
          <cell r="P1114" t="str">
            <v>SP</v>
          </cell>
          <cell r="Q1114" t="str">
            <v>SSP</v>
          </cell>
          <cell r="R1114" t="str">
            <v>SANTOS</v>
          </cell>
        </row>
        <row r="1115">
          <cell r="A1115" t="str">
            <v>MARCOS RICARDO NEVES SINCERRE</v>
          </cell>
          <cell r="B1115" t="str">
            <v>Casado</v>
          </cell>
          <cell r="C1115" t="str">
            <v>R VISCONDE DE FARIA</v>
          </cell>
          <cell r="D1115" t="str">
            <v>Campo Grande</v>
          </cell>
          <cell r="E1115" t="str">
            <v>SANTOS</v>
          </cell>
          <cell r="F1115" t="str">
            <v>SP</v>
          </cell>
          <cell r="G1115" t="str">
            <v>42</v>
          </cell>
          <cell r="H1115" t="str">
            <v>AP 53</v>
          </cell>
          <cell r="I1115" t="str">
            <v>11075-710</v>
          </cell>
          <cell r="J1115" t="str">
            <v/>
          </cell>
          <cell r="K1115" t="str">
            <v>981241051</v>
          </cell>
          <cell r="L1115" t="str">
            <v>Masculino</v>
          </cell>
          <cell r="M1115" t="str">
            <v>Parda</v>
          </cell>
          <cell r="N1115">
            <v>31000</v>
          </cell>
          <cell r="O1115" t="str">
            <v>303753973</v>
          </cell>
          <cell r="P1115" t="str">
            <v>SP</v>
          </cell>
          <cell r="Q1115" t="str">
            <v>SSP</v>
          </cell>
          <cell r="R1115" t="str">
            <v>SANTOS</v>
          </cell>
        </row>
        <row r="1116">
          <cell r="A1116" t="str">
            <v>MARCIO LUIZ DE SOUZA BARBOSA</v>
          </cell>
          <cell r="B1116" t="str">
            <v>Casado</v>
          </cell>
          <cell r="C1116" t="str">
            <v>R SERGIO HENRIQUE TESSARIOL</v>
          </cell>
          <cell r="D1116" t="str">
            <v>Jardim Gloria</v>
          </cell>
          <cell r="E1116" t="str">
            <v>PRAIA GRANDE</v>
          </cell>
          <cell r="F1116" t="str">
            <v>SP</v>
          </cell>
          <cell r="G1116" t="str">
            <v>930</v>
          </cell>
          <cell r="H1116" t="str">
            <v>CASA 4</v>
          </cell>
          <cell r="I1116" t="str">
            <v>11724-240</v>
          </cell>
          <cell r="J1116" t="str">
            <v/>
          </cell>
          <cell r="K1116" t="str">
            <v/>
          </cell>
          <cell r="L1116" t="str">
            <v>Masculino</v>
          </cell>
          <cell r="M1116" t="str">
            <v>Parda</v>
          </cell>
          <cell r="N1116">
            <v>29352</v>
          </cell>
          <cell r="O1116" t="str">
            <v>323467933</v>
          </cell>
          <cell r="P1116" t="str">
            <v>SP</v>
          </cell>
          <cell r="Q1116" t="str">
            <v>SSP</v>
          </cell>
          <cell r="R1116" t="str">
            <v>SANTOS</v>
          </cell>
        </row>
        <row r="1117">
          <cell r="A1117" t="str">
            <v>VIVIAN VIZACO COSTA CALDEIRA</v>
          </cell>
          <cell r="B1117" t="str">
            <v>Casado</v>
          </cell>
          <cell r="C1117" t="str">
            <v>R LUIS CAMOES</v>
          </cell>
          <cell r="D1117" t="str">
            <v>Vila Mathias</v>
          </cell>
          <cell r="E1117" t="str">
            <v>SANTOS</v>
          </cell>
          <cell r="F1117" t="str">
            <v>SP</v>
          </cell>
          <cell r="G1117" t="str">
            <v>114</v>
          </cell>
          <cell r="H1117" t="str">
            <v>BL B AP 21</v>
          </cell>
          <cell r="I1117" t="str">
            <v>11015-400</v>
          </cell>
          <cell r="J1117" t="str">
            <v/>
          </cell>
          <cell r="K1117" t="str">
            <v/>
          </cell>
          <cell r="L1117" t="str">
            <v>Feminino</v>
          </cell>
          <cell r="M1117" t="str">
            <v>Parda</v>
          </cell>
          <cell r="N1117">
            <v>35872</v>
          </cell>
          <cell r="O1117" t="str">
            <v>394199534</v>
          </cell>
          <cell r="P1117" t="str">
            <v>SP</v>
          </cell>
          <cell r="Q1117" t="str">
            <v>SSP</v>
          </cell>
          <cell r="R1117" t="str">
            <v>SANTOS</v>
          </cell>
        </row>
        <row r="1118">
          <cell r="A1118" t="str">
            <v>ANDRE OSNI VELHO SILVA</v>
          </cell>
          <cell r="B1118" t="str">
            <v>Casado</v>
          </cell>
          <cell r="C1118" t="str">
            <v>AV VICENTE DE CARVALHO</v>
          </cell>
          <cell r="D1118" t="str">
            <v>Jardim Esplanada do</v>
          </cell>
          <cell r="E1118" t="str">
            <v>GUARUJA</v>
          </cell>
          <cell r="F1118" t="str">
            <v>SP</v>
          </cell>
          <cell r="G1118" t="str">
            <v>1159</v>
          </cell>
          <cell r="H1118" t="str">
            <v/>
          </cell>
          <cell r="I1118" t="str">
            <v>11470-120</v>
          </cell>
          <cell r="J1118" t="str">
            <v/>
          </cell>
          <cell r="K1118" t="str">
            <v/>
          </cell>
          <cell r="L1118" t="str">
            <v>Masculino</v>
          </cell>
          <cell r="M1118" t="str">
            <v>Parda</v>
          </cell>
          <cell r="N1118">
            <v>27053</v>
          </cell>
          <cell r="O1118" t="str">
            <v>291387664</v>
          </cell>
          <cell r="P1118" t="str">
            <v>SP</v>
          </cell>
          <cell r="Q1118" t="str">
            <v>SSP</v>
          </cell>
          <cell r="R1118" t="str">
            <v>GUARUJA</v>
          </cell>
        </row>
        <row r="1119">
          <cell r="A1119" t="str">
            <v>JOSE ROBERTO THOMAZ DE AQUINO</v>
          </cell>
          <cell r="B1119" t="str">
            <v>Casado</v>
          </cell>
          <cell r="C1119" t="str">
            <v>R RUBENS FERREIRA MARTINS</v>
          </cell>
          <cell r="D1119" t="str">
            <v>Macuco</v>
          </cell>
          <cell r="E1119" t="str">
            <v>SANTOS</v>
          </cell>
          <cell r="F1119" t="str">
            <v>SP</v>
          </cell>
          <cell r="G1119" t="str">
            <v>1</v>
          </cell>
          <cell r="H1119" t="str">
            <v/>
          </cell>
          <cell r="I1119" t="str">
            <v>11020-100</v>
          </cell>
          <cell r="J1119" t="str">
            <v/>
          </cell>
          <cell r="K1119" t="str">
            <v/>
          </cell>
          <cell r="L1119" t="str">
            <v>Masculino</v>
          </cell>
          <cell r="M1119" t="str">
            <v>Parda</v>
          </cell>
          <cell r="N1119">
            <v>26327</v>
          </cell>
          <cell r="O1119" t="str">
            <v>203244163</v>
          </cell>
          <cell r="P1119" t="str">
            <v>SP</v>
          </cell>
          <cell r="Q1119" t="str">
            <v>SSP</v>
          </cell>
          <cell r="R1119" t="str">
            <v>SANTOS</v>
          </cell>
        </row>
        <row r="1120">
          <cell r="A1120" t="str">
            <v>CARLOS HENRIQUE DOS SANTOS PEREIRA</v>
          </cell>
          <cell r="B1120" t="str">
            <v>Casado</v>
          </cell>
          <cell r="C1120" t="str">
            <v>R MADRE ASSUNTA MARCHETTI</v>
          </cell>
          <cell r="D1120" t="str">
            <v>Jardim Monteiro da Cruz (Vicente de Carv</v>
          </cell>
          <cell r="E1120" t="str">
            <v>GUARUJA</v>
          </cell>
          <cell r="F1120" t="str">
            <v>SP</v>
          </cell>
          <cell r="G1120" t="str">
            <v>56</v>
          </cell>
          <cell r="H1120" t="str">
            <v/>
          </cell>
          <cell r="I1120" t="str">
            <v>11462-500</v>
          </cell>
          <cell r="J1120" t="str">
            <v/>
          </cell>
          <cell r="K1120" t="str">
            <v/>
          </cell>
          <cell r="L1120" t="str">
            <v>Masculino</v>
          </cell>
          <cell r="M1120" t="str">
            <v>Parda</v>
          </cell>
          <cell r="N1120">
            <v>28207</v>
          </cell>
          <cell r="O1120" t="str">
            <v>277739299</v>
          </cell>
          <cell r="P1120" t="str">
            <v>SP</v>
          </cell>
          <cell r="Q1120" t="str">
            <v>SSP</v>
          </cell>
          <cell r="R1120" t="str">
            <v>SANTOS</v>
          </cell>
        </row>
        <row r="1121">
          <cell r="A1121" t="str">
            <v>JORGE GONCALVES DOS SANTOS JUNIOR</v>
          </cell>
          <cell r="B1121" t="str">
            <v>Casado</v>
          </cell>
          <cell r="C1121" t="str">
            <v>AV ALVORADA</v>
          </cell>
          <cell r="D1121" t="str">
            <v>Jardim Alvorada (Vic</v>
          </cell>
          <cell r="E1121" t="str">
            <v>GUARUJA</v>
          </cell>
          <cell r="F1121" t="str">
            <v>SP</v>
          </cell>
          <cell r="G1121" t="str">
            <v>1171</v>
          </cell>
          <cell r="H1121" t="str">
            <v/>
          </cell>
          <cell r="I1121" t="str">
            <v>11470-000</v>
          </cell>
          <cell r="J1121" t="str">
            <v/>
          </cell>
          <cell r="K1121" t="str">
            <v/>
          </cell>
          <cell r="L1121" t="str">
            <v>Masculino</v>
          </cell>
          <cell r="M1121" t="str">
            <v>Parda</v>
          </cell>
          <cell r="N1121">
            <v>26895</v>
          </cell>
          <cell r="O1121" t="str">
            <v>230321549</v>
          </cell>
          <cell r="P1121" t="str">
            <v>SP</v>
          </cell>
          <cell r="Q1121" t="str">
            <v>SSP</v>
          </cell>
          <cell r="R1121" t="str">
            <v>GUARUJA</v>
          </cell>
        </row>
        <row r="1122">
          <cell r="A1122" t="str">
            <v>SERGIO EDUARDO VELHO SILVA</v>
          </cell>
          <cell r="B1122" t="str">
            <v>Casado</v>
          </cell>
          <cell r="C1122" t="str">
            <v>R AMAURY</v>
          </cell>
          <cell r="D1122" t="str">
            <v>Jardim Santense (Vic</v>
          </cell>
          <cell r="E1122" t="str">
            <v>GUARUJA</v>
          </cell>
          <cell r="F1122" t="str">
            <v>SP</v>
          </cell>
          <cell r="G1122" t="str">
            <v>50</v>
          </cell>
          <cell r="H1122" t="str">
            <v>FRENTE</v>
          </cell>
          <cell r="I1122" t="str">
            <v>11450-380</v>
          </cell>
          <cell r="J1122" t="str">
            <v/>
          </cell>
          <cell r="K1122" t="str">
            <v/>
          </cell>
          <cell r="L1122" t="str">
            <v>Masculino</v>
          </cell>
          <cell r="M1122" t="str">
            <v>Parda</v>
          </cell>
          <cell r="N1122">
            <v>26240</v>
          </cell>
          <cell r="O1122" t="str">
            <v>224637381</v>
          </cell>
          <cell r="P1122" t="str">
            <v>SP</v>
          </cell>
          <cell r="Q1122" t="str">
            <v>SSP</v>
          </cell>
          <cell r="R1122" t="str">
            <v>SANTOS</v>
          </cell>
        </row>
        <row r="1123">
          <cell r="A1123" t="str">
            <v>MARCIO LUIZ ABREU DE ASSUNCAO</v>
          </cell>
          <cell r="B1123" t="str">
            <v>Casado</v>
          </cell>
          <cell r="C1123" t="str">
            <v>R FLAVIO MARTINS</v>
          </cell>
          <cell r="D1123" t="str">
            <v>Santa Cruz dos Naveg</v>
          </cell>
          <cell r="E1123" t="str">
            <v>GUARUJA</v>
          </cell>
          <cell r="F1123" t="str">
            <v>SP</v>
          </cell>
          <cell r="G1123" t="str">
            <v>25</v>
          </cell>
          <cell r="H1123" t="str">
            <v>CASA B</v>
          </cell>
          <cell r="I1123" t="str">
            <v>11425-130</v>
          </cell>
          <cell r="J1123" t="str">
            <v>974072173</v>
          </cell>
          <cell r="K1123" t="str">
            <v/>
          </cell>
          <cell r="L1123" t="str">
            <v>Masculino</v>
          </cell>
          <cell r="M1123" t="str">
            <v>Parda</v>
          </cell>
          <cell r="N1123">
            <v>30944</v>
          </cell>
          <cell r="O1123" t="str">
            <v>424173141</v>
          </cell>
          <cell r="P1123" t="str">
            <v>SP</v>
          </cell>
          <cell r="Q1123" t="str">
            <v>SSP</v>
          </cell>
          <cell r="R1123" t="str">
            <v>SANTOS</v>
          </cell>
        </row>
        <row r="1124">
          <cell r="A1124" t="str">
            <v>ANDRE LUIZ DE FREITAS</v>
          </cell>
          <cell r="B1124" t="str">
            <v>Solteiro</v>
          </cell>
          <cell r="C1124" t="str">
            <v>R AURELIANO COUTINHO</v>
          </cell>
          <cell r="D1124" t="str">
            <v>Embaré</v>
          </cell>
          <cell r="E1124" t="str">
            <v>SANTOS</v>
          </cell>
          <cell r="F1124" t="str">
            <v>SP</v>
          </cell>
          <cell r="G1124" t="str">
            <v>231</v>
          </cell>
          <cell r="H1124" t="str">
            <v>AP 52</v>
          </cell>
          <cell r="I1124" t="str">
            <v>11040-241</v>
          </cell>
          <cell r="J1124" t="str">
            <v/>
          </cell>
          <cell r="K1124" t="str">
            <v/>
          </cell>
          <cell r="L1124" t="str">
            <v>Masculino</v>
          </cell>
          <cell r="M1124" t="str">
            <v>Parda</v>
          </cell>
          <cell r="N1124">
            <v>32500</v>
          </cell>
          <cell r="O1124" t="str">
            <v>449590550</v>
          </cell>
          <cell r="P1124" t="str">
            <v>SP</v>
          </cell>
          <cell r="Q1124" t="str">
            <v>SSP</v>
          </cell>
          <cell r="R1124" t="str">
            <v>SANTOS</v>
          </cell>
        </row>
        <row r="1125">
          <cell r="A1125" t="str">
            <v>LUCAS DA SILVA SOUZA</v>
          </cell>
          <cell r="B1125" t="str">
            <v>Solteiro</v>
          </cell>
          <cell r="C1125" t="str">
            <v>R PROFESSOR NELSON ESPINDOLA LOBATO</v>
          </cell>
          <cell r="D1125" t="str">
            <v>Rádio Clube</v>
          </cell>
          <cell r="E1125" t="str">
            <v>SANTOS</v>
          </cell>
          <cell r="F1125" t="str">
            <v>SP</v>
          </cell>
          <cell r="G1125" t="str">
            <v>270</v>
          </cell>
          <cell r="H1125" t="str">
            <v>BLOCO K2 AP 33</v>
          </cell>
          <cell r="I1125" t="str">
            <v>11088-330</v>
          </cell>
          <cell r="J1125" t="str">
            <v>982118133</v>
          </cell>
          <cell r="K1125" t="str">
            <v/>
          </cell>
          <cell r="L1125" t="str">
            <v>Masculino</v>
          </cell>
          <cell r="M1125" t="str">
            <v>Parda</v>
          </cell>
          <cell r="N1125">
            <v>36534</v>
          </cell>
          <cell r="O1125" t="str">
            <v>53651656X</v>
          </cell>
          <cell r="P1125" t="str">
            <v>SP</v>
          </cell>
          <cell r="Q1125" t="str">
            <v>SSP</v>
          </cell>
          <cell r="R1125" t="str">
            <v>SANTOS</v>
          </cell>
        </row>
        <row r="1126">
          <cell r="A1126" t="str">
            <v>SHERIDAN ATANES</v>
          </cell>
          <cell r="B1126" t="str">
            <v>Casado</v>
          </cell>
          <cell r="C1126" t="str">
            <v>R Campos Mello</v>
          </cell>
          <cell r="D1126" t="str">
            <v>Encruzilhada</v>
          </cell>
          <cell r="E1126" t="str">
            <v>SANTOS</v>
          </cell>
          <cell r="F1126" t="str">
            <v>SP</v>
          </cell>
          <cell r="G1126" t="str">
            <v>349</v>
          </cell>
          <cell r="H1126" t="str">
            <v/>
          </cell>
          <cell r="I1126" t="str">
            <v>11015-013</v>
          </cell>
          <cell r="J1126" t="str">
            <v/>
          </cell>
          <cell r="K1126" t="str">
            <v/>
          </cell>
          <cell r="L1126" t="str">
            <v>Masculino</v>
          </cell>
          <cell r="M1126" t="str">
            <v>Parda</v>
          </cell>
          <cell r="N1126">
            <v>28852</v>
          </cell>
          <cell r="O1126" t="str">
            <v>302680330</v>
          </cell>
          <cell r="P1126" t="str">
            <v>SP</v>
          </cell>
          <cell r="Q1126" t="str">
            <v>SSP</v>
          </cell>
          <cell r="R1126" t="str">
            <v>SANTOS</v>
          </cell>
        </row>
        <row r="1127">
          <cell r="A1127" t="str">
            <v>GILBERTO SOUZA DA SILVA JUNIOR</v>
          </cell>
          <cell r="B1127" t="str">
            <v>Casado</v>
          </cell>
          <cell r="C1127" t="str">
            <v>DAS MAGNOLIAS</v>
          </cell>
          <cell r="D1127" t="str">
            <v>Jardim Primavera</v>
          </cell>
          <cell r="E1127" t="str">
            <v>GUARUJA</v>
          </cell>
          <cell r="F1127" t="str">
            <v>SP</v>
          </cell>
          <cell r="G1127" t="str">
            <v>335</v>
          </cell>
          <cell r="H1127" t="str">
            <v/>
          </cell>
          <cell r="I1127" t="str">
            <v>11432-320</v>
          </cell>
          <cell r="J1127" t="str">
            <v/>
          </cell>
          <cell r="K1127" t="str">
            <v/>
          </cell>
          <cell r="L1127" t="str">
            <v>Masculino</v>
          </cell>
          <cell r="M1127" t="str">
            <v>Parda</v>
          </cell>
          <cell r="N1127">
            <v>30543</v>
          </cell>
          <cell r="O1127" t="str">
            <v>422829687</v>
          </cell>
          <cell r="P1127" t="str">
            <v>SP</v>
          </cell>
          <cell r="Q1127" t="str">
            <v>SSP</v>
          </cell>
          <cell r="R1127" t="str">
            <v>GUARUJA</v>
          </cell>
        </row>
        <row r="1128">
          <cell r="A1128" t="str">
            <v>SIMONE FARIAS DE SOUZA</v>
          </cell>
          <cell r="B1128" t="str">
            <v>União Estável</v>
          </cell>
          <cell r="C1128" t="str">
            <v>R POETA GONCALVES DIAS</v>
          </cell>
          <cell r="D1128" t="str">
            <v>Jardim Brasil II</v>
          </cell>
          <cell r="E1128" t="str">
            <v>GUARUJA</v>
          </cell>
          <cell r="F1128" t="str">
            <v>SP</v>
          </cell>
          <cell r="G1128" t="str">
            <v>50</v>
          </cell>
          <cell r="H1128" t="str">
            <v/>
          </cell>
          <cell r="I1128" t="str">
            <v>11497-560</v>
          </cell>
          <cell r="J1128" t="str">
            <v/>
          </cell>
          <cell r="K1128" t="str">
            <v/>
          </cell>
          <cell r="L1128" t="str">
            <v>Feminino</v>
          </cell>
          <cell r="M1128" t="str">
            <v>Parda</v>
          </cell>
          <cell r="N1128">
            <v>26531</v>
          </cell>
          <cell r="O1128" t="str">
            <v>233203904</v>
          </cell>
          <cell r="P1128" t="str">
            <v>SP</v>
          </cell>
          <cell r="Q1128" t="str">
            <v>SSP</v>
          </cell>
          <cell r="R1128" t="str">
            <v>GUARUJA</v>
          </cell>
        </row>
        <row r="1129">
          <cell r="A1129" t="str">
            <v>CHARLES ALBERT LEDO MESQUITA</v>
          </cell>
          <cell r="B1129" t="str">
            <v>União Estável</v>
          </cell>
          <cell r="C1129" t="str">
            <v>R MANOEL FERNANDES VICENTE</v>
          </cell>
          <cell r="D1129" t="str">
            <v>Nova Mirim</v>
          </cell>
          <cell r="E1129" t="str">
            <v>PRAIA GRANDE</v>
          </cell>
          <cell r="F1129" t="str">
            <v>SP</v>
          </cell>
          <cell r="G1129" t="str">
            <v>36</v>
          </cell>
          <cell r="H1129" t="str">
            <v/>
          </cell>
          <cell r="I1129" t="str">
            <v>11717-035</v>
          </cell>
          <cell r="J1129" t="str">
            <v/>
          </cell>
          <cell r="K1129" t="str">
            <v/>
          </cell>
          <cell r="L1129" t="str">
            <v>Masculino</v>
          </cell>
          <cell r="M1129" t="str">
            <v>Parda</v>
          </cell>
          <cell r="N1129">
            <v>30851</v>
          </cell>
          <cell r="O1129" t="str">
            <v>323774970</v>
          </cell>
          <cell r="P1129" t="str">
            <v>SP</v>
          </cell>
          <cell r="Q1129" t="str">
            <v>SSP</v>
          </cell>
          <cell r="R1129" t="str">
            <v>GUARUJA</v>
          </cell>
        </row>
        <row r="1130">
          <cell r="A1130" t="str">
            <v>MAURICIO FERREIRA RIBEIRO SANTOS</v>
          </cell>
          <cell r="B1130" t="str">
            <v>Solteiro</v>
          </cell>
          <cell r="C1130" t="str">
            <v>AV MAL HERMES</v>
          </cell>
          <cell r="D1130" t="str">
            <v>Canto do Forte</v>
          </cell>
          <cell r="E1130" t="str">
            <v>PRAIA GRANDE</v>
          </cell>
          <cell r="F1130" t="str">
            <v>SP</v>
          </cell>
          <cell r="G1130" t="str">
            <v>991</v>
          </cell>
          <cell r="H1130" t="str">
            <v/>
          </cell>
          <cell r="I1130" t="str">
            <v>11700-250</v>
          </cell>
          <cell r="J1130" t="str">
            <v/>
          </cell>
          <cell r="K1130" t="str">
            <v/>
          </cell>
          <cell r="L1130" t="str">
            <v>Masculino</v>
          </cell>
          <cell r="M1130" t="str">
            <v>Parda</v>
          </cell>
          <cell r="N1130">
            <v>33545</v>
          </cell>
          <cell r="O1130" t="str">
            <v>486887443</v>
          </cell>
          <cell r="P1130" t="str">
            <v>SP</v>
          </cell>
          <cell r="Q1130" t="str">
            <v>SSP</v>
          </cell>
          <cell r="R1130" t="str">
            <v>SANTOS</v>
          </cell>
        </row>
        <row r="1131">
          <cell r="A1131" t="str">
            <v>STEEN LARSEN</v>
          </cell>
          <cell r="B1131" t="str">
            <v>Casado</v>
          </cell>
          <cell r="C1131" t="str">
            <v>AV ENGENHEIRO AUGUSTO BARATA</v>
          </cell>
          <cell r="D1131" t="str">
            <v>Alemoa</v>
          </cell>
          <cell r="E1131" t="str">
            <v>SANTOS</v>
          </cell>
          <cell r="F1131" t="str">
            <v>SP</v>
          </cell>
          <cell r="G1131" t="str">
            <v>SN</v>
          </cell>
          <cell r="H1131" t="str">
            <v/>
          </cell>
          <cell r="I1131" t="str">
            <v>11095-907</v>
          </cell>
          <cell r="J1131" t="str">
            <v/>
          </cell>
          <cell r="K1131" t="str">
            <v/>
          </cell>
          <cell r="L1131" t="str">
            <v>Masculino</v>
          </cell>
          <cell r="M1131" t="str">
            <v>Parda</v>
          </cell>
          <cell r="N1131">
            <v>25867</v>
          </cell>
          <cell r="O1131" t="str">
            <v>F298286O</v>
          </cell>
          <cell r="P1131" t="str">
            <v>SP</v>
          </cell>
          <cell r="Q1131" t="str">
            <v>DPF</v>
          </cell>
          <cell r="R1131" t="str">
            <v/>
          </cell>
        </row>
        <row r="1132">
          <cell r="A1132" t="str">
            <v>LETICIA MARTINS GARCIA</v>
          </cell>
          <cell r="B1132" t="str">
            <v>Solteiro</v>
          </cell>
          <cell r="C1132" t="str">
            <v>R PROFESSOR ALCIDES LUIZ ALVES</v>
          </cell>
          <cell r="D1132" t="str">
            <v>Aparecida</v>
          </cell>
          <cell r="E1132" t="str">
            <v>SANTOS</v>
          </cell>
          <cell r="F1132" t="str">
            <v>SP</v>
          </cell>
          <cell r="G1132" t="str">
            <v>123</v>
          </cell>
          <cell r="H1132" t="str">
            <v>AP 405</v>
          </cell>
          <cell r="I1132" t="str">
            <v>11040-310</v>
          </cell>
          <cell r="J1132" t="str">
            <v/>
          </cell>
          <cell r="K1132" t="str">
            <v/>
          </cell>
          <cell r="L1132" t="str">
            <v>Feminino</v>
          </cell>
          <cell r="M1132" t="str">
            <v>Parda</v>
          </cell>
          <cell r="N1132">
            <v>37373</v>
          </cell>
          <cell r="O1132" t="str">
            <v>398991339</v>
          </cell>
          <cell r="P1132" t="str">
            <v>SP</v>
          </cell>
          <cell r="Q1132" t="str">
            <v>SSP</v>
          </cell>
          <cell r="R1132" t="str">
            <v>SANTOS</v>
          </cell>
        </row>
        <row r="1133">
          <cell r="A1133" t="str">
            <v>RAFAELLE ALVES DOS SANTOS</v>
          </cell>
          <cell r="B1133" t="str">
            <v>Solteiro</v>
          </cell>
          <cell r="C1133" t="str">
            <v>R JOÃO RAMALHO</v>
          </cell>
          <cell r="D1133" t="str">
            <v>Centro</v>
          </cell>
          <cell r="E1133" t="str">
            <v>SAO VICENTE</v>
          </cell>
          <cell r="F1133" t="str">
            <v>SP</v>
          </cell>
          <cell r="G1133" t="str">
            <v>1085</v>
          </cell>
          <cell r="H1133" t="str">
            <v>AP 312</v>
          </cell>
          <cell r="I1133" t="str">
            <v>11310-050</v>
          </cell>
          <cell r="J1133" t="str">
            <v>996041414</v>
          </cell>
          <cell r="K1133" t="str">
            <v/>
          </cell>
          <cell r="L1133" t="str">
            <v>Feminino</v>
          </cell>
          <cell r="M1133" t="str">
            <v>Parda</v>
          </cell>
          <cell r="N1133">
            <v>37437</v>
          </cell>
          <cell r="O1133" t="str">
            <v>605955633</v>
          </cell>
          <cell r="P1133" t="str">
            <v>SP</v>
          </cell>
          <cell r="Q1133" t="str">
            <v>SSP</v>
          </cell>
          <cell r="R1133" t="str">
            <v>SANTOS</v>
          </cell>
        </row>
        <row r="1134">
          <cell r="A1134" t="str">
            <v>WELINGTON DA CRUZ OLIVEIRA</v>
          </cell>
          <cell r="B1134" t="str">
            <v>Casado</v>
          </cell>
          <cell r="C1134" t="str">
            <v>R DOUTOR ERNESTO VERGARA</v>
          </cell>
          <cell r="D1134" t="str">
            <v>Ocian</v>
          </cell>
          <cell r="E1134" t="str">
            <v>PRAIA GRANDE</v>
          </cell>
          <cell r="F1134" t="str">
            <v>SP</v>
          </cell>
          <cell r="G1134" t="str">
            <v>373</v>
          </cell>
          <cell r="H1134" t="str">
            <v>AP 11</v>
          </cell>
          <cell r="I1134" t="str">
            <v>11704-030</v>
          </cell>
          <cell r="J1134" t="str">
            <v/>
          </cell>
          <cell r="K1134" t="str">
            <v/>
          </cell>
          <cell r="L1134" t="str">
            <v>Masculino</v>
          </cell>
          <cell r="M1134" t="str">
            <v>Parda</v>
          </cell>
          <cell r="N1134">
            <v>31582</v>
          </cell>
          <cell r="O1134" t="str">
            <v>468935794</v>
          </cell>
          <cell r="P1134" t="str">
            <v>SP</v>
          </cell>
          <cell r="Q1134" t="str">
            <v>SSP</v>
          </cell>
          <cell r="R1134" t="str">
            <v>FREI PAULO</v>
          </cell>
        </row>
        <row r="1135">
          <cell r="A1135" t="str">
            <v>ORNES FURTADO DE ARRUDA</v>
          </cell>
          <cell r="B1135" t="str">
            <v>Casado</v>
          </cell>
          <cell r="C1135" t="str">
            <v>AV SAMBAIATUBA</v>
          </cell>
          <cell r="D1135" t="str">
            <v>Vila Jockei Clube</v>
          </cell>
          <cell r="E1135" t="str">
            <v>SAO VICENTE</v>
          </cell>
          <cell r="F1135" t="str">
            <v>SP</v>
          </cell>
          <cell r="G1135" t="str">
            <v>530</v>
          </cell>
          <cell r="H1135" t="str">
            <v/>
          </cell>
          <cell r="I1135" t="str">
            <v>11365-140</v>
          </cell>
          <cell r="J1135" t="str">
            <v/>
          </cell>
          <cell r="K1135" t="str">
            <v/>
          </cell>
          <cell r="L1135" t="str">
            <v>Masculino</v>
          </cell>
          <cell r="M1135" t="str">
            <v>Parda</v>
          </cell>
          <cell r="N1135">
            <v>23482</v>
          </cell>
          <cell r="O1135" t="str">
            <v>169529824</v>
          </cell>
          <cell r="P1135" t="str">
            <v>SP</v>
          </cell>
          <cell r="Q1135" t="str">
            <v>SSP</v>
          </cell>
          <cell r="R1135" t="str">
            <v>EUNAPOLIS</v>
          </cell>
        </row>
        <row r="1136">
          <cell r="A1136" t="str">
            <v>LUIZ CARLOS DOS SANTOS</v>
          </cell>
          <cell r="B1136" t="str">
            <v>Casado</v>
          </cell>
          <cell r="C1136" t="str">
            <v>R DR BERNARDO BROWNE</v>
          </cell>
          <cell r="D1136" t="str">
            <v>Estuario</v>
          </cell>
          <cell r="E1136" t="str">
            <v>SANTOS</v>
          </cell>
          <cell r="F1136" t="str">
            <v>SP</v>
          </cell>
          <cell r="G1136" t="str">
            <v>157</v>
          </cell>
          <cell r="H1136" t="str">
            <v/>
          </cell>
          <cell r="I1136" t="str">
            <v>11025-240</v>
          </cell>
          <cell r="J1136" t="str">
            <v/>
          </cell>
          <cell r="K1136" t="str">
            <v/>
          </cell>
          <cell r="L1136" t="str">
            <v>Masculino</v>
          </cell>
          <cell r="M1136" t="str">
            <v>Parda</v>
          </cell>
          <cell r="N1136">
            <v>25916</v>
          </cell>
          <cell r="O1136" t="str">
            <v>23320622X</v>
          </cell>
          <cell r="P1136" t="str">
            <v>SP</v>
          </cell>
          <cell r="Q1136" t="str">
            <v>SSP</v>
          </cell>
          <cell r="R1136" t="str">
            <v>SAO PAULO</v>
          </cell>
        </row>
        <row r="1137">
          <cell r="A1137" t="str">
            <v>ISRAILLA CAROLINE PEREIRA DE SOUZA</v>
          </cell>
          <cell r="B1137" t="str">
            <v>Solteiro</v>
          </cell>
          <cell r="C1137" t="str">
            <v>R JOAO VEIGA</v>
          </cell>
          <cell r="D1137" t="str">
            <v>Parque São Luis</v>
          </cell>
          <cell r="E1137" t="str">
            <v>CUBATAO</v>
          </cell>
          <cell r="F1137" t="str">
            <v>SP</v>
          </cell>
          <cell r="G1137" t="str">
            <v>516</v>
          </cell>
          <cell r="H1137" t="str">
            <v>BL 02 AP 34</v>
          </cell>
          <cell r="I1137" t="str">
            <v>11533-510</v>
          </cell>
          <cell r="J1137" t="str">
            <v>996871439</v>
          </cell>
          <cell r="K1137" t="str">
            <v/>
          </cell>
          <cell r="L1137" t="str">
            <v>Feminino</v>
          </cell>
          <cell r="M1137" t="str">
            <v>Parda</v>
          </cell>
          <cell r="N1137">
            <v>36123</v>
          </cell>
          <cell r="O1137" t="str">
            <v>441735836</v>
          </cell>
          <cell r="P1137" t="str">
            <v>SP</v>
          </cell>
          <cell r="Q1137" t="str">
            <v>SSP</v>
          </cell>
          <cell r="R1137" t="str">
            <v>CUBATAO</v>
          </cell>
        </row>
        <row r="1138">
          <cell r="A1138" t="str">
            <v>GLEICY ELY GARCIA</v>
          </cell>
          <cell r="B1138" t="str">
            <v>Solteiro</v>
          </cell>
          <cell r="C1138" t="str">
            <v>R CUNHA MOREIRA</v>
          </cell>
          <cell r="D1138" t="str">
            <v>Encruzilhada</v>
          </cell>
          <cell r="E1138" t="str">
            <v>SANTOS</v>
          </cell>
          <cell r="F1138" t="str">
            <v>SP</v>
          </cell>
          <cell r="G1138" t="str">
            <v>22</v>
          </cell>
          <cell r="H1138" t="str">
            <v>APTO 34</v>
          </cell>
          <cell r="I1138" t="str">
            <v>11050-240</v>
          </cell>
          <cell r="J1138" t="str">
            <v/>
          </cell>
          <cell r="K1138" t="str">
            <v/>
          </cell>
          <cell r="L1138" t="str">
            <v>Feminino</v>
          </cell>
          <cell r="M1138" t="str">
            <v>Parda</v>
          </cell>
          <cell r="N1138">
            <v>25902</v>
          </cell>
          <cell r="O1138" t="str">
            <v>204587517</v>
          </cell>
          <cell r="P1138" t="str">
            <v>SP</v>
          </cell>
          <cell r="Q1138" t="str">
            <v>SSP</v>
          </cell>
          <cell r="R1138" t="str">
            <v>SANTOS</v>
          </cell>
        </row>
        <row r="1139">
          <cell r="A1139" t="str">
            <v>FRANCISCO RENAN MARTINEZ NICOLIELLO</v>
          </cell>
          <cell r="B1139" t="str">
            <v>Casado</v>
          </cell>
          <cell r="C1139" t="str">
            <v>R JORGE CHADDAD</v>
          </cell>
          <cell r="D1139" t="str">
            <v>Jardim Las Palmas</v>
          </cell>
          <cell r="E1139" t="str">
            <v>GUARUJA</v>
          </cell>
          <cell r="F1139" t="str">
            <v>SP</v>
          </cell>
          <cell r="G1139" t="str">
            <v>196</v>
          </cell>
          <cell r="H1139" t="str">
            <v>AP 13</v>
          </cell>
          <cell r="I1139" t="str">
            <v>11420-230</v>
          </cell>
          <cell r="J1139" t="str">
            <v/>
          </cell>
          <cell r="K1139" t="str">
            <v/>
          </cell>
          <cell r="L1139" t="str">
            <v>Masculino</v>
          </cell>
          <cell r="M1139" t="str">
            <v>Parda</v>
          </cell>
          <cell r="N1139">
            <v>30106</v>
          </cell>
          <cell r="O1139" t="str">
            <v>205879044</v>
          </cell>
          <cell r="P1139" t="str">
            <v>SP</v>
          </cell>
          <cell r="Q1139" t="str">
            <v>SSP</v>
          </cell>
          <cell r="R1139" t="str">
            <v>GUAJARA-MIRIM</v>
          </cell>
        </row>
        <row r="1140">
          <cell r="A1140" t="str">
            <v>JOSE ALDERI DE PAULO JUNIOR</v>
          </cell>
          <cell r="B1140" t="str">
            <v>Casado</v>
          </cell>
          <cell r="C1140" t="str">
            <v>AV NOVE DE JULHO</v>
          </cell>
          <cell r="D1140" t="str">
            <v>Vila Cascatinha</v>
          </cell>
          <cell r="E1140" t="str">
            <v>SAO VICENTE</v>
          </cell>
          <cell r="F1140" t="str">
            <v>SP</v>
          </cell>
          <cell r="G1140" t="str">
            <v>328</v>
          </cell>
          <cell r="H1140" t="str">
            <v/>
          </cell>
          <cell r="I1140" t="str">
            <v>11370-020</v>
          </cell>
          <cell r="J1140" t="str">
            <v/>
          </cell>
          <cell r="K1140" t="str">
            <v/>
          </cell>
          <cell r="L1140" t="str">
            <v>Masculino</v>
          </cell>
          <cell r="M1140" t="str">
            <v>Parda</v>
          </cell>
          <cell r="N1140">
            <v>27051</v>
          </cell>
          <cell r="O1140" t="str">
            <v>245440410</v>
          </cell>
          <cell r="P1140" t="str">
            <v>SP</v>
          </cell>
          <cell r="Q1140" t="str">
            <v>SSP</v>
          </cell>
          <cell r="R1140" t="str">
            <v>SANTOS</v>
          </cell>
        </row>
        <row r="1141">
          <cell r="A1141" t="str">
            <v>CLAUDINEI FRUTUOSO DA SILVA</v>
          </cell>
          <cell r="B1141" t="str">
            <v>União Estável</v>
          </cell>
          <cell r="C1141" t="str">
            <v>R Comendador Martins</v>
          </cell>
          <cell r="D1141" t="str">
            <v>Vila Mathias</v>
          </cell>
          <cell r="E1141" t="str">
            <v>SANTOS</v>
          </cell>
          <cell r="F1141" t="str">
            <v>SP</v>
          </cell>
          <cell r="G1141" t="str">
            <v>349</v>
          </cell>
          <cell r="H1141" t="str">
            <v>81 A</v>
          </cell>
          <cell r="I1141" t="str">
            <v>11015-531</v>
          </cell>
          <cell r="J1141" t="str">
            <v/>
          </cell>
          <cell r="K1141" t="str">
            <v/>
          </cell>
          <cell r="L1141" t="str">
            <v>Masculino</v>
          </cell>
          <cell r="M1141" t="str">
            <v>Preta/Negra</v>
          </cell>
          <cell r="N1141">
            <v>27389</v>
          </cell>
          <cell r="O1141" t="str">
            <v>249579789</v>
          </cell>
          <cell r="P1141" t="str">
            <v>SP</v>
          </cell>
          <cell r="Q1141" t="str">
            <v>SSP</v>
          </cell>
          <cell r="R1141" t="str">
            <v>SANTOS</v>
          </cell>
        </row>
        <row r="1142">
          <cell r="A1142" t="str">
            <v>MARCIO FILIPE SILVA RIBEIRO</v>
          </cell>
          <cell r="B1142" t="str">
            <v>União Estável</v>
          </cell>
          <cell r="C1142" t="str">
            <v>R ONZE DE JUNHO</v>
          </cell>
          <cell r="D1142" t="str">
            <v>Itarare</v>
          </cell>
          <cell r="E1142" t="str">
            <v>SAO VICENTE</v>
          </cell>
          <cell r="F1142" t="str">
            <v>SP</v>
          </cell>
          <cell r="G1142" t="str">
            <v>292</v>
          </cell>
          <cell r="H1142" t="str">
            <v>AP 43</v>
          </cell>
          <cell r="I1142" t="str">
            <v>11320-160</v>
          </cell>
          <cell r="J1142" t="str">
            <v/>
          </cell>
          <cell r="K1142" t="str">
            <v/>
          </cell>
          <cell r="L1142" t="str">
            <v>Masculino</v>
          </cell>
          <cell r="M1142" t="str">
            <v>Parda</v>
          </cell>
          <cell r="N1142">
            <v>34811</v>
          </cell>
          <cell r="O1142" t="str">
            <v>44042995X</v>
          </cell>
          <cell r="P1142" t="str">
            <v>SP</v>
          </cell>
          <cell r="Q1142" t="str">
            <v>SSP</v>
          </cell>
          <cell r="R1142" t="str">
            <v>SANTOS</v>
          </cell>
        </row>
        <row r="1143">
          <cell r="A1143" t="str">
            <v>TOBIAS DE OLIVEIRA PIMENTEL</v>
          </cell>
          <cell r="B1143" t="str">
            <v>União Estável</v>
          </cell>
          <cell r="C1143" t="str">
            <v>R SAO JOSE</v>
          </cell>
          <cell r="D1143" t="str">
            <v>Embare</v>
          </cell>
          <cell r="E1143" t="str">
            <v>SANTOS</v>
          </cell>
          <cell r="F1143" t="str">
            <v>SP</v>
          </cell>
          <cell r="G1143" t="str">
            <v>58</v>
          </cell>
          <cell r="H1143" t="str">
            <v>FUNDOS</v>
          </cell>
          <cell r="I1143" t="str">
            <v>11040-200</v>
          </cell>
          <cell r="J1143" t="str">
            <v/>
          </cell>
          <cell r="K1143" t="str">
            <v/>
          </cell>
          <cell r="L1143" t="str">
            <v>Masculino</v>
          </cell>
          <cell r="M1143" t="str">
            <v>Parda</v>
          </cell>
          <cell r="N1143">
            <v>29292</v>
          </cell>
          <cell r="O1143" t="str">
            <v>299502326</v>
          </cell>
          <cell r="P1143" t="str">
            <v>SP</v>
          </cell>
          <cell r="Q1143" t="str">
            <v>SSP</v>
          </cell>
          <cell r="R1143" t="str">
            <v>SANTOS</v>
          </cell>
        </row>
        <row r="1144">
          <cell r="A1144" t="str">
            <v>RICARDO DE OLIVEIRA PASSOS</v>
          </cell>
          <cell r="B1144" t="str">
            <v>Casado</v>
          </cell>
          <cell r="C1144" t="str">
            <v>R MARCELO RIBEIRO DE MENDONCA</v>
          </cell>
          <cell r="D1144" t="str">
            <v>Ponta da Praia</v>
          </cell>
          <cell r="E1144" t="str">
            <v>SANTOS</v>
          </cell>
          <cell r="F1144" t="str">
            <v>SP</v>
          </cell>
          <cell r="G1144" t="str">
            <v>50</v>
          </cell>
          <cell r="H1144" t="str">
            <v>CS 1</v>
          </cell>
          <cell r="I1144" t="str">
            <v>11030-210</v>
          </cell>
          <cell r="J1144" t="str">
            <v/>
          </cell>
          <cell r="K1144" t="str">
            <v/>
          </cell>
          <cell r="L1144" t="str">
            <v>Masculino</v>
          </cell>
          <cell r="M1144" t="str">
            <v>Parda</v>
          </cell>
          <cell r="N1144">
            <v>25158</v>
          </cell>
          <cell r="O1144" t="str">
            <v>175087027</v>
          </cell>
          <cell r="P1144" t="str">
            <v>SP</v>
          </cell>
          <cell r="Q1144" t="str">
            <v>SSP</v>
          </cell>
          <cell r="R1144" t="str">
            <v>SANTOS</v>
          </cell>
        </row>
        <row r="1145">
          <cell r="A1145" t="str">
            <v>RENAN ALVES DA SILVA</v>
          </cell>
          <cell r="B1145" t="str">
            <v>Solteiro</v>
          </cell>
          <cell r="C1145" t="str">
            <v>AV BARAO DO RIO BRANCO</v>
          </cell>
          <cell r="D1145" t="str">
            <v>MONGAGUA</v>
          </cell>
          <cell r="E1145" t="str">
            <v>MONGAGUA</v>
          </cell>
          <cell r="F1145" t="str">
            <v>SP</v>
          </cell>
          <cell r="G1145" t="str">
            <v>772</v>
          </cell>
          <cell r="H1145" t="str">
            <v>CASA</v>
          </cell>
          <cell r="I1145" t="str">
            <v>11730-000</v>
          </cell>
          <cell r="J1145" t="str">
            <v>991977356</v>
          </cell>
          <cell r="K1145" t="str">
            <v/>
          </cell>
          <cell r="L1145" t="str">
            <v>Masculino</v>
          </cell>
          <cell r="M1145" t="str">
            <v>Parda</v>
          </cell>
          <cell r="N1145">
            <v>35099</v>
          </cell>
          <cell r="O1145" t="str">
            <v>424040451</v>
          </cell>
          <cell r="P1145" t="str">
            <v>SP</v>
          </cell>
          <cell r="Q1145" t="str">
            <v>SSP</v>
          </cell>
          <cell r="R1145" t="str">
            <v>MONGAGUA</v>
          </cell>
        </row>
        <row r="1146">
          <cell r="A1146" t="str">
            <v>LUIZ AUGUSTO DA SILVA BRAGA</v>
          </cell>
          <cell r="B1146" t="str">
            <v>Solteiro</v>
          </cell>
          <cell r="C1146" t="str">
            <v>R YARA NASCIMENTO SANTINI</v>
          </cell>
          <cell r="D1146" t="str">
            <v>São Jorge</v>
          </cell>
          <cell r="E1146" t="str">
            <v>SANTOS</v>
          </cell>
          <cell r="F1146" t="str">
            <v>SP</v>
          </cell>
          <cell r="G1146" t="str">
            <v>23</v>
          </cell>
          <cell r="H1146" t="str">
            <v>BL A-3 AP 22 PI 6</v>
          </cell>
          <cell r="I1146" t="str">
            <v>11085-755</v>
          </cell>
          <cell r="J1146" t="str">
            <v/>
          </cell>
          <cell r="K1146" t="str">
            <v/>
          </cell>
          <cell r="L1146" t="str">
            <v>Masculino</v>
          </cell>
          <cell r="M1146" t="str">
            <v>Parda</v>
          </cell>
          <cell r="N1146">
            <v>26433</v>
          </cell>
          <cell r="O1146" t="str">
            <v>255690976</v>
          </cell>
          <cell r="P1146" t="str">
            <v>SP</v>
          </cell>
          <cell r="Q1146" t="str">
            <v>SSP</v>
          </cell>
          <cell r="R1146" t="str">
            <v>SANTOS</v>
          </cell>
        </row>
        <row r="1147">
          <cell r="A1147" t="str">
            <v>EDMILSON RODRIGUES ALVES</v>
          </cell>
          <cell r="B1147" t="str">
            <v>Casado</v>
          </cell>
          <cell r="C1147" t="str">
            <v>R CAMINHO DOS BARREIROS</v>
          </cell>
          <cell r="D1147" t="str">
            <v>Esplanada dos Barreiros</v>
          </cell>
          <cell r="E1147" t="str">
            <v>SAO VICENTE</v>
          </cell>
          <cell r="F1147" t="str">
            <v>SP</v>
          </cell>
          <cell r="G1147" t="str">
            <v>403</v>
          </cell>
          <cell r="H1147" t="str">
            <v>casa 2</v>
          </cell>
          <cell r="I1147" t="str">
            <v>11340-020</v>
          </cell>
          <cell r="J1147" t="str">
            <v>991740243</v>
          </cell>
          <cell r="K1147" t="str">
            <v/>
          </cell>
          <cell r="L1147" t="str">
            <v>Masculino</v>
          </cell>
          <cell r="M1147" t="str">
            <v>Parda</v>
          </cell>
          <cell r="N1147">
            <v>25755</v>
          </cell>
          <cell r="O1147" t="str">
            <v>214324795</v>
          </cell>
          <cell r="P1147" t="str">
            <v>SP</v>
          </cell>
          <cell r="Q1147" t="str">
            <v>SSP</v>
          </cell>
          <cell r="R1147" t="str">
            <v>SANTOS</v>
          </cell>
        </row>
        <row r="1148">
          <cell r="A1148" t="str">
            <v>WESLLEY BRUNO DE OLIVEIRA FELIZARDO</v>
          </cell>
          <cell r="B1148" t="str">
            <v>União Estável</v>
          </cell>
          <cell r="C1148" t="str">
            <v>AV DAS CASTANHEIRAS</v>
          </cell>
          <cell r="D1148" t="str">
            <v>Samambaia</v>
          </cell>
          <cell r="E1148" t="str">
            <v>PRAIA GRANDE</v>
          </cell>
          <cell r="F1148" t="str">
            <v>SP</v>
          </cell>
          <cell r="G1148" t="str">
            <v>243</v>
          </cell>
          <cell r="H1148" t="str">
            <v/>
          </cell>
          <cell r="I1148" t="str">
            <v>11712-570</v>
          </cell>
          <cell r="J1148" t="str">
            <v/>
          </cell>
          <cell r="K1148" t="str">
            <v/>
          </cell>
          <cell r="L1148" t="str">
            <v>Masculino</v>
          </cell>
          <cell r="M1148" t="str">
            <v>Parda</v>
          </cell>
          <cell r="N1148">
            <v>35288</v>
          </cell>
          <cell r="O1148" t="str">
            <v>335766656</v>
          </cell>
          <cell r="P1148" t="str">
            <v>SP</v>
          </cell>
          <cell r="Q1148" t="str">
            <v>SSP</v>
          </cell>
          <cell r="R1148" t="str">
            <v>SANTOS</v>
          </cell>
        </row>
        <row r="1149">
          <cell r="A1149" t="str">
            <v>DIOGO SOUZA E SOUZA</v>
          </cell>
          <cell r="B1149" t="str">
            <v>União Estável</v>
          </cell>
          <cell r="C1149" t="str">
            <v>R PADRE DONIZETI TAVARES DE LIMA</v>
          </cell>
          <cell r="D1149" t="str">
            <v>Vila Ligya</v>
          </cell>
          <cell r="E1149" t="str">
            <v>GUARUJA</v>
          </cell>
          <cell r="F1149" t="str">
            <v>SP</v>
          </cell>
          <cell r="G1149" t="str">
            <v>341</v>
          </cell>
          <cell r="H1149" t="str">
            <v>CASA 3</v>
          </cell>
          <cell r="I1149" t="str">
            <v>11430-160</v>
          </cell>
          <cell r="J1149" t="str">
            <v/>
          </cell>
          <cell r="K1149" t="str">
            <v/>
          </cell>
          <cell r="L1149" t="str">
            <v>Masculino</v>
          </cell>
          <cell r="M1149" t="str">
            <v>Parda</v>
          </cell>
          <cell r="N1149">
            <v>30672</v>
          </cell>
          <cell r="O1149" t="str">
            <v>342501641</v>
          </cell>
          <cell r="P1149" t="str">
            <v>SP</v>
          </cell>
          <cell r="Q1149" t="str">
            <v>SSP</v>
          </cell>
          <cell r="R1149" t="str">
            <v>SANTOS</v>
          </cell>
        </row>
        <row r="1150">
          <cell r="A1150" t="str">
            <v>FABIANO ALVES DA SILVA</v>
          </cell>
          <cell r="B1150" t="str">
            <v>Divorciado</v>
          </cell>
          <cell r="C1150" t="str">
            <v>R MARIA MERCEDES FEA</v>
          </cell>
          <cell r="D1150" t="str">
            <v>Saboo</v>
          </cell>
          <cell r="E1150" t="str">
            <v>SANTOS</v>
          </cell>
          <cell r="F1150" t="str">
            <v>SP</v>
          </cell>
          <cell r="G1150" t="str">
            <v>268</v>
          </cell>
          <cell r="H1150" t="str">
            <v>APT 32</v>
          </cell>
          <cell r="I1150" t="str">
            <v>11085-100</v>
          </cell>
          <cell r="J1150" t="str">
            <v/>
          </cell>
          <cell r="K1150" t="str">
            <v/>
          </cell>
          <cell r="L1150" t="str">
            <v>Masculino</v>
          </cell>
          <cell r="M1150" t="str">
            <v>Parda</v>
          </cell>
          <cell r="N1150">
            <v>27737</v>
          </cell>
          <cell r="O1150" t="str">
            <v>268409031</v>
          </cell>
          <cell r="P1150" t="str">
            <v>SP</v>
          </cell>
          <cell r="Q1150" t="str">
            <v>SP</v>
          </cell>
          <cell r="R1150" t="str">
            <v>SANTOS</v>
          </cell>
        </row>
        <row r="1151">
          <cell r="A1151" t="str">
            <v>JOAO DOMINGUES DE CASTRO NETO</v>
          </cell>
          <cell r="B1151" t="str">
            <v>Casado</v>
          </cell>
          <cell r="C1151" t="str">
            <v>R ALMIRANTE ERNESTO DE MELLO JUNIOR</v>
          </cell>
          <cell r="D1151" t="str">
            <v>Aparecida</v>
          </cell>
          <cell r="E1151" t="str">
            <v>SANTOS</v>
          </cell>
          <cell r="F1151" t="str">
            <v>SP</v>
          </cell>
          <cell r="G1151" t="str">
            <v>177</v>
          </cell>
          <cell r="H1151" t="str">
            <v>AP 301 PORTA 1</v>
          </cell>
          <cell r="I1151" t="str">
            <v>11035-300</v>
          </cell>
          <cell r="J1151" t="str">
            <v/>
          </cell>
          <cell r="K1151" t="str">
            <v/>
          </cell>
          <cell r="L1151" t="str">
            <v>Masculino</v>
          </cell>
          <cell r="M1151" t="str">
            <v>Parda</v>
          </cell>
          <cell r="N1151">
            <v>27640</v>
          </cell>
          <cell r="O1151" t="str">
            <v>257005456</v>
          </cell>
          <cell r="P1151" t="str">
            <v>SP</v>
          </cell>
          <cell r="Q1151" t="str">
            <v>SSP</v>
          </cell>
          <cell r="R1151" t="str">
            <v>SANTOS</v>
          </cell>
        </row>
        <row r="1152">
          <cell r="A1152" t="str">
            <v>JOSE SOBRAL NETO</v>
          </cell>
          <cell r="B1152" t="str">
            <v>Casado</v>
          </cell>
          <cell r="C1152" t="str">
            <v>R MONTESE</v>
          </cell>
          <cell r="D1152" t="str">
            <v>Vila Margarida</v>
          </cell>
          <cell r="E1152" t="str">
            <v>SAO VICENTE</v>
          </cell>
          <cell r="F1152" t="str">
            <v>SP</v>
          </cell>
          <cell r="G1152" t="str">
            <v>76</v>
          </cell>
          <cell r="H1152" t="str">
            <v>CASA 1</v>
          </cell>
          <cell r="I1152" t="str">
            <v>11330-610</v>
          </cell>
          <cell r="J1152" t="str">
            <v/>
          </cell>
          <cell r="K1152" t="str">
            <v/>
          </cell>
          <cell r="L1152" t="str">
            <v>Masculino</v>
          </cell>
          <cell r="M1152" t="str">
            <v>Parda</v>
          </cell>
          <cell r="N1152">
            <v>34596</v>
          </cell>
          <cell r="O1152" t="str">
            <v>496738616</v>
          </cell>
          <cell r="P1152" t="str">
            <v>SP</v>
          </cell>
          <cell r="Q1152" t="str">
            <v>SSP</v>
          </cell>
          <cell r="R1152" t="str">
            <v>SAO VICENTE</v>
          </cell>
        </row>
        <row r="1153">
          <cell r="A1153" t="str">
            <v>PAULO HENRIQUE DA ROCHA</v>
          </cell>
          <cell r="B1153" t="str">
            <v>Casado</v>
          </cell>
          <cell r="C1153" t="str">
            <v>R NABUCO DE ARAUJO</v>
          </cell>
          <cell r="D1153" t="str">
            <v>Boqueirao</v>
          </cell>
          <cell r="E1153" t="str">
            <v>SANTOS</v>
          </cell>
          <cell r="F1153" t="str">
            <v>SP</v>
          </cell>
          <cell r="G1153" t="str">
            <v>64</v>
          </cell>
          <cell r="H1153" t="str">
            <v/>
          </cell>
          <cell r="I1153" t="str">
            <v>11025-010</v>
          </cell>
          <cell r="J1153" t="str">
            <v/>
          </cell>
          <cell r="K1153" t="str">
            <v/>
          </cell>
          <cell r="L1153" t="str">
            <v>Masculino</v>
          </cell>
          <cell r="M1153" t="str">
            <v>Parda</v>
          </cell>
          <cell r="N1153">
            <v>30854</v>
          </cell>
          <cell r="O1153" t="str">
            <v>349602517</v>
          </cell>
          <cell r="P1153" t="str">
            <v>SP</v>
          </cell>
          <cell r="Q1153" t="str">
            <v>SSP</v>
          </cell>
          <cell r="R1153" t="str">
            <v>SAO PAULO</v>
          </cell>
        </row>
        <row r="1154">
          <cell r="A1154" t="str">
            <v>SANDRO ALVES DE SOUZA</v>
          </cell>
          <cell r="B1154" t="str">
            <v>Casado</v>
          </cell>
          <cell r="C1154" t="str">
            <v>R GENERAL HUMBERTO DE SOUZA</v>
          </cell>
          <cell r="D1154" t="str">
            <v>Canto do Forte</v>
          </cell>
          <cell r="E1154" t="str">
            <v>PRAIA GRANDE</v>
          </cell>
          <cell r="F1154" t="str">
            <v>SP</v>
          </cell>
          <cell r="G1154" t="str">
            <v>470</v>
          </cell>
          <cell r="H1154" t="str">
            <v/>
          </cell>
          <cell r="I1154" t="str">
            <v>11700-440</v>
          </cell>
          <cell r="J1154" t="str">
            <v/>
          </cell>
          <cell r="K1154" t="str">
            <v/>
          </cell>
          <cell r="L1154" t="str">
            <v>Masculino</v>
          </cell>
          <cell r="M1154" t="str">
            <v>Parda</v>
          </cell>
          <cell r="N1154">
            <v>27310</v>
          </cell>
          <cell r="O1154" t="str">
            <v>255148057</v>
          </cell>
          <cell r="P1154" t="str">
            <v>SP</v>
          </cell>
          <cell r="Q1154" t="str">
            <v>SSP</v>
          </cell>
          <cell r="R1154" t="str">
            <v>SANTOS</v>
          </cell>
        </row>
        <row r="1155">
          <cell r="A1155" t="str">
            <v>ALEXANDRE JOSE DE ANDRADE</v>
          </cell>
          <cell r="B1155" t="str">
            <v>Casado</v>
          </cell>
          <cell r="C1155" t="str">
            <v>R SIMAO JAHJAH</v>
          </cell>
          <cell r="D1155" t="str">
            <v>Parque das Bandeiras</v>
          </cell>
          <cell r="E1155" t="str">
            <v>SAO VICENTE</v>
          </cell>
          <cell r="F1155" t="str">
            <v>SP</v>
          </cell>
          <cell r="G1155" t="str">
            <v>971</v>
          </cell>
          <cell r="H1155" t="str">
            <v/>
          </cell>
          <cell r="I1155" t="str">
            <v>11346-200</v>
          </cell>
          <cell r="J1155" t="str">
            <v/>
          </cell>
          <cell r="K1155" t="str">
            <v/>
          </cell>
          <cell r="L1155" t="str">
            <v>Masculino</v>
          </cell>
          <cell r="M1155" t="str">
            <v>Parda</v>
          </cell>
          <cell r="N1155">
            <v>26805</v>
          </cell>
          <cell r="O1155" t="str">
            <v>250081696</v>
          </cell>
          <cell r="P1155" t="str">
            <v>SP</v>
          </cell>
          <cell r="Q1155" t="str">
            <v>SSP</v>
          </cell>
          <cell r="R1155" t="str">
            <v>SAO VICENTE</v>
          </cell>
        </row>
        <row r="1156">
          <cell r="A1156" t="str">
            <v>FELIPE DE OLIVEIRA BARBOSA</v>
          </cell>
          <cell r="B1156" t="str">
            <v>Casado</v>
          </cell>
          <cell r="C1156" t="str">
            <v>AV Doutor Moura Ribeiro</v>
          </cell>
          <cell r="D1156" t="str">
            <v>Marapé</v>
          </cell>
          <cell r="E1156" t="str">
            <v>SANTOS</v>
          </cell>
          <cell r="F1156" t="str">
            <v>SP</v>
          </cell>
          <cell r="G1156" t="str">
            <v>125</v>
          </cell>
          <cell r="H1156" t="str">
            <v>62F</v>
          </cell>
          <cell r="I1156" t="str">
            <v>11070-061</v>
          </cell>
          <cell r="J1156" t="str">
            <v/>
          </cell>
          <cell r="K1156" t="str">
            <v/>
          </cell>
          <cell r="L1156" t="str">
            <v>Masculino</v>
          </cell>
          <cell r="M1156" t="str">
            <v>Parda</v>
          </cell>
          <cell r="N1156">
            <v>32233</v>
          </cell>
          <cell r="O1156" t="str">
            <v>7631536</v>
          </cell>
          <cell r="P1156" t="str">
            <v>PE</v>
          </cell>
          <cell r="Q1156" t="str">
            <v>SDS</v>
          </cell>
          <cell r="R1156" t="str">
            <v>RECIFE</v>
          </cell>
        </row>
        <row r="1157">
          <cell r="A1157" t="str">
            <v>ALEXANDRE CONSTANTINO NASCIMENTO</v>
          </cell>
          <cell r="B1157" t="str">
            <v>Casado</v>
          </cell>
          <cell r="C1157" t="str">
            <v>R G</v>
          </cell>
          <cell r="D1157" t="str">
            <v>Jardim Rio Negro</v>
          </cell>
          <cell r="E1157" t="str">
            <v>SAO VICENTE</v>
          </cell>
          <cell r="F1157" t="str">
            <v>SP</v>
          </cell>
          <cell r="G1157" t="str">
            <v>630</v>
          </cell>
          <cell r="H1157" t="str">
            <v/>
          </cell>
          <cell r="I1157" t="str">
            <v>11347-440</v>
          </cell>
          <cell r="J1157" t="str">
            <v>997171913</v>
          </cell>
          <cell r="K1157" t="str">
            <v>988191160</v>
          </cell>
          <cell r="L1157" t="str">
            <v>Masculino</v>
          </cell>
          <cell r="M1157" t="str">
            <v>Parda</v>
          </cell>
          <cell r="N1157">
            <v>27415</v>
          </cell>
          <cell r="O1157" t="str">
            <v>261668031</v>
          </cell>
          <cell r="P1157" t="str">
            <v>SP</v>
          </cell>
          <cell r="Q1157" t="str">
            <v>SSP</v>
          </cell>
          <cell r="R1157" t="str">
            <v>SANTOS</v>
          </cell>
        </row>
        <row r="1158">
          <cell r="A1158" t="str">
            <v>THIAGO DE SOUZA OLIVEIRA</v>
          </cell>
          <cell r="B1158" t="str">
            <v>Casado</v>
          </cell>
          <cell r="C1158" t="str">
            <v>R VERGUEIRO STEIDEL</v>
          </cell>
          <cell r="D1158" t="str">
            <v>Aparecida</v>
          </cell>
          <cell r="E1158" t="str">
            <v>SANTOS</v>
          </cell>
          <cell r="F1158" t="str">
            <v>SP</v>
          </cell>
          <cell r="G1158" t="str">
            <v>333</v>
          </cell>
          <cell r="H1158" t="str">
            <v>BL 5 AP 209</v>
          </cell>
          <cell r="I1158" t="str">
            <v>11040-271</v>
          </cell>
          <cell r="J1158" t="str">
            <v>33260848</v>
          </cell>
          <cell r="K1158" t="str">
            <v>981893515</v>
          </cell>
          <cell r="L1158" t="str">
            <v>Masculino</v>
          </cell>
          <cell r="M1158" t="str">
            <v>Parda</v>
          </cell>
          <cell r="N1158">
            <v>30434</v>
          </cell>
          <cell r="O1158" t="str">
            <v>325396243</v>
          </cell>
          <cell r="P1158" t="str">
            <v>SP</v>
          </cell>
          <cell r="Q1158" t="str">
            <v>SSP</v>
          </cell>
          <cell r="R1158" t="str">
            <v>SAO PAULO</v>
          </cell>
        </row>
        <row r="1159">
          <cell r="A1159" t="str">
            <v>PEDRO HENRIQUE TEIXEIRA EXPEDITO</v>
          </cell>
          <cell r="B1159" t="str">
            <v>Casado</v>
          </cell>
          <cell r="C1159" t="str">
            <v>AV NOVE DE JULHO</v>
          </cell>
          <cell r="D1159" t="str">
            <v>Vila Cascatinha</v>
          </cell>
          <cell r="E1159" t="str">
            <v>SAO VICENTE</v>
          </cell>
          <cell r="F1159" t="str">
            <v>SP</v>
          </cell>
          <cell r="G1159" t="str">
            <v>727</v>
          </cell>
          <cell r="H1159" t="str">
            <v>AP 1</v>
          </cell>
          <cell r="I1159" t="str">
            <v>11370-020</v>
          </cell>
          <cell r="J1159" t="str">
            <v>974120705</v>
          </cell>
          <cell r="K1159" t="str">
            <v>30221080</v>
          </cell>
          <cell r="L1159" t="str">
            <v>Masculino</v>
          </cell>
          <cell r="M1159" t="str">
            <v>Parda</v>
          </cell>
          <cell r="N1159">
            <v>32688</v>
          </cell>
          <cell r="O1159" t="str">
            <v>448066488</v>
          </cell>
          <cell r="P1159" t="str">
            <v>SP</v>
          </cell>
          <cell r="Q1159" t="str">
            <v>SSP</v>
          </cell>
          <cell r="R1159" t="str">
            <v>SAO VICENTE</v>
          </cell>
        </row>
        <row r="1160">
          <cell r="A1160" t="str">
            <v>WALTER DOS SANTOS ABREU</v>
          </cell>
          <cell r="B1160" t="str">
            <v>Solteiro</v>
          </cell>
          <cell r="C1160" t="str">
            <v>R ROMEU ESTEVES MARTINS FILHO</v>
          </cell>
          <cell r="D1160" t="str">
            <v>Jardim Castelo</v>
          </cell>
          <cell r="E1160" t="str">
            <v>SANTOS</v>
          </cell>
          <cell r="F1160" t="str">
            <v>SP</v>
          </cell>
          <cell r="G1160" t="str">
            <v>88</v>
          </cell>
          <cell r="H1160" t="str">
            <v>BLOCO D5 AP 12</v>
          </cell>
          <cell r="I1160" t="str">
            <v>11087-410</v>
          </cell>
          <cell r="J1160" t="str">
            <v/>
          </cell>
          <cell r="K1160" t="str">
            <v/>
          </cell>
          <cell r="L1160" t="str">
            <v>Masculino</v>
          </cell>
          <cell r="M1160" t="str">
            <v>Parda</v>
          </cell>
          <cell r="N1160">
            <v>28279</v>
          </cell>
          <cell r="O1160" t="str">
            <v>215245489</v>
          </cell>
          <cell r="P1160" t="str">
            <v>SP</v>
          </cell>
          <cell r="Q1160" t="str">
            <v>SSP</v>
          </cell>
          <cell r="R1160" t="str">
            <v>SANTOS</v>
          </cell>
        </row>
        <row r="1161">
          <cell r="A1161" t="str">
            <v>FABIANO RODRIGUES</v>
          </cell>
          <cell r="B1161" t="str">
            <v>Casado</v>
          </cell>
          <cell r="C1161" t="str">
            <v>AV PAU BRASIL</v>
          </cell>
          <cell r="D1161" t="str">
            <v>Jardim Samambaia</v>
          </cell>
          <cell r="E1161" t="str">
            <v>PRAIA GRANDE</v>
          </cell>
          <cell r="F1161" t="str">
            <v>SP</v>
          </cell>
          <cell r="G1161" t="str">
            <v>189</v>
          </cell>
          <cell r="H1161" t="str">
            <v>CASA 2</v>
          </cell>
          <cell r="I1161" t="str">
            <v>11712-580</v>
          </cell>
          <cell r="J1161" t="str">
            <v/>
          </cell>
          <cell r="K1161" t="str">
            <v/>
          </cell>
          <cell r="L1161" t="str">
            <v>Masculino</v>
          </cell>
          <cell r="M1161" t="str">
            <v>Parda</v>
          </cell>
          <cell r="N1161">
            <v>29647</v>
          </cell>
          <cell r="O1161" t="str">
            <v>298658094</v>
          </cell>
          <cell r="P1161" t="str">
            <v>SP</v>
          </cell>
          <cell r="Q1161" t="str">
            <v>SSP</v>
          </cell>
          <cell r="R1161" t="str">
            <v>SANTOS</v>
          </cell>
        </row>
        <row r="1162">
          <cell r="A1162" t="str">
            <v>MELKISEDEK ALMEIDA MASCARENHAS</v>
          </cell>
          <cell r="B1162" t="str">
            <v>União Estável</v>
          </cell>
          <cell r="C1162" t="str">
            <v>R ERICO VERISSIMO</v>
          </cell>
          <cell r="D1162" t="str">
            <v>Vila Jockei Clube</v>
          </cell>
          <cell r="E1162" t="str">
            <v>SAO VICENTE</v>
          </cell>
          <cell r="F1162" t="str">
            <v>SP</v>
          </cell>
          <cell r="G1162" t="str">
            <v>708</v>
          </cell>
          <cell r="H1162" t="str">
            <v>AP 62</v>
          </cell>
          <cell r="I1162" t="str">
            <v>11360-380</v>
          </cell>
          <cell r="J1162" t="str">
            <v/>
          </cell>
          <cell r="K1162" t="str">
            <v/>
          </cell>
          <cell r="L1162" t="str">
            <v>Masculino</v>
          </cell>
          <cell r="M1162" t="str">
            <v>Parda</v>
          </cell>
          <cell r="N1162">
            <v>30431</v>
          </cell>
          <cell r="O1162" t="str">
            <v>414471684</v>
          </cell>
          <cell r="P1162" t="str">
            <v>SP</v>
          </cell>
          <cell r="Q1162" t="str">
            <v>SSP</v>
          </cell>
          <cell r="R1162" t="str">
            <v>CONCEICAO DO COITE</v>
          </cell>
        </row>
        <row r="1163">
          <cell r="A1163" t="str">
            <v>PAULO CESAR DE SOUZA</v>
          </cell>
          <cell r="B1163" t="str">
            <v>Solteiro</v>
          </cell>
          <cell r="C1163" t="str">
            <v>AV RANGEL PESTANA</v>
          </cell>
          <cell r="D1163" t="str">
            <v>Jabaquara</v>
          </cell>
          <cell r="E1163" t="str">
            <v>SANTOS</v>
          </cell>
          <cell r="F1163" t="str">
            <v>SP</v>
          </cell>
          <cell r="G1163" t="str">
            <v>330</v>
          </cell>
          <cell r="H1163" t="str">
            <v>AP 14</v>
          </cell>
          <cell r="I1163" t="str">
            <v>11013-552</v>
          </cell>
          <cell r="J1163" t="str">
            <v/>
          </cell>
          <cell r="K1163" t="str">
            <v/>
          </cell>
          <cell r="L1163" t="str">
            <v>Masculino</v>
          </cell>
          <cell r="M1163" t="str">
            <v>Parda</v>
          </cell>
          <cell r="N1163">
            <v>29563</v>
          </cell>
          <cell r="O1163" t="str">
            <v>329968099</v>
          </cell>
          <cell r="P1163" t="str">
            <v>SP</v>
          </cell>
          <cell r="Q1163" t="str">
            <v>SSP</v>
          </cell>
          <cell r="R1163" t="str">
            <v>SAO PAULO</v>
          </cell>
        </row>
        <row r="1164">
          <cell r="A1164" t="str">
            <v>FRANCISCO UBIRACI DE MOURA</v>
          </cell>
          <cell r="B1164" t="str">
            <v>Casado</v>
          </cell>
          <cell r="C1164" t="str">
            <v>R PADRE DONIZETE TAVARES DE LIMA</v>
          </cell>
          <cell r="D1164" t="str">
            <v>Vila Ligya</v>
          </cell>
          <cell r="E1164" t="str">
            <v>GUARUJA</v>
          </cell>
          <cell r="F1164" t="str">
            <v>SP</v>
          </cell>
          <cell r="G1164" t="str">
            <v>422</v>
          </cell>
          <cell r="H1164" t="str">
            <v/>
          </cell>
          <cell r="I1164" t="str">
            <v>11430-160</v>
          </cell>
          <cell r="J1164" t="str">
            <v>988742600</v>
          </cell>
          <cell r="K1164" t="str">
            <v/>
          </cell>
          <cell r="L1164" t="str">
            <v>Masculino</v>
          </cell>
          <cell r="M1164" t="str">
            <v>Parda</v>
          </cell>
          <cell r="N1164">
            <v>25312</v>
          </cell>
          <cell r="O1164" t="str">
            <v>189045012</v>
          </cell>
          <cell r="P1164" t="str">
            <v>SP</v>
          </cell>
          <cell r="Q1164" t="str">
            <v>SSP</v>
          </cell>
          <cell r="R1164" t="str">
            <v>SANTOS</v>
          </cell>
        </row>
        <row r="1165">
          <cell r="A1165" t="str">
            <v>WILLIAM DE OLIVEIRA SILVA</v>
          </cell>
          <cell r="B1165" t="str">
            <v>Casado</v>
          </cell>
          <cell r="C1165" t="str">
            <v>R FLAMINIO LEVY</v>
          </cell>
          <cell r="D1165" t="str">
            <v>Saboo</v>
          </cell>
          <cell r="E1165" t="str">
            <v>SANTOS</v>
          </cell>
          <cell r="F1165" t="str">
            <v>SP</v>
          </cell>
          <cell r="G1165" t="str">
            <v>71</v>
          </cell>
          <cell r="H1165" t="str">
            <v>AP 63</v>
          </cell>
          <cell r="I1165" t="str">
            <v>11085-080</v>
          </cell>
          <cell r="J1165" t="str">
            <v>988211234</v>
          </cell>
          <cell r="K1165" t="str">
            <v>981443024</v>
          </cell>
          <cell r="L1165" t="str">
            <v>Masculino</v>
          </cell>
          <cell r="M1165" t="str">
            <v>Parda</v>
          </cell>
          <cell r="N1165">
            <v>30302</v>
          </cell>
          <cell r="O1165" t="str">
            <v>437468665</v>
          </cell>
          <cell r="P1165" t="str">
            <v>SP</v>
          </cell>
          <cell r="Q1165" t="str">
            <v>SSP</v>
          </cell>
          <cell r="R1165" t="str">
            <v>SANTOS</v>
          </cell>
        </row>
        <row r="1166">
          <cell r="A1166" t="str">
            <v>VICTOR SANTOS MODESTO</v>
          </cell>
          <cell r="B1166" t="str">
            <v>Solteiro</v>
          </cell>
          <cell r="C1166" t="str">
            <v>R ANADIR DIAS CARVALHO</v>
          </cell>
          <cell r="D1166" t="str">
            <v>Vila Jockei Clube</v>
          </cell>
          <cell r="E1166" t="str">
            <v>SAO VICENTE</v>
          </cell>
          <cell r="F1166" t="str">
            <v>SP</v>
          </cell>
          <cell r="G1166" t="str">
            <v>743</v>
          </cell>
          <cell r="H1166" t="str">
            <v>CASA 2</v>
          </cell>
          <cell r="I1166" t="str">
            <v>11360-400</v>
          </cell>
          <cell r="J1166" t="str">
            <v>997704446</v>
          </cell>
          <cell r="K1166" t="str">
            <v>996205159</v>
          </cell>
          <cell r="L1166" t="str">
            <v>Masculino</v>
          </cell>
          <cell r="M1166" t="str">
            <v>Parda</v>
          </cell>
          <cell r="N1166">
            <v>33546</v>
          </cell>
          <cell r="O1166" t="str">
            <v>485998567</v>
          </cell>
          <cell r="P1166" t="str">
            <v>SP</v>
          </cell>
          <cell r="Q1166" t="str">
            <v>SSP</v>
          </cell>
          <cell r="R1166" t="str">
            <v>SAO VICENTE</v>
          </cell>
        </row>
        <row r="1167">
          <cell r="A1167" t="str">
            <v>ANDRE MOREIRA DOS SANTOS</v>
          </cell>
          <cell r="B1167" t="str">
            <v>União Estável</v>
          </cell>
          <cell r="C1167" t="str">
            <v>R DIOGO JACOME</v>
          </cell>
          <cell r="D1167" t="str">
            <v>Cidade Náutica</v>
          </cell>
          <cell r="E1167" t="str">
            <v>SAO VICENTE</v>
          </cell>
          <cell r="F1167" t="str">
            <v>SP</v>
          </cell>
          <cell r="G1167" t="str">
            <v>118</v>
          </cell>
          <cell r="H1167" t="str">
            <v/>
          </cell>
          <cell r="I1167" t="str">
            <v>11350-360</v>
          </cell>
          <cell r="J1167" t="str">
            <v>974213034</v>
          </cell>
          <cell r="K1167" t="str">
            <v/>
          </cell>
          <cell r="L1167" t="str">
            <v>Masculino</v>
          </cell>
          <cell r="M1167" t="str">
            <v>Parda</v>
          </cell>
          <cell r="N1167">
            <v>29045</v>
          </cell>
          <cell r="O1167" t="str">
            <v>280805883</v>
          </cell>
          <cell r="P1167" t="str">
            <v>SP</v>
          </cell>
          <cell r="Q1167" t="str">
            <v>SSP</v>
          </cell>
          <cell r="R1167" t="str">
            <v>SANTOS</v>
          </cell>
        </row>
        <row r="1168">
          <cell r="A1168" t="str">
            <v>ADELSON DE OLIVEIRA JUNIOR</v>
          </cell>
          <cell r="B1168" t="str">
            <v>Solteiro</v>
          </cell>
          <cell r="C1168" t="str">
            <v>R MONS PRIMO VIERA</v>
          </cell>
          <cell r="D1168" t="str">
            <v>Estuario</v>
          </cell>
          <cell r="E1168" t="str">
            <v>SANTOS</v>
          </cell>
          <cell r="F1168" t="str">
            <v>SP</v>
          </cell>
          <cell r="G1168" t="str">
            <v>197</v>
          </cell>
          <cell r="H1168" t="str">
            <v/>
          </cell>
          <cell r="I1168" t="str">
            <v>11020-290</v>
          </cell>
          <cell r="J1168" t="str">
            <v>974052764</v>
          </cell>
          <cell r="K1168" t="str">
            <v/>
          </cell>
          <cell r="L1168" t="str">
            <v>Masculino</v>
          </cell>
          <cell r="M1168" t="str">
            <v>Parda</v>
          </cell>
          <cell r="N1168">
            <v>27130</v>
          </cell>
          <cell r="O1168" t="str">
            <v>256862953</v>
          </cell>
          <cell r="P1168" t="str">
            <v>SP</v>
          </cell>
          <cell r="Q1168" t="str">
            <v>SSP</v>
          </cell>
          <cell r="R1168" t="str">
            <v>SANTOS</v>
          </cell>
        </row>
        <row r="1169">
          <cell r="A1169" t="str">
            <v>LEANDRO GONCALVES BISPO</v>
          </cell>
          <cell r="B1169" t="str">
            <v>Casado</v>
          </cell>
          <cell r="C1169" t="str">
            <v>AV PROFESORA DAIJIRO MATSUDA</v>
          </cell>
          <cell r="D1169" t="str">
            <v>Maracanã</v>
          </cell>
          <cell r="E1169" t="str">
            <v>PRAIA GRANDE</v>
          </cell>
          <cell r="F1169" t="str">
            <v>SP</v>
          </cell>
          <cell r="G1169" t="str">
            <v>541</v>
          </cell>
          <cell r="H1169" t="str">
            <v>CASA 04</v>
          </cell>
          <cell r="I1169" t="str">
            <v>11705-400</v>
          </cell>
          <cell r="J1169" t="str">
            <v>91171250</v>
          </cell>
          <cell r="K1169" t="str">
            <v>991793230</v>
          </cell>
          <cell r="L1169" t="str">
            <v>Masculino</v>
          </cell>
          <cell r="M1169" t="str">
            <v>Parda</v>
          </cell>
          <cell r="N1169">
            <v>32210</v>
          </cell>
          <cell r="O1169" t="str">
            <v>426300221</v>
          </cell>
          <cell r="P1169" t="str">
            <v>SP</v>
          </cell>
          <cell r="Q1169" t="str">
            <v>SSP</v>
          </cell>
          <cell r="R1169" t="str">
            <v>SANTOS</v>
          </cell>
        </row>
        <row r="1170">
          <cell r="A1170" t="str">
            <v>ROBSON FEITOZA SOUZA</v>
          </cell>
          <cell r="B1170" t="str">
            <v>Casado</v>
          </cell>
          <cell r="C1170" t="str">
            <v>R MENOTTI DEL PICHIA</v>
          </cell>
          <cell r="D1170" t="str">
            <v>Esmeralda</v>
          </cell>
          <cell r="E1170" t="str">
            <v>PRAIA GRANDE</v>
          </cell>
          <cell r="F1170" t="str">
            <v>SP</v>
          </cell>
          <cell r="G1170" t="str">
            <v>1602</v>
          </cell>
          <cell r="H1170" t="str">
            <v/>
          </cell>
          <cell r="I1170" t="str">
            <v>11713-480</v>
          </cell>
          <cell r="J1170" t="str">
            <v>991549237</v>
          </cell>
          <cell r="K1170" t="str">
            <v>34792658</v>
          </cell>
          <cell r="L1170" t="str">
            <v>Masculino</v>
          </cell>
          <cell r="M1170" t="str">
            <v>Parda</v>
          </cell>
          <cell r="N1170">
            <v>32749</v>
          </cell>
          <cell r="O1170" t="str">
            <v>467389226</v>
          </cell>
          <cell r="P1170" t="str">
            <v>SP</v>
          </cell>
          <cell r="Q1170" t="str">
            <v>SSP</v>
          </cell>
          <cell r="R1170" t="str">
            <v>SAO VICENTE</v>
          </cell>
        </row>
        <row r="1171">
          <cell r="A1171" t="str">
            <v>DANILO MATOS ARAUJO</v>
          </cell>
          <cell r="B1171" t="str">
            <v>Solteiro</v>
          </cell>
          <cell r="C1171" t="str">
            <v>R DOUTOR GUEDES COELHO</v>
          </cell>
          <cell r="D1171" t="str">
            <v>Encruzilhada</v>
          </cell>
          <cell r="E1171" t="str">
            <v>SANTOS</v>
          </cell>
          <cell r="F1171" t="str">
            <v>SP</v>
          </cell>
          <cell r="G1171" t="str">
            <v>160</v>
          </cell>
          <cell r="H1171" t="str">
            <v>AP 81</v>
          </cell>
          <cell r="I1171" t="str">
            <v>11050-230</v>
          </cell>
          <cell r="J1171" t="str">
            <v>997797788</v>
          </cell>
          <cell r="K1171" t="str">
            <v>32221170</v>
          </cell>
          <cell r="L1171" t="str">
            <v>Masculino</v>
          </cell>
          <cell r="M1171" t="str">
            <v>Parda</v>
          </cell>
          <cell r="N1171">
            <v>33356</v>
          </cell>
          <cell r="O1171" t="str">
            <v>376924986</v>
          </cell>
          <cell r="P1171" t="str">
            <v>SP</v>
          </cell>
          <cell r="Q1171" t="str">
            <v>SSP</v>
          </cell>
          <cell r="R1171" t="str">
            <v>SANTOS</v>
          </cell>
        </row>
        <row r="1172">
          <cell r="A1172" t="str">
            <v>CLAUDIO LUIZ DE JESUS</v>
          </cell>
          <cell r="B1172" t="str">
            <v>Solteiro</v>
          </cell>
          <cell r="C1172" t="str">
            <v>R DOUTOR CELSO DA SILVA PONTES</v>
          </cell>
          <cell r="D1172" t="str">
            <v>Macuco</v>
          </cell>
          <cell r="E1172" t="str">
            <v>SANTOS</v>
          </cell>
          <cell r="F1172" t="str">
            <v>SP</v>
          </cell>
          <cell r="G1172" t="str">
            <v>20</v>
          </cell>
          <cell r="H1172" t="str">
            <v/>
          </cell>
          <cell r="I1172" t="str">
            <v>11020-260</v>
          </cell>
          <cell r="J1172" t="str">
            <v>991994845</v>
          </cell>
          <cell r="K1172" t="str">
            <v/>
          </cell>
          <cell r="L1172" t="str">
            <v>Masculino</v>
          </cell>
          <cell r="M1172" t="str">
            <v>Parda</v>
          </cell>
          <cell r="N1172">
            <v>29805</v>
          </cell>
          <cell r="O1172" t="str">
            <v>296446038</v>
          </cell>
          <cell r="P1172" t="str">
            <v>SP</v>
          </cell>
          <cell r="Q1172" t="str">
            <v>SSP</v>
          </cell>
          <cell r="R1172" t="str">
            <v>SANTOS</v>
          </cell>
        </row>
        <row r="1173">
          <cell r="A1173" t="str">
            <v>IVAIR ASTROGILDO DOS SANTOS</v>
          </cell>
          <cell r="B1173" t="str">
            <v>Casado</v>
          </cell>
          <cell r="C1173" t="str">
            <v>R EMILIO JUSTO</v>
          </cell>
          <cell r="D1173" t="str">
            <v>Sitio do Campo</v>
          </cell>
          <cell r="E1173" t="str">
            <v>PRAIA GRANDE</v>
          </cell>
          <cell r="F1173" t="str">
            <v>SP</v>
          </cell>
          <cell r="G1173" t="str">
            <v>180</v>
          </cell>
          <cell r="H1173" t="str">
            <v/>
          </cell>
          <cell r="I1173" t="str">
            <v>11725-440</v>
          </cell>
          <cell r="J1173" t="str">
            <v>974015097</v>
          </cell>
          <cell r="K1173" t="str">
            <v>34915868</v>
          </cell>
          <cell r="L1173" t="str">
            <v>Masculino</v>
          </cell>
          <cell r="M1173" t="str">
            <v>Parda</v>
          </cell>
          <cell r="N1173">
            <v>23970</v>
          </cell>
          <cell r="O1173" t="str">
            <v>181843146</v>
          </cell>
          <cell r="P1173" t="str">
            <v>SP</v>
          </cell>
          <cell r="Q1173" t="str">
            <v>SSP</v>
          </cell>
          <cell r="R1173" t="str">
            <v>SANTOS</v>
          </cell>
        </row>
        <row r="1174">
          <cell r="A1174" t="str">
            <v>ISRAEL SOUZA DE JESUS</v>
          </cell>
          <cell r="B1174" t="str">
            <v>Casado</v>
          </cell>
          <cell r="C1174" t="str">
            <v>AV GABRIEL SOARES DE SOUZA</v>
          </cell>
          <cell r="D1174" t="str">
            <v>Ribeirópolis</v>
          </cell>
          <cell r="E1174" t="str">
            <v>PRAIA GRANDE</v>
          </cell>
          <cell r="F1174" t="str">
            <v>SP</v>
          </cell>
          <cell r="G1174" t="str">
            <v>622</v>
          </cell>
          <cell r="H1174" t="str">
            <v/>
          </cell>
          <cell r="I1174" t="str">
            <v>11714-460</v>
          </cell>
          <cell r="J1174" t="str">
            <v>991094781</v>
          </cell>
          <cell r="K1174" t="str">
            <v/>
          </cell>
          <cell r="L1174" t="str">
            <v>Masculino</v>
          </cell>
          <cell r="M1174" t="str">
            <v>Parda</v>
          </cell>
          <cell r="N1174">
            <v>31572</v>
          </cell>
          <cell r="O1174" t="str">
            <v>432737492</v>
          </cell>
          <cell r="P1174" t="str">
            <v>SP</v>
          </cell>
          <cell r="Q1174" t="str">
            <v>SSP</v>
          </cell>
          <cell r="R1174" t="str">
            <v>MEDEIROS NETO</v>
          </cell>
        </row>
        <row r="1175">
          <cell r="A1175" t="str">
            <v>ALISON BRUNO DOS REIS GIZZI</v>
          </cell>
          <cell r="B1175" t="str">
            <v>Casado</v>
          </cell>
          <cell r="C1175" t="str">
            <v>AV PRESIDENTE CASTELO BRANCO</v>
          </cell>
          <cell r="D1175" t="str">
            <v>Aviação</v>
          </cell>
          <cell r="E1175" t="str">
            <v>PRAIA GRANDE</v>
          </cell>
          <cell r="F1175" t="str">
            <v>SP</v>
          </cell>
          <cell r="G1175" t="str">
            <v>3782</v>
          </cell>
          <cell r="H1175" t="str">
            <v>AP 17</v>
          </cell>
          <cell r="I1175" t="str">
            <v>11702-700</v>
          </cell>
          <cell r="J1175" t="str">
            <v>996428537</v>
          </cell>
          <cell r="K1175" t="str">
            <v/>
          </cell>
          <cell r="L1175" t="str">
            <v>Masculino</v>
          </cell>
          <cell r="M1175" t="str">
            <v>Parda</v>
          </cell>
          <cell r="N1175">
            <v>32135</v>
          </cell>
          <cell r="O1175" t="str">
            <v>433256813</v>
          </cell>
          <cell r="P1175" t="str">
            <v>SP</v>
          </cell>
          <cell r="Q1175" t="str">
            <v>SSP</v>
          </cell>
          <cell r="R1175" t="str">
            <v>CAIEIRAS</v>
          </cell>
        </row>
        <row r="1176">
          <cell r="A1176" t="str">
            <v>EDUARDO ALONSO LINNA</v>
          </cell>
          <cell r="B1176" t="str">
            <v>Casado</v>
          </cell>
          <cell r="C1176" t="str">
            <v>PC FERNANDES PACHECO</v>
          </cell>
          <cell r="D1176" t="str">
            <v>Gonzaga</v>
          </cell>
          <cell r="E1176" t="str">
            <v>SANTOS</v>
          </cell>
          <cell r="F1176" t="str">
            <v>SP</v>
          </cell>
          <cell r="G1176" t="str">
            <v>10</v>
          </cell>
          <cell r="H1176" t="str">
            <v>BLOCO A-2 AP 203</v>
          </cell>
          <cell r="I1176" t="str">
            <v>11060-410</v>
          </cell>
          <cell r="J1176" t="str">
            <v>991318522</v>
          </cell>
          <cell r="K1176" t="str">
            <v/>
          </cell>
          <cell r="L1176" t="str">
            <v>Masculino</v>
          </cell>
          <cell r="M1176" t="str">
            <v>Parda</v>
          </cell>
          <cell r="N1176">
            <v>24463</v>
          </cell>
          <cell r="O1176" t="str">
            <v>14547673X</v>
          </cell>
          <cell r="P1176" t="str">
            <v>SP</v>
          </cell>
          <cell r="Q1176" t="str">
            <v>SSP</v>
          </cell>
          <cell r="R1176" t="str">
            <v>SANTOS</v>
          </cell>
        </row>
        <row r="1177">
          <cell r="A1177" t="str">
            <v>ALEXANDRE PINHEIRO DA SILVA</v>
          </cell>
          <cell r="B1177" t="str">
            <v>União Estável</v>
          </cell>
          <cell r="C1177" t="str">
            <v>AV DOUTOR MOURA RIBEIRO</v>
          </cell>
          <cell r="D1177" t="str">
            <v>Marapé</v>
          </cell>
          <cell r="E1177" t="str">
            <v>SANTOS</v>
          </cell>
          <cell r="F1177" t="str">
            <v>SP</v>
          </cell>
          <cell r="G1177" t="str">
            <v>125</v>
          </cell>
          <cell r="H1177" t="str">
            <v>AP 164C</v>
          </cell>
          <cell r="I1177" t="str">
            <v>11070-061</v>
          </cell>
          <cell r="J1177" t="str">
            <v>984888886</v>
          </cell>
          <cell r="K1177" t="str">
            <v/>
          </cell>
          <cell r="L1177" t="str">
            <v>Masculino</v>
          </cell>
          <cell r="M1177" t="str">
            <v>Parda</v>
          </cell>
          <cell r="N1177">
            <v>30835</v>
          </cell>
          <cell r="O1177" t="str">
            <v>6878177</v>
          </cell>
          <cell r="P1177" t="str">
            <v>SC</v>
          </cell>
          <cell r="Q1177" t="str">
            <v>SSP</v>
          </cell>
          <cell r="R1177" t="str">
            <v>SAO LEOPOLDO</v>
          </cell>
        </row>
        <row r="1178">
          <cell r="A1178" t="str">
            <v>ALOISIO DAMINELLI FILHO</v>
          </cell>
          <cell r="B1178" t="str">
            <v>Casado</v>
          </cell>
          <cell r="C1178" t="str">
            <v>R ANTONIO MONTEIRO DA CRUZ</v>
          </cell>
          <cell r="D1178" t="str">
            <v>Jardim Monteiro da Cruz</v>
          </cell>
          <cell r="E1178" t="str">
            <v>GUARUJA</v>
          </cell>
          <cell r="F1178" t="str">
            <v>SP</v>
          </cell>
          <cell r="G1178" t="str">
            <v>830</v>
          </cell>
          <cell r="H1178" t="str">
            <v>A ALTOS</v>
          </cell>
          <cell r="I1178" t="str">
            <v>11462-310</v>
          </cell>
          <cell r="J1178" t="str">
            <v>997650830</v>
          </cell>
          <cell r="K1178" t="str">
            <v/>
          </cell>
          <cell r="L1178" t="str">
            <v>Masculino</v>
          </cell>
          <cell r="M1178" t="str">
            <v>Parda</v>
          </cell>
          <cell r="N1178">
            <v>29858</v>
          </cell>
          <cell r="O1178" t="str">
            <v>348955480</v>
          </cell>
          <cell r="P1178" t="str">
            <v>SP</v>
          </cell>
          <cell r="Q1178" t="str">
            <v>SSP</v>
          </cell>
          <cell r="R1178" t="str">
            <v>GUARUJA</v>
          </cell>
        </row>
        <row r="1179">
          <cell r="A1179" t="str">
            <v>STEFANI DOS SANTOS SANTANA</v>
          </cell>
          <cell r="B1179" t="str">
            <v>Casado</v>
          </cell>
          <cell r="C1179" t="str">
            <v>R MECANIZADA</v>
          </cell>
          <cell r="D1179" t="str">
            <v>Vila Jockei Clube</v>
          </cell>
          <cell r="E1179" t="str">
            <v>SAO VICENTE</v>
          </cell>
          <cell r="F1179" t="str">
            <v>SP</v>
          </cell>
          <cell r="G1179" t="str">
            <v>9200</v>
          </cell>
          <cell r="H1179" t="str">
            <v/>
          </cell>
          <cell r="I1179" t="str">
            <v>11360-600</v>
          </cell>
          <cell r="J1179" t="str">
            <v>991397926</v>
          </cell>
          <cell r="K1179" t="str">
            <v>988667673</v>
          </cell>
          <cell r="L1179" t="str">
            <v>Feminino</v>
          </cell>
          <cell r="M1179" t="str">
            <v>Preta/Negra</v>
          </cell>
          <cell r="N1179">
            <v>31686</v>
          </cell>
          <cell r="O1179" t="str">
            <v>45825213X</v>
          </cell>
          <cell r="P1179" t="str">
            <v>SP</v>
          </cell>
          <cell r="Q1179" t="str">
            <v>SSP</v>
          </cell>
          <cell r="R1179" t="str">
            <v>SAO VICENTE</v>
          </cell>
        </row>
        <row r="1180">
          <cell r="A1180" t="str">
            <v>VAGNER CUNHA DE OLIVEIRA FALCAO</v>
          </cell>
          <cell r="B1180" t="str">
            <v>Casado</v>
          </cell>
          <cell r="C1180" t="str">
            <v>R Doutor Cesário Bastos</v>
          </cell>
          <cell r="D1180" t="str">
            <v>Vila Belmiro</v>
          </cell>
          <cell r="E1180" t="str">
            <v>SANTOS</v>
          </cell>
          <cell r="F1180" t="str">
            <v>SP</v>
          </cell>
          <cell r="G1180" t="str">
            <v>34</v>
          </cell>
          <cell r="H1180" t="str">
            <v>Casa baixo</v>
          </cell>
          <cell r="I1180" t="str">
            <v>11075-270</v>
          </cell>
          <cell r="J1180" t="str">
            <v>997750791</v>
          </cell>
          <cell r="K1180" t="str">
            <v/>
          </cell>
          <cell r="L1180" t="str">
            <v>Masculino</v>
          </cell>
          <cell r="M1180" t="str">
            <v>Parda</v>
          </cell>
          <cell r="N1180">
            <v>27471</v>
          </cell>
          <cell r="O1180" t="str">
            <v>238343923</v>
          </cell>
          <cell r="P1180" t="str">
            <v>SP</v>
          </cell>
          <cell r="Q1180" t="str">
            <v>SSP</v>
          </cell>
          <cell r="R1180" t="str">
            <v>SANTOS</v>
          </cell>
        </row>
        <row r="1181">
          <cell r="A1181" t="str">
            <v>ADRIANO CALADO DE ARAUJO</v>
          </cell>
          <cell r="B1181" t="str">
            <v>Casado</v>
          </cell>
          <cell r="C1181" t="str">
            <v>R MADEIRA</v>
          </cell>
          <cell r="D1181" t="str">
            <v>Balneario Praia do Perequê</v>
          </cell>
          <cell r="E1181" t="str">
            <v>GUARUJA</v>
          </cell>
          <cell r="F1181" t="str">
            <v>SP</v>
          </cell>
          <cell r="G1181" t="str">
            <v>48</v>
          </cell>
          <cell r="H1181" t="str">
            <v/>
          </cell>
          <cell r="I1181" t="str">
            <v>11446-220</v>
          </cell>
          <cell r="J1181" t="str">
            <v>981067876</v>
          </cell>
          <cell r="K1181" t="str">
            <v>33530864</v>
          </cell>
          <cell r="L1181" t="str">
            <v>Masculino</v>
          </cell>
          <cell r="M1181" t="str">
            <v>Parda</v>
          </cell>
          <cell r="N1181">
            <v>28083</v>
          </cell>
          <cell r="O1181" t="str">
            <v>28326228X</v>
          </cell>
          <cell r="P1181" t="str">
            <v>SP</v>
          </cell>
          <cell r="Q1181" t="str">
            <v>SSP</v>
          </cell>
          <cell r="R1181" t="str">
            <v>GUARUJA</v>
          </cell>
        </row>
        <row r="1182">
          <cell r="A1182" t="str">
            <v>ADRIANO DA SILVA E SILVA</v>
          </cell>
          <cell r="B1182" t="str">
            <v>Casado</v>
          </cell>
          <cell r="C1182" t="str">
            <v>AV  BRASIL</v>
          </cell>
          <cell r="D1182" t="str">
            <v>Vila Margarida</v>
          </cell>
          <cell r="E1182" t="str">
            <v>SAO VICENTE</v>
          </cell>
          <cell r="F1182" t="str">
            <v>SP</v>
          </cell>
          <cell r="G1182" t="str">
            <v>279</v>
          </cell>
          <cell r="H1182" t="str">
            <v/>
          </cell>
          <cell r="I1182" t="str">
            <v>11330-750</v>
          </cell>
          <cell r="J1182" t="str">
            <v/>
          </cell>
          <cell r="K1182" t="str">
            <v>974129409</v>
          </cell>
          <cell r="L1182" t="str">
            <v>Masculino</v>
          </cell>
          <cell r="M1182" t="str">
            <v>Parda</v>
          </cell>
          <cell r="N1182">
            <v>30032</v>
          </cell>
          <cell r="O1182" t="str">
            <v>339741405</v>
          </cell>
          <cell r="P1182" t="str">
            <v>SP</v>
          </cell>
          <cell r="Q1182" t="str">
            <v>SSP</v>
          </cell>
          <cell r="R1182" t="str">
            <v>GUARUJA</v>
          </cell>
        </row>
        <row r="1183">
          <cell r="A1183" t="str">
            <v>FABIANA DE SOUZA</v>
          </cell>
          <cell r="B1183" t="str">
            <v>Solteiro</v>
          </cell>
          <cell r="C1183" t="str">
            <v>R CAMINHO DO GUARAMAR</v>
          </cell>
          <cell r="D1183" t="str">
            <v>Vila Antártica</v>
          </cell>
          <cell r="E1183" t="str">
            <v>PRAIA GRANDE</v>
          </cell>
          <cell r="F1183" t="str">
            <v>SP</v>
          </cell>
          <cell r="G1183" t="str">
            <v>63</v>
          </cell>
          <cell r="H1183" t="str">
            <v>AP 116</v>
          </cell>
          <cell r="I1183" t="str">
            <v>11721-050</v>
          </cell>
          <cell r="J1183" t="str">
            <v>988493224</v>
          </cell>
          <cell r="K1183" t="str">
            <v>988711146</v>
          </cell>
          <cell r="L1183" t="str">
            <v>Feminino</v>
          </cell>
          <cell r="M1183" t="str">
            <v>Parda</v>
          </cell>
          <cell r="N1183">
            <v>28222</v>
          </cell>
          <cell r="O1183" t="str">
            <v>304975527</v>
          </cell>
          <cell r="P1183" t="str">
            <v>SP</v>
          </cell>
          <cell r="Q1183" t="str">
            <v>SSP</v>
          </cell>
          <cell r="R1183" t="str">
            <v>CUBATAO</v>
          </cell>
        </row>
        <row r="1184">
          <cell r="A1184" t="str">
            <v>ADEMILSON BATISTA DE OLIVEIRA</v>
          </cell>
          <cell r="B1184" t="str">
            <v>União Estável</v>
          </cell>
          <cell r="C1184" t="str">
            <v>R ANGELO MARTINS MELERO</v>
          </cell>
          <cell r="D1184" t="str">
            <v>Caneleira</v>
          </cell>
          <cell r="E1184" t="str">
            <v>SANTOS</v>
          </cell>
          <cell r="F1184" t="str">
            <v>SP</v>
          </cell>
          <cell r="G1184" t="str">
            <v>251</v>
          </cell>
          <cell r="H1184" t="str">
            <v>BLOCO B AP 43</v>
          </cell>
          <cell r="I1184" t="str">
            <v>11085-580</v>
          </cell>
          <cell r="J1184" t="str">
            <v>991612706</v>
          </cell>
          <cell r="K1184" t="str">
            <v>33262044</v>
          </cell>
          <cell r="L1184" t="str">
            <v>Masculino</v>
          </cell>
          <cell r="M1184" t="str">
            <v>Parda</v>
          </cell>
          <cell r="N1184">
            <v>27338</v>
          </cell>
          <cell r="O1184" t="str">
            <v>245450543</v>
          </cell>
          <cell r="P1184" t="str">
            <v>SP</v>
          </cell>
          <cell r="Q1184" t="str">
            <v>SSP</v>
          </cell>
          <cell r="R1184" t="str">
            <v>CARIRA</v>
          </cell>
        </row>
        <row r="1185">
          <cell r="A1185" t="str">
            <v>ADRIANO DOS SANTOS NASCIMENTO</v>
          </cell>
          <cell r="B1185" t="str">
            <v>Solteiro</v>
          </cell>
          <cell r="C1185" t="str">
            <v>R HENRIQUETA LISBOA</v>
          </cell>
          <cell r="D1185" t="str">
            <v>Jardim Trevo</v>
          </cell>
          <cell r="E1185" t="str">
            <v>PRAIA GRANDE</v>
          </cell>
          <cell r="F1185" t="str">
            <v>SP</v>
          </cell>
          <cell r="G1185" t="str">
            <v>687</v>
          </cell>
          <cell r="H1185" t="str">
            <v/>
          </cell>
          <cell r="I1185" t="str">
            <v>11714-480</v>
          </cell>
          <cell r="J1185" t="str">
            <v>982040507</v>
          </cell>
          <cell r="K1185" t="str">
            <v>982040507</v>
          </cell>
          <cell r="L1185" t="str">
            <v>Masculino</v>
          </cell>
          <cell r="M1185" t="str">
            <v>Parda</v>
          </cell>
          <cell r="N1185">
            <v>31002</v>
          </cell>
          <cell r="O1185" t="str">
            <v>342611811</v>
          </cell>
          <cell r="P1185" t="str">
            <v>SP</v>
          </cell>
          <cell r="Q1185" t="str">
            <v>SSP</v>
          </cell>
          <cell r="R1185" t="str">
            <v>CUBATAO</v>
          </cell>
        </row>
        <row r="1186">
          <cell r="A1186" t="str">
            <v>IRACEMA SANTOS DE ALCANTARA OLIVEIRA</v>
          </cell>
          <cell r="B1186" t="str">
            <v>Casado</v>
          </cell>
          <cell r="C1186" t="str">
            <v>AV TANCREDO NEVES</v>
          </cell>
          <cell r="D1186" t="str">
            <v>Cachoeira</v>
          </cell>
          <cell r="E1186" t="str">
            <v>GUARUJA</v>
          </cell>
          <cell r="F1186" t="str">
            <v>SP</v>
          </cell>
          <cell r="G1186" t="str">
            <v>950</v>
          </cell>
          <cell r="H1186" t="str">
            <v/>
          </cell>
          <cell r="I1186" t="str">
            <v>11435-000</v>
          </cell>
          <cell r="J1186" t="str">
            <v>981188038</v>
          </cell>
          <cell r="K1186" t="str">
            <v>33556025</v>
          </cell>
          <cell r="L1186" t="str">
            <v>Feminino</v>
          </cell>
          <cell r="M1186" t="str">
            <v>Parda</v>
          </cell>
          <cell r="N1186">
            <v>27971</v>
          </cell>
          <cell r="O1186" t="str">
            <v>36313525X</v>
          </cell>
          <cell r="P1186" t="str">
            <v>SP</v>
          </cell>
          <cell r="Q1186" t="str">
            <v>SSP</v>
          </cell>
          <cell r="R1186" t="str">
            <v>CONDE</v>
          </cell>
        </row>
        <row r="1187">
          <cell r="A1187" t="str">
            <v>UMBERTO IANNUZZI NETO</v>
          </cell>
          <cell r="B1187" t="str">
            <v>Casado</v>
          </cell>
          <cell r="C1187" t="str">
            <v>R SATURNINO DE BRITO</v>
          </cell>
          <cell r="D1187" t="str">
            <v>Marapé</v>
          </cell>
          <cell r="E1187" t="str">
            <v>SANTOS</v>
          </cell>
          <cell r="F1187" t="str">
            <v>SP</v>
          </cell>
          <cell r="G1187" t="str">
            <v>332</v>
          </cell>
          <cell r="H1187" t="str">
            <v/>
          </cell>
          <cell r="I1187" t="str">
            <v>11070-001</v>
          </cell>
          <cell r="J1187" t="str">
            <v>997992007</v>
          </cell>
          <cell r="K1187" t="str">
            <v/>
          </cell>
          <cell r="L1187" t="str">
            <v>Masculino</v>
          </cell>
          <cell r="M1187" t="str">
            <v>Branca</v>
          </cell>
          <cell r="N1187">
            <v>27669</v>
          </cell>
          <cell r="O1187" t="str">
            <v>253390151</v>
          </cell>
          <cell r="P1187" t="str">
            <v>SP</v>
          </cell>
          <cell r="Q1187" t="str">
            <v>SSP</v>
          </cell>
          <cell r="R1187" t="str">
            <v>SANTOS</v>
          </cell>
        </row>
        <row r="1188">
          <cell r="A1188" t="str">
            <v>ANDERSON DA SILVA BENEVIDES</v>
          </cell>
          <cell r="B1188" t="str">
            <v>Casado</v>
          </cell>
          <cell r="C1188" t="str">
            <v>R CACHETA</v>
          </cell>
          <cell r="D1188" t="str">
            <v>Jardim Virgínia</v>
          </cell>
          <cell r="E1188" t="str">
            <v>GUARUJA</v>
          </cell>
          <cell r="F1188" t="str">
            <v>SP</v>
          </cell>
          <cell r="G1188" t="str">
            <v>292</v>
          </cell>
          <cell r="H1188" t="str">
            <v>CASA 2</v>
          </cell>
          <cell r="I1188" t="str">
            <v>11442-205</v>
          </cell>
          <cell r="J1188" t="str">
            <v>974059920</v>
          </cell>
          <cell r="K1188" t="str">
            <v>974059920</v>
          </cell>
          <cell r="L1188" t="str">
            <v>Masculino</v>
          </cell>
          <cell r="M1188" t="str">
            <v>Parda</v>
          </cell>
          <cell r="N1188">
            <v>32330</v>
          </cell>
          <cell r="O1188" t="str">
            <v>415527144</v>
          </cell>
          <cell r="P1188" t="str">
            <v>SP</v>
          </cell>
          <cell r="Q1188" t="str">
            <v>SSP</v>
          </cell>
          <cell r="R1188" t="str">
            <v>GUARUJA</v>
          </cell>
        </row>
        <row r="1189">
          <cell r="A1189" t="str">
            <v>ANDRE LUIZ DA SILVA</v>
          </cell>
          <cell r="B1189" t="str">
            <v>Casado</v>
          </cell>
          <cell r="C1189" t="str">
            <v>TV TREZENTOS 308 Qd 171b Lt 04</v>
          </cell>
          <cell r="D1189" t="str">
            <v>Morrinhos 3</v>
          </cell>
          <cell r="E1189" t="str">
            <v>GUARUJA</v>
          </cell>
          <cell r="F1189" t="str">
            <v>SP</v>
          </cell>
          <cell r="G1189" t="str">
            <v>41</v>
          </cell>
          <cell r="H1189" t="str">
            <v>Casa</v>
          </cell>
          <cell r="I1189" t="str">
            <v>11495-990</v>
          </cell>
          <cell r="J1189" t="str">
            <v>988754388</v>
          </cell>
          <cell r="K1189" t="str">
            <v/>
          </cell>
          <cell r="L1189" t="str">
            <v>Masculino</v>
          </cell>
          <cell r="M1189" t="str">
            <v>Parda</v>
          </cell>
          <cell r="N1189">
            <v>29376</v>
          </cell>
          <cell r="O1189" t="str">
            <v>34351722X</v>
          </cell>
          <cell r="P1189" t="str">
            <v>SP</v>
          </cell>
          <cell r="Q1189" t="str">
            <v>SSP</v>
          </cell>
          <cell r="R1189" t="str">
            <v>GUARUJA</v>
          </cell>
        </row>
        <row r="1190">
          <cell r="A1190" t="str">
            <v>ALEX MACEDO ABENZA</v>
          </cell>
          <cell r="B1190" t="str">
            <v>Casado</v>
          </cell>
          <cell r="C1190" t="str">
            <v>R SAO CLOVES</v>
          </cell>
          <cell r="D1190" t="str">
            <v>Morro Sao Bento</v>
          </cell>
          <cell r="E1190" t="str">
            <v>SANTOS</v>
          </cell>
          <cell r="F1190" t="str">
            <v>SP</v>
          </cell>
          <cell r="G1190" t="str">
            <v>3462</v>
          </cell>
          <cell r="H1190" t="str">
            <v>CASA 2</v>
          </cell>
          <cell r="I1190" t="str">
            <v>11082-505</v>
          </cell>
          <cell r="J1190" t="str">
            <v>988141206</v>
          </cell>
          <cell r="K1190" t="str">
            <v/>
          </cell>
          <cell r="L1190" t="str">
            <v>Masculino</v>
          </cell>
          <cell r="M1190" t="str">
            <v>Parda</v>
          </cell>
          <cell r="N1190">
            <v>32442</v>
          </cell>
          <cell r="O1190" t="str">
            <v>448425853</v>
          </cell>
          <cell r="P1190" t="str">
            <v>SP</v>
          </cell>
          <cell r="Q1190" t="str">
            <v>SSP</v>
          </cell>
          <cell r="R1190" t="str">
            <v>SANTOS</v>
          </cell>
        </row>
        <row r="1191">
          <cell r="A1191" t="str">
            <v>GISLAINE DE SOUZA IZABEL</v>
          </cell>
          <cell r="B1191" t="str">
            <v>União Estável</v>
          </cell>
          <cell r="C1191" t="str">
            <v>R DR JOAO CARLOS DE AZEVEDO</v>
          </cell>
          <cell r="D1191" t="str">
            <v>São Manoel</v>
          </cell>
          <cell r="E1191" t="str">
            <v>SANTOS</v>
          </cell>
          <cell r="F1191" t="str">
            <v>SP</v>
          </cell>
          <cell r="G1191" t="str">
            <v>48</v>
          </cell>
          <cell r="H1191" t="str">
            <v>BLOCO B AP 13</v>
          </cell>
          <cell r="I1191" t="str">
            <v>03548-500</v>
          </cell>
          <cell r="J1191" t="str">
            <v>974128068</v>
          </cell>
          <cell r="K1191" t="str">
            <v>33616749</v>
          </cell>
          <cell r="L1191" t="str">
            <v>Feminino</v>
          </cell>
          <cell r="M1191" t="str">
            <v>Parda</v>
          </cell>
          <cell r="N1191">
            <v>30860</v>
          </cell>
          <cell r="O1191" t="str">
            <v>413094364</v>
          </cell>
          <cell r="P1191" t="str">
            <v>SP</v>
          </cell>
          <cell r="Q1191" t="str">
            <v>SSP</v>
          </cell>
          <cell r="R1191" t="str">
            <v>SANTOS</v>
          </cell>
        </row>
        <row r="1192">
          <cell r="A1192" t="str">
            <v>ANDRE GOMES DE OLIVEIRA</v>
          </cell>
          <cell r="B1192" t="str">
            <v>Solteiro</v>
          </cell>
          <cell r="C1192" t="str">
            <v>R BOLIVIA</v>
          </cell>
          <cell r="D1192" t="str">
            <v>Parque Sao Vicente</v>
          </cell>
          <cell r="E1192" t="str">
            <v>SAO VICENTE</v>
          </cell>
          <cell r="F1192" t="str">
            <v>SP</v>
          </cell>
          <cell r="G1192" t="str">
            <v>31</v>
          </cell>
          <cell r="H1192" t="str">
            <v/>
          </cell>
          <cell r="I1192" t="str">
            <v>11355-490</v>
          </cell>
          <cell r="J1192" t="str">
            <v>974064185</v>
          </cell>
          <cell r="K1192" t="str">
            <v>34622403</v>
          </cell>
          <cell r="L1192" t="str">
            <v>Masculino</v>
          </cell>
          <cell r="M1192" t="str">
            <v>Parda</v>
          </cell>
          <cell r="N1192">
            <v>31427</v>
          </cell>
          <cell r="O1192" t="str">
            <v>417483910</v>
          </cell>
          <cell r="P1192" t="str">
            <v>SP</v>
          </cell>
          <cell r="Q1192" t="str">
            <v>SSP</v>
          </cell>
          <cell r="R1192" t="str">
            <v>SAO VICENTE</v>
          </cell>
        </row>
        <row r="1193">
          <cell r="A1193" t="str">
            <v>ANDERSON DOS SANTOS</v>
          </cell>
          <cell r="B1193" t="str">
            <v>Casado</v>
          </cell>
          <cell r="C1193" t="str">
            <v>R ESTUDANTE PAULO ANTONIO DE SOUZA</v>
          </cell>
          <cell r="D1193" t="str">
            <v>Sítio Paecara (Vicente de Carvalho)</v>
          </cell>
          <cell r="E1193" t="str">
            <v>GUARUJA</v>
          </cell>
          <cell r="F1193" t="str">
            <v>SP</v>
          </cell>
          <cell r="G1193" t="str">
            <v>4</v>
          </cell>
          <cell r="H1193" t="str">
            <v>FRENTE</v>
          </cell>
          <cell r="I1193" t="str">
            <v>11460-340</v>
          </cell>
          <cell r="J1193" t="str">
            <v>974191014</v>
          </cell>
          <cell r="K1193" t="str">
            <v/>
          </cell>
          <cell r="L1193" t="str">
            <v>Masculino</v>
          </cell>
          <cell r="M1193" t="str">
            <v>Parda</v>
          </cell>
          <cell r="N1193">
            <v>31565</v>
          </cell>
          <cell r="O1193" t="str">
            <v>445314643</v>
          </cell>
          <cell r="P1193" t="str">
            <v>SP</v>
          </cell>
          <cell r="Q1193" t="str">
            <v>SSP</v>
          </cell>
          <cell r="R1193" t="str">
            <v>GUARUJA</v>
          </cell>
        </row>
        <row r="1194">
          <cell r="A1194" t="str">
            <v>ANDERSON DOS PASSOS DE OLIVEIRA</v>
          </cell>
          <cell r="B1194" t="str">
            <v>União Estável</v>
          </cell>
          <cell r="C1194" t="str">
            <v>R MARCELO RIBEIRO DE MENDONCA</v>
          </cell>
          <cell r="D1194" t="str">
            <v>Ponta da Praia</v>
          </cell>
          <cell r="E1194" t="str">
            <v>SANTOS</v>
          </cell>
          <cell r="F1194" t="str">
            <v>SP</v>
          </cell>
          <cell r="G1194" t="str">
            <v>65</v>
          </cell>
          <cell r="H1194" t="str">
            <v>AP 309</v>
          </cell>
          <cell r="I1194" t="str">
            <v>11030-210</v>
          </cell>
          <cell r="J1194" t="str">
            <v>981518363</v>
          </cell>
          <cell r="K1194" t="str">
            <v>974123325</v>
          </cell>
          <cell r="L1194" t="str">
            <v>Masculino</v>
          </cell>
          <cell r="M1194" t="str">
            <v>Parda</v>
          </cell>
          <cell r="N1194">
            <v>28173</v>
          </cell>
          <cell r="O1194" t="str">
            <v>284463796</v>
          </cell>
          <cell r="P1194" t="str">
            <v>SP</v>
          </cell>
          <cell r="Q1194" t="str">
            <v>SSP</v>
          </cell>
          <cell r="R1194" t="str">
            <v>GUARUJA</v>
          </cell>
        </row>
        <row r="1195">
          <cell r="A1195" t="str">
            <v>ANDRE DE OLIVEIRA SILVA</v>
          </cell>
          <cell r="B1195" t="str">
            <v>União Estável</v>
          </cell>
          <cell r="C1195" t="str">
            <v>R SANTA ANASTACIA</v>
          </cell>
          <cell r="D1195" t="str">
            <v>Mirim</v>
          </cell>
          <cell r="E1195" t="str">
            <v>PRAIA GRANDE</v>
          </cell>
          <cell r="F1195" t="str">
            <v>SP</v>
          </cell>
          <cell r="G1195" t="str">
            <v>166</v>
          </cell>
          <cell r="H1195" t="str">
            <v/>
          </cell>
          <cell r="I1195" t="str">
            <v>11717-175</v>
          </cell>
          <cell r="J1195" t="str">
            <v>997716513</v>
          </cell>
          <cell r="K1195" t="str">
            <v/>
          </cell>
          <cell r="L1195" t="str">
            <v>Masculino</v>
          </cell>
          <cell r="M1195" t="str">
            <v>Parda</v>
          </cell>
          <cell r="N1195">
            <v>26362</v>
          </cell>
          <cell r="O1195" t="str">
            <v>200577943</v>
          </cell>
          <cell r="P1195" t="str">
            <v>SP</v>
          </cell>
          <cell r="Q1195" t="str">
            <v>SSP</v>
          </cell>
          <cell r="R1195" t="str">
            <v>SAO VICENTE</v>
          </cell>
        </row>
        <row r="1196">
          <cell r="A1196" t="str">
            <v>WILAN ZITTEI DA SILVA</v>
          </cell>
          <cell r="B1196" t="str">
            <v>Casado</v>
          </cell>
          <cell r="C1196" t="str">
            <v>R SEBASTIAO PAIVA DE LIMA</v>
          </cell>
          <cell r="D1196" t="str">
            <v>Jardim Progresso (Vi</v>
          </cell>
          <cell r="E1196" t="str">
            <v>GUARUJA</v>
          </cell>
          <cell r="F1196" t="str">
            <v>SP</v>
          </cell>
          <cell r="G1196" t="str">
            <v>68</v>
          </cell>
          <cell r="H1196" t="str">
            <v>CASA B</v>
          </cell>
          <cell r="I1196" t="str">
            <v>11453-250</v>
          </cell>
          <cell r="J1196" t="str">
            <v>996156319</v>
          </cell>
          <cell r="K1196" t="str">
            <v>33424647</v>
          </cell>
          <cell r="L1196" t="str">
            <v>Masculino</v>
          </cell>
          <cell r="M1196" t="str">
            <v>Parda</v>
          </cell>
          <cell r="N1196">
            <v>25894</v>
          </cell>
          <cell r="O1196" t="str">
            <v>20825013X</v>
          </cell>
          <cell r="P1196" t="str">
            <v>SP</v>
          </cell>
          <cell r="Q1196" t="str">
            <v>SSP</v>
          </cell>
          <cell r="R1196" t="str">
            <v>SANTOS</v>
          </cell>
        </row>
        <row r="1197">
          <cell r="A1197" t="str">
            <v>EDUARDO DA COSTA EXALTACAO</v>
          </cell>
          <cell r="B1197" t="str">
            <v>Casado</v>
          </cell>
          <cell r="C1197" t="str">
            <v>R MARCILIO DIAS HOURNEAUX</v>
          </cell>
          <cell r="D1197" t="str">
            <v>Parque das Bandeiras</v>
          </cell>
          <cell r="E1197" t="str">
            <v>SAO VICENTE</v>
          </cell>
          <cell r="F1197" t="str">
            <v>SP</v>
          </cell>
          <cell r="G1197" t="str">
            <v>490</v>
          </cell>
          <cell r="H1197" t="str">
            <v>CASA 01</v>
          </cell>
          <cell r="I1197" t="str">
            <v>11346-050</v>
          </cell>
          <cell r="J1197" t="str">
            <v>996778874</v>
          </cell>
          <cell r="K1197" t="str">
            <v>35768596</v>
          </cell>
          <cell r="L1197" t="str">
            <v>Masculino</v>
          </cell>
          <cell r="M1197" t="str">
            <v>Parda</v>
          </cell>
          <cell r="N1197">
            <v>29803</v>
          </cell>
          <cell r="O1197" t="str">
            <v>301805726</v>
          </cell>
          <cell r="P1197" t="str">
            <v>SP</v>
          </cell>
          <cell r="Q1197" t="str">
            <v>SSP</v>
          </cell>
          <cell r="R1197" t="str">
            <v>CUBATAO</v>
          </cell>
        </row>
        <row r="1198">
          <cell r="A1198" t="str">
            <v>ROBSON OLIVEIRA BARBOSA</v>
          </cell>
          <cell r="B1198" t="str">
            <v>Casado</v>
          </cell>
          <cell r="C1198" t="str">
            <v>R GUARANY</v>
          </cell>
          <cell r="D1198" t="str">
            <v>Parque Sao Vicente</v>
          </cell>
          <cell r="E1198" t="str">
            <v>SAO VICENTE</v>
          </cell>
          <cell r="F1198" t="str">
            <v>SP</v>
          </cell>
          <cell r="G1198" t="str">
            <v>526</v>
          </cell>
          <cell r="H1198" t="str">
            <v>AP 16 B</v>
          </cell>
          <cell r="I1198" t="str">
            <v>11360-000</v>
          </cell>
          <cell r="J1198" t="str">
            <v>996547221</v>
          </cell>
          <cell r="K1198" t="str">
            <v>34615844</v>
          </cell>
          <cell r="L1198" t="str">
            <v>Masculino</v>
          </cell>
          <cell r="M1198" t="str">
            <v>Parda</v>
          </cell>
          <cell r="N1198">
            <v>25482</v>
          </cell>
          <cell r="O1198" t="str">
            <v>221170285</v>
          </cell>
          <cell r="P1198" t="str">
            <v>SP</v>
          </cell>
          <cell r="Q1198" t="str">
            <v>SSP</v>
          </cell>
          <cell r="R1198" t="str">
            <v>SALVADOR</v>
          </cell>
        </row>
        <row r="1199">
          <cell r="A1199" t="str">
            <v>HEWERTON DE SOUZA SANTOS</v>
          </cell>
          <cell r="B1199" t="str">
            <v>Casado</v>
          </cell>
          <cell r="C1199" t="str">
            <v>R JEFERSON DAMIAO DO AMARAL</v>
          </cell>
          <cell r="D1199" t="str">
            <v>Vila Nova</v>
          </cell>
          <cell r="E1199" t="str">
            <v>CUBATAO</v>
          </cell>
          <cell r="F1199" t="str">
            <v>SP</v>
          </cell>
          <cell r="G1199" t="str">
            <v>326</v>
          </cell>
          <cell r="H1199" t="str">
            <v>CASA 1</v>
          </cell>
          <cell r="I1199" t="str">
            <v>11525-050</v>
          </cell>
          <cell r="J1199" t="str">
            <v>988164693</v>
          </cell>
          <cell r="K1199" t="str">
            <v>988164693</v>
          </cell>
          <cell r="L1199" t="str">
            <v>Masculino</v>
          </cell>
          <cell r="M1199" t="str">
            <v>Parda</v>
          </cell>
          <cell r="N1199">
            <v>31878</v>
          </cell>
          <cell r="O1199" t="str">
            <v>421760643</v>
          </cell>
          <cell r="P1199" t="str">
            <v>SP</v>
          </cell>
          <cell r="Q1199" t="str">
            <v>SSP</v>
          </cell>
          <cell r="R1199" t="str">
            <v>SANTOS</v>
          </cell>
        </row>
        <row r="1200">
          <cell r="A1200" t="str">
            <v>EVERTON DA SILVA COSTA</v>
          </cell>
          <cell r="B1200" t="str">
            <v>União Estável</v>
          </cell>
          <cell r="C1200" t="str">
            <v>AV VEREADOR VALTER MELARATO</v>
          </cell>
          <cell r="D1200" t="str">
            <v>Conjunto Residencial Humaitá</v>
          </cell>
          <cell r="E1200" t="str">
            <v>SAO VICENTE</v>
          </cell>
          <cell r="F1200" t="str">
            <v>SP</v>
          </cell>
          <cell r="G1200" t="str">
            <v>419</v>
          </cell>
          <cell r="H1200" t="str">
            <v/>
          </cell>
          <cell r="I1200" t="str">
            <v>11349-300</v>
          </cell>
          <cell r="J1200" t="str">
            <v>997486811</v>
          </cell>
          <cell r="K1200" t="str">
            <v/>
          </cell>
          <cell r="L1200" t="str">
            <v>Masculino</v>
          </cell>
          <cell r="M1200" t="str">
            <v>Parda</v>
          </cell>
          <cell r="N1200">
            <v>30280</v>
          </cell>
          <cell r="O1200" t="str">
            <v>351465091</v>
          </cell>
          <cell r="P1200" t="str">
            <v>SP</v>
          </cell>
          <cell r="Q1200" t="str">
            <v>SSP</v>
          </cell>
          <cell r="R1200" t="str">
            <v>SAO VICENTE</v>
          </cell>
        </row>
        <row r="1201">
          <cell r="A1201" t="str">
            <v>CINTIA DOS SANTOS MORAIS</v>
          </cell>
          <cell r="B1201" t="str">
            <v>Casado</v>
          </cell>
          <cell r="C1201" t="str">
            <v>R BARUERI</v>
          </cell>
          <cell r="D1201" t="str">
            <v>Vila Áurea (Vicente de Carvalho)</v>
          </cell>
          <cell r="E1201" t="str">
            <v>GUARUJA</v>
          </cell>
          <cell r="F1201" t="str">
            <v>SP</v>
          </cell>
          <cell r="G1201" t="str">
            <v>66</v>
          </cell>
          <cell r="H1201" t="str">
            <v/>
          </cell>
          <cell r="I1201" t="str">
            <v>11454-280</v>
          </cell>
          <cell r="J1201" t="str">
            <v>988274234</v>
          </cell>
          <cell r="K1201" t="str">
            <v/>
          </cell>
          <cell r="L1201" t="str">
            <v>Feminino</v>
          </cell>
          <cell r="M1201" t="str">
            <v>Branca</v>
          </cell>
          <cell r="N1201">
            <v>31121</v>
          </cell>
          <cell r="O1201" t="str">
            <v>419572259</v>
          </cell>
          <cell r="P1201" t="str">
            <v>SP</v>
          </cell>
          <cell r="Q1201" t="str">
            <v>SSP</v>
          </cell>
          <cell r="R1201" t="str">
            <v>GUARUJA</v>
          </cell>
        </row>
        <row r="1202">
          <cell r="A1202" t="str">
            <v>JENIFFER VIEIRA</v>
          </cell>
          <cell r="B1202" t="str">
            <v>Solteiro</v>
          </cell>
          <cell r="C1202" t="str">
            <v>R DO MEIO</v>
          </cell>
          <cell r="D1202" t="str">
            <v>Vila Margarida</v>
          </cell>
          <cell r="E1202" t="str">
            <v>SAO VICENTE</v>
          </cell>
          <cell r="F1202" t="str">
            <v>SP</v>
          </cell>
          <cell r="G1202" t="str">
            <v>11</v>
          </cell>
          <cell r="H1202" t="str">
            <v>BLOCO H AP 31</v>
          </cell>
          <cell r="I1202" t="str">
            <v>11330-710</v>
          </cell>
          <cell r="J1202" t="str">
            <v>991732616</v>
          </cell>
          <cell r="K1202" t="str">
            <v>991732616</v>
          </cell>
          <cell r="L1202" t="str">
            <v>Feminino</v>
          </cell>
          <cell r="M1202" t="str">
            <v>Parda</v>
          </cell>
          <cell r="N1202">
            <v>32554</v>
          </cell>
          <cell r="O1202" t="str">
            <v>447781765</v>
          </cell>
          <cell r="P1202" t="str">
            <v>SP</v>
          </cell>
          <cell r="Q1202" t="str">
            <v>SSP</v>
          </cell>
          <cell r="R1202" t="str">
            <v>SANTOS</v>
          </cell>
        </row>
        <row r="1203">
          <cell r="A1203" t="str">
            <v>SAMIRA RUBIA OLIVEIRA ALVES DOS SANTOS</v>
          </cell>
          <cell r="B1203" t="str">
            <v>Casado</v>
          </cell>
          <cell r="C1203" t="str">
            <v>R NUNO HENRIQUE</v>
          </cell>
          <cell r="D1203" t="str">
            <v>Samaritá</v>
          </cell>
          <cell r="E1203" t="str">
            <v>SAO VICENTE</v>
          </cell>
          <cell r="F1203" t="str">
            <v>SP</v>
          </cell>
          <cell r="G1203" t="str">
            <v>150</v>
          </cell>
          <cell r="H1203" t="str">
            <v>BLOCO 3 AP 11</v>
          </cell>
          <cell r="I1203" t="str">
            <v>11345-515</v>
          </cell>
          <cell r="J1203" t="str">
            <v>988251592</v>
          </cell>
          <cell r="K1203" t="str">
            <v/>
          </cell>
          <cell r="L1203" t="str">
            <v>Feminino</v>
          </cell>
          <cell r="M1203" t="str">
            <v>Parda</v>
          </cell>
          <cell r="N1203">
            <v>28555</v>
          </cell>
          <cell r="O1203" t="str">
            <v>295015585</v>
          </cell>
          <cell r="P1203" t="str">
            <v>SP</v>
          </cell>
          <cell r="Q1203" t="str">
            <v>SSP</v>
          </cell>
          <cell r="R1203" t="str">
            <v>SAO VICENTE</v>
          </cell>
        </row>
        <row r="1204">
          <cell r="A1204" t="str">
            <v>ANDERSON VELACE</v>
          </cell>
          <cell r="B1204" t="str">
            <v>Casado</v>
          </cell>
          <cell r="C1204" t="str">
            <v>R VERGUEIRO STEIDEL</v>
          </cell>
          <cell r="D1204" t="str">
            <v>Embaré</v>
          </cell>
          <cell r="E1204" t="str">
            <v>SANTOS</v>
          </cell>
          <cell r="F1204" t="str">
            <v>SP</v>
          </cell>
          <cell r="G1204" t="str">
            <v>81</v>
          </cell>
          <cell r="H1204" t="str">
            <v>BLOCO C AP 16</v>
          </cell>
          <cell r="I1204" t="str">
            <v>11040-270</v>
          </cell>
          <cell r="J1204" t="str">
            <v>33023235</v>
          </cell>
          <cell r="K1204" t="str">
            <v>991236872</v>
          </cell>
          <cell r="L1204" t="str">
            <v>Masculino</v>
          </cell>
          <cell r="M1204" t="str">
            <v>Parda</v>
          </cell>
          <cell r="N1204">
            <v>28709</v>
          </cell>
          <cell r="O1204" t="str">
            <v>303743244</v>
          </cell>
          <cell r="P1204" t="str">
            <v>SP</v>
          </cell>
          <cell r="Q1204" t="str">
            <v>SSP</v>
          </cell>
          <cell r="R1204" t="str">
            <v>SAO PAULO</v>
          </cell>
        </row>
        <row r="1205">
          <cell r="A1205" t="str">
            <v>ALEX JESUS DA CRUZ</v>
          </cell>
          <cell r="B1205" t="str">
            <v>Divorciado</v>
          </cell>
          <cell r="C1205" t="str">
            <v>R EDUARDO RIZK</v>
          </cell>
          <cell r="D1205" t="str">
            <v>Jardim Belmar - Enseada</v>
          </cell>
          <cell r="E1205" t="str">
            <v>GUARUJA</v>
          </cell>
          <cell r="F1205" t="str">
            <v>SP</v>
          </cell>
          <cell r="G1205" t="str">
            <v>1130</v>
          </cell>
          <cell r="H1205" t="str">
            <v/>
          </cell>
          <cell r="I1205" t="str">
            <v>11441-140</v>
          </cell>
          <cell r="J1205" t="str">
            <v>33924283</v>
          </cell>
          <cell r="K1205" t="str">
            <v>981925425</v>
          </cell>
          <cell r="L1205" t="str">
            <v>Masculino</v>
          </cell>
          <cell r="M1205" t="str">
            <v>Parda</v>
          </cell>
          <cell r="N1205">
            <v>31343</v>
          </cell>
          <cell r="O1205" t="str">
            <v>427816944</v>
          </cell>
          <cell r="P1205" t="str">
            <v>SP</v>
          </cell>
          <cell r="Q1205" t="str">
            <v>SSP</v>
          </cell>
          <cell r="R1205" t="str">
            <v>GUARUJA</v>
          </cell>
        </row>
        <row r="1206">
          <cell r="A1206" t="str">
            <v>ADILSON DANTAS NASCIMENTO</v>
          </cell>
          <cell r="B1206" t="str">
            <v>Casado</v>
          </cell>
          <cell r="C1206" t="str">
            <v>R ALEXANDRE FLEMING</v>
          </cell>
          <cell r="D1206" t="str">
            <v>Aparecida</v>
          </cell>
          <cell r="E1206" t="str">
            <v>SANTOS</v>
          </cell>
          <cell r="F1206" t="str">
            <v>SP</v>
          </cell>
          <cell r="G1206" t="str">
            <v>341</v>
          </cell>
          <cell r="H1206" t="str">
            <v>AP 33</v>
          </cell>
          <cell r="I1206" t="str">
            <v>11040-010</v>
          </cell>
          <cell r="J1206" t="str">
            <v>974163409</v>
          </cell>
          <cell r="K1206" t="str">
            <v/>
          </cell>
          <cell r="L1206" t="str">
            <v>Masculino</v>
          </cell>
          <cell r="M1206" t="str">
            <v>Parda</v>
          </cell>
          <cell r="N1206">
            <v>29740</v>
          </cell>
          <cell r="O1206" t="str">
            <v>277714230</v>
          </cell>
          <cell r="P1206" t="str">
            <v>SP</v>
          </cell>
          <cell r="Q1206" t="str">
            <v>SSP</v>
          </cell>
          <cell r="R1206" t="str">
            <v>SANTOS</v>
          </cell>
        </row>
        <row r="1207">
          <cell r="A1207" t="str">
            <v>ALEX ALMEIDA DOS SANTOS</v>
          </cell>
          <cell r="B1207" t="str">
            <v>Casado</v>
          </cell>
          <cell r="C1207" t="str">
            <v>R SAO JOAO</v>
          </cell>
          <cell r="D1207" t="str">
            <v>Sítio Paecara (Vicente de Carvalho)</v>
          </cell>
          <cell r="E1207" t="str">
            <v>GUARUJA</v>
          </cell>
          <cell r="F1207" t="str">
            <v>SP</v>
          </cell>
          <cell r="G1207" t="str">
            <v>461</v>
          </cell>
          <cell r="H1207" t="str">
            <v>FUNDOS</v>
          </cell>
          <cell r="I1207" t="str">
            <v>11461-090</v>
          </cell>
          <cell r="J1207" t="str">
            <v>991744998</v>
          </cell>
          <cell r="K1207" t="str">
            <v/>
          </cell>
          <cell r="L1207" t="str">
            <v>Masculino</v>
          </cell>
          <cell r="M1207" t="str">
            <v>Parda</v>
          </cell>
          <cell r="N1207">
            <v>31009</v>
          </cell>
          <cell r="O1207" t="str">
            <v>407745452</v>
          </cell>
          <cell r="P1207" t="str">
            <v>SP</v>
          </cell>
          <cell r="Q1207" t="str">
            <v>SSP</v>
          </cell>
          <cell r="R1207" t="str">
            <v>GUARUJA</v>
          </cell>
        </row>
        <row r="1208">
          <cell r="A1208" t="str">
            <v>CAIO HENRIQUE DOS SANTOS RODRIGUES</v>
          </cell>
          <cell r="B1208" t="str">
            <v>Casado</v>
          </cell>
          <cell r="C1208" t="str">
            <v>R ARGENTINA</v>
          </cell>
          <cell r="D1208" t="str">
            <v>Enseada</v>
          </cell>
          <cell r="E1208" t="str">
            <v>GUARUJA</v>
          </cell>
          <cell r="F1208" t="str">
            <v>SP</v>
          </cell>
          <cell r="G1208" t="str">
            <v>715</v>
          </cell>
          <cell r="H1208" t="str">
            <v>AP 11</v>
          </cell>
          <cell r="I1208" t="str">
            <v>11440-370</v>
          </cell>
          <cell r="J1208" t="str">
            <v>988146858</v>
          </cell>
          <cell r="K1208" t="str">
            <v/>
          </cell>
          <cell r="L1208" t="str">
            <v>Masculino</v>
          </cell>
          <cell r="M1208" t="str">
            <v>Parda</v>
          </cell>
          <cell r="N1208">
            <v>33560</v>
          </cell>
          <cell r="O1208" t="str">
            <v>486088625</v>
          </cell>
          <cell r="P1208" t="str">
            <v>SP</v>
          </cell>
          <cell r="Q1208" t="str">
            <v>SSP</v>
          </cell>
          <cell r="R1208" t="str">
            <v>GUARUJA</v>
          </cell>
        </row>
        <row r="1209">
          <cell r="A1209" t="str">
            <v>ALLISON DA COSTA DE FREITAS</v>
          </cell>
          <cell r="B1209" t="str">
            <v>Solteiro</v>
          </cell>
          <cell r="C1209" t="str">
            <v>R MANOEL DA CRUZ MICHAEL</v>
          </cell>
          <cell r="D1209" t="str">
            <v>Jardim São Manoel</v>
          </cell>
          <cell r="E1209" t="str">
            <v>GUARUJA</v>
          </cell>
          <cell r="F1209" t="str">
            <v>SP</v>
          </cell>
          <cell r="G1209" t="str">
            <v>794</v>
          </cell>
          <cell r="H1209" t="str">
            <v>FUNDOS</v>
          </cell>
          <cell r="I1209" t="str">
            <v>11430-090</v>
          </cell>
          <cell r="J1209" t="str">
            <v>982152599</v>
          </cell>
          <cell r="K1209" t="str">
            <v/>
          </cell>
          <cell r="L1209" t="str">
            <v>Masculino</v>
          </cell>
          <cell r="M1209" t="str">
            <v>Parda</v>
          </cell>
          <cell r="N1209">
            <v>34764</v>
          </cell>
          <cell r="O1209" t="str">
            <v>466241872</v>
          </cell>
          <cell r="P1209" t="str">
            <v>SP</v>
          </cell>
          <cell r="Q1209" t="str">
            <v>SSP</v>
          </cell>
          <cell r="R1209" t="str">
            <v>GUARUJA</v>
          </cell>
        </row>
        <row r="1210">
          <cell r="A1210" t="str">
            <v>CHARLES SILVA DA COSTA</v>
          </cell>
          <cell r="B1210" t="str">
            <v>Casado</v>
          </cell>
          <cell r="C1210" t="str">
            <v>R BEIRA MAR</v>
          </cell>
          <cell r="D1210" t="str">
            <v>Sítio Paecara (Vicente de Carvalho)</v>
          </cell>
          <cell r="E1210" t="str">
            <v>GUARUJA</v>
          </cell>
          <cell r="F1210" t="str">
            <v>SP</v>
          </cell>
          <cell r="G1210" t="str">
            <v>41</v>
          </cell>
          <cell r="H1210" t="str">
            <v/>
          </cell>
          <cell r="I1210" t="str">
            <v>11450-490</v>
          </cell>
          <cell r="J1210" t="str">
            <v>974146936</v>
          </cell>
          <cell r="K1210" t="str">
            <v>33411802</v>
          </cell>
          <cell r="L1210" t="str">
            <v>Masculino</v>
          </cell>
          <cell r="M1210" t="str">
            <v>Parda</v>
          </cell>
          <cell r="N1210">
            <v>31409</v>
          </cell>
          <cell r="O1210" t="str">
            <v>34352210X</v>
          </cell>
          <cell r="P1210" t="str">
            <v>SP</v>
          </cell>
          <cell r="Q1210" t="str">
            <v>SSP</v>
          </cell>
          <cell r="R1210" t="str">
            <v>GUARUJA</v>
          </cell>
        </row>
        <row r="1211">
          <cell r="A1211" t="str">
            <v>JULIANA RODRIGUES DOS SANTOS</v>
          </cell>
          <cell r="B1211" t="str">
            <v>Casado</v>
          </cell>
          <cell r="C1211" t="str">
            <v>AV JORN PAULO MATOS</v>
          </cell>
          <cell r="D1211" t="str">
            <v>Areia Branca</v>
          </cell>
          <cell r="E1211" t="str">
            <v>SANTOS</v>
          </cell>
          <cell r="F1211" t="str">
            <v>SP</v>
          </cell>
          <cell r="G1211" t="str">
            <v>239</v>
          </cell>
          <cell r="H1211" t="str">
            <v>BLOCO A AP 91</v>
          </cell>
          <cell r="I1211" t="str">
            <v>11086-495</v>
          </cell>
          <cell r="J1211" t="str">
            <v>974045448</v>
          </cell>
          <cell r="K1211" t="str">
            <v/>
          </cell>
          <cell r="L1211" t="str">
            <v>Feminino</v>
          </cell>
          <cell r="M1211" t="str">
            <v>Parda</v>
          </cell>
          <cell r="N1211">
            <v>32902</v>
          </cell>
          <cell r="O1211" t="str">
            <v>46387075X</v>
          </cell>
          <cell r="P1211" t="str">
            <v>SP</v>
          </cell>
          <cell r="Q1211" t="str">
            <v>SSP</v>
          </cell>
          <cell r="R1211" t="str">
            <v>SAO BERNARDO DO CAMPO</v>
          </cell>
        </row>
        <row r="1212">
          <cell r="A1212" t="str">
            <v>NEURANALDO FONTES FIGUEREDO</v>
          </cell>
          <cell r="B1212" t="str">
            <v>Casado</v>
          </cell>
          <cell r="C1212" t="str">
            <v>R VINTE E CINCO DE DEZEMBRO</v>
          </cell>
          <cell r="D1212" t="str">
            <v>Vila Natal</v>
          </cell>
          <cell r="E1212" t="str">
            <v>CUBATAO</v>
          </cell>
          <cell r="F1212" t="str">
            <v>SP</v>
          </cell>
          <cell r="G1212" t="str">
            <v>237</v>
          </cell>
          <cell r="H1212" t="str">
            <v>CASA 2</v>
          </cell>
          <cell r="I1212" t="str">
            <v>11538-000</v>
          </cell>
          <cell r="J1212" t="str">
            <v>988298989</v>
          </cell>
          <cell r="K1212" t="str">
            <v/>
          </cell>
          <cell r="L1212" t="str">
            <v>Masculino</v>
          </cell>
          <cell r="M1212" t="str">
            <v>Parda</v>
          </cell>
          <cell r="N1212">
            <v>33406</v>
          </cell>
          <cell r="O1212" t="str">
            <v>486038397</v>
          </cell>
          <cell r="P1212" t="str">
            <v>SP</v>
          </cell>
          <cell r="Q1212" t="str">
            <v>SSP</v>
          </cell>
          <cell r="R1212" t="str">
            <v>CUBATAO</v>
          </cell>
        </row>
        <row r="1213">
          <cell r="A1213" t="str">
            <v>EDUARDO MENEZES SANTOS</v>
          </cell>
          <cell r="B1213" t="str">
            <v>Solteiro</v>
          </cell>
          <cell r="C1213" t="str">
            <v>R MONTE VERDE</v>
          </cell>
          <cell r="D1213" t="str">
            <v>Jardim Irmã Dolores</v>
          </cell>
          <cell r="E1213" t="str">
            <v>SAO VICENTE</v>
          </cell>
          <cell r="F1213" t="str">
            <v>SP</v>
          </cell>
          <cell r="G1213" t="str">
            <v>561</v>
          </cell>
          <cell r="H1213" t="str">
            <v/>
          </cell>
          <cell r="I1213" t="str">
            <v>01347-640</v>
          </cell>
          <cell r="J1213" t="str">
            <v>996392509</v>
          </cell>
          <cell r="K1213" t="str">
            <v>997620397</v>
          </cell>
          <cell r="L1213" t="str">
            <v>Masculino</v>
          </cell>
          <cell r="M1213" t="str">
            <v>Parda</v>
          </cell>
          <cell r="N1213">
            <v>31741</v>
          </cell>
          <cell r="O1213" t="str">
            <v>44139999X</v>
          </cell>
          <cell r="P1213" t="str">
            <v>SP</v>
          </cell>
          <cell r="Q1213" t="str">
            <v>SSP</v>
          </cell>
          <cell r="R1213" t="str">
            <v>SANTOS</v>
          </cell>
        </row>
        <row r="1214">
          <cell r="A1214" t="str">
            <v>MARIO SERGIO PENHA</v>
          </cell>
          <cell r="B1214" t="str">
            <v>União Estável</v>
          </cell>
          <cell r="C1214" t="str">
            <v>AV DOUTOR MOURA RIBEIRO</v>
          </cell>
          <cell r="D1214" t="str">
            <v>Marapé</v>
          </cell>
          <cell r="E1214" t="str">
            <v>SANTOS</v>
          </cell>
          <cell r="F1214" t="str">
            <v>SP</v>
          </cell>
          <cell r="G1214" t="str">
            <v>125</v>
          </cell>
          <cell r="H1214" t="str">
            <v>AP 154 C</v>
          </cell>
          <cell r="I1214" t="str">
            <v>11070-061</v>
          </cell>
          <cell r="J1214" t="str">
            <v>974099204</v>
          </cell>
          <cell r="K1214" t="str">
            <v/>
          </cell>
          <cell r="L1214" t="str">
            <v>Masculino</v>
          </cell>
          <cell r="M1214" t="str">
            <v>Parda</v>
          </cell>
          <cell r="N1214">
            <v>27089</v>
          </cell>
          <cell r="O1214" t="str">
            <v>262513535</v>
          </cell>
          <cell r="P1214" t="str">
            <v>SP</v>
          </cell>
          <cell r="Q1214" t="str">
            <v>SSP</v>
          </cell>
          <cell r="R1214" t="str">
            <v>PRESIDENTE PRUDENTE</v>
          </cell>
        </row>
        <row r="1215">
          <cell r="A1215" t="str">
            <v>DOUGLAS DO CARMO RODRIGUES</v>
          </cell>
          <cell r="B1215" t="str">
            <v>Solteiro</v>
          </cell>
          <cell r="C1215" t="str">
            <v>R MARCILIO DIAS HOURNEAUX</v>
          </cell>
          <cell r="D1215" t="str">
            <v>Parque das Bandeiras</v>
          </cell>
          <cell r="E1215" t="str">
            <v>SAO VICENTE</v>
          </cell>
          <cell r="F1215" t="str">
            <v>SP</v>
          </cell>
          <cell r="G1215" t="str">
            <v>620</v>
          </cell>
          <cell r="H1215" t="str">
            <v/>
          </cell>
          <cell r="I1215" t="str">
            <v>11346-050</v>
          </cell>
          <cell r="J1215" t="str">
            <v>996015171</v>
          </cell>
          <cell r="K1215" t="str">
            <v/>
          </cell>
          <cell r="L1215" t="str">
            <v>Masculino</v>
          </cell>
          <cell r="M1215" t="str">
            <v>Parda</v>
          </cell>
          <cell r="N1215">
            <v>33435</v>
          </cell>
          <cell r="O1215" t="str">
            <v>480097902</v>
          </cell>
          <cell r="P1215" t="str">
            <v>SP</v>
          </cell>
          <cell r="Q1215" t="str">
            <v>SSP</v>
          </cell>
          <cell r="R1215" t="str">
            <v>SANTOS</v>
          </cell>
        </row>
        <row r="1216">
          <cell r="A1216" t="str">
            <v>EMERSON BRITO SANTOS</v>
          </cell>
          <cell r="B1216" t="str">
            <v>Casado</v>
          </cell>
          <cell r="C1216" t="str">
            <v>R OSTREIRAS</v>
          </cell>
          <cell r="D1216" t="str">
            <v>Jardim Santa Maria</v>
          </cell>
          <cell r="E1216" t="str">
            <v>GUARUJA</v>
          </cell>
          <cell r="F1216" t="str">
            <v>SP</v>
          </cell>
          <cell r="G1216" t="str">
            <v>22</v>
          </cell>
          <cell r="H1216" t="str">
            <v>AP 26</v>
          </cell>
          <cell r="I1216" t="str">
            <v>11432-080</v>
          </cell>
          <cell r="J1216" t="str">
            <v>991150144</v>
          </cell>
          <cell r="K1216" t="str">
            <v/>
          </cell>
          <cell r="L1216" t="str">
            <v>Masculino</v>
          </cell>
          <cell r="M1216" t="str">
            <v>Parda</v>
          </cell>
          <cell r="N1216">
            <v>31593</v>
          </cell>
          <cell r="O1216" t="str">
            <v>420993332</v>
          </cell>
          <cell r="P1216" t="str">
            <v>SP</v>
          </cell>
          <cell r="Q1216" t="str">
            <v>SSP</v>
          </cell>
          <cell r="R1216" t="str">
            <v>ITABUNA</v>
          </cell>
        </row>
        <row r="1217">
          <cell r="A1217" t="str">
            <v>LUIS FERNANDO DA SILVA PINHO</v>
          </cell>
          <cell r="B1217" t="str">
            <v>Solteiro</v>
          </cell>
          <cell r="C1217" t="str">
            <v>R PROF NELSON ESPINDOLA LOBATO</v>
          </cell>
          <cell r="D1217" t="str">
            <v>Rádio Clube</v>
          </cell>
          <cell r="E1217" t="str">
            <v>SANTOS</v>
          </cell>
          <cell r="F1217" t="str">
            <v>SP</v>
          </cell>
          <cell r="G1217" t="str">
            <v>270</v>
          </cell>
          <cell r="H1217" t="str">
            <v>BLOCO E1 AP 51</v>
          </cell>
          <cell r="I1217" t="str">
            <v>11088-330</v>
          </cell>
          <cell r="J1217" t="str">
            <v>981336454</v>
          </cell>
          <cell r="K1217" t="str">
            <v>9819066698</v>
          </cell>
          <cell r="L1217" t="str">
            <v>Masculino</v>
          </cell>
          <cell r="M1217" t="str">
            <v>Parda</v>
          </cell>
          <cell r="N1217">
            <v>37442</v>
          </cell>
          <cell r="O1217" t="str">
            <v>557662266</v>
          </cell>
          <cell r="P1217" t="str">
            <v>SP</v>
          </cell>
          <cell r="Q1217" t="str">
            <v>SSP</v>
          </cell>
          <cell r="R1217" t="str">
            <v>GUARUJA</v>
          </cell>
        </row>
        <row r="1218">
          <cell r="A1218" t="str">
            <v>JULIO CESAR SALGADO ARRUDA</v>
          </cell>
          <cell r="B1218" t="str">
            <v>Solteiro</v>
          </cell>
          <cell r="C1218" t="str">
            <v>R IGUAPE</v>
          </cell>
          <cell r="D1218" t="str">
            <v>Saboó</v>
          </cell>
          <cell r="E1218" t="str">
            <v>SANTOS</v>
          </cell>
          <cell r="F1218" t="str">
            <v>SP</v>
          </cell>
          <cell r="G1218" t="str">
            <v>525</v>
          </cell>
          <cell r="H1218" t="str">
            <v>BLOCO B AP 94</v>
          </cell>
          <cell r="I1218" t="str">
            <v>11085-170</v>
          </cell>
          <cell r="J1218" t="str">
            <v>982055224</v>
          </cell>
          <cell r="K1218" t="str">
            <v/>
          </cell>
          <cell r="L1218" t="str">
            <v>Masculino</v>
          </cell>
          <cell r="M1218" t="str">
            <v>Branca</v>
          </cell>
          <cell r="N1218">
            <v>34090</v>
          </cell>
          <cell r="O1218" t="str">
            <v>492617569</v>
          </cell>
          <cell r="P1218" t="str">
            <v>SP</v>
          </cell>
          <cell r="Q1218" t="str">
            <v>SSP</v>
          </cell>
          <cell r="R1218" t="str">
            <v>ITANHAEM</v>
          </cell>
        </row>
        <row r="1219">
          <cell r="A1219" t="str">
            <v>NATANAEL SANTOS DE OLIVEIRA</v>
          </cell>
          <cell r="B1219" t="str">
            <v>Solteiro</v>
          </cell>
          <cell r="C1219" t="str">
            <v>R DOZE</v>
          </cell>
          <cell r="D1219" t="str">
            <v>Parque das Bandeiras</v>
          </cell>
          <cell r="E1219" t="str">
            <v>SAO VICENTE</v>
          </cell>
          <cell r="F1219" t="str">
            <v>SP</v>
          </cell>
          <cell r="G1219" t="str">
            <v>100</v>
          </cell>
          <cell r="H1219" t="str">
            <v>FUNDOS</v>
          </cell>
          <cell r="I1219" t="str">
            <v>11346-420</v>
          </cell>
          <cell r="J1219" t="str">
            <v>991671911</v>
          </cell>
          <cell r="K1219" t="str">
            <v/>
          </cell>
          <cell r="L1219" t="str">
            <v>Masculino</v>
          </cell>
          <cell r="M1219" t="str">
            <v>Parda</v>
          </cell>
          <cell r="N1219">
            <v>30675</v>
          </cell>
          <cell r="O1219" t="str">
            <v>441075046</v>
          </cell>
          <cell r="P1219" t="str">
            <v>SP</v>
          </cell>
          <cell r="Q1219" t="str">
            <v>SSP</v>
          </cell>
          <cell r="R1219" t="str">
            <v>CUBATAO</v>
          </cell>
        </row>
        <row r="1220">
          <cell r="A1220" t="str">
            <v>MATHEUS RAYMUNDO GONZAGA DA SILVA</v>
          </cell>
          <cell r="B1220" t="str">
            <v>Casado</v>
          </cell>
          <cell r="C1220" t="str">
            <v>R DUARTE DA COSTA</v>
          </cell>
          <cell r="D1220" t="str">
            <v>Aviação</v>
          </cell>
          <cell r="E1220" t="str">
            <v>PRAIA GRANDE</v>
          </cell>
          <cell r="F1220" t="str">
            <v>SP</v>
          </cell>
          <cell r="G1220" t="str">
            <v>120</v>
          </cell>
          <cell r="H1220" t="str">
            <v>AP 509</v>
          </cell>
          <cell r="I1220" t="str">
            <v>11702-650</v>
          </cell>
          <cell r="J1220" t="str">
            <v>991706293</v>
          </cell>
          <cell r="K1220" t="str">
            <v/>
          </cell>
          <cell r="L1220" t="str">
            <v>Masculino</v>
          </cell>
          <cell r="M1220" t="str">
            <v>Parda</v>
          </cell>
          <cell r="N1220">
            <v>34214</v>
          </cell>
          <cell r="O1220" t="str">
            <v>442962654</v>
          </cell>
          <cell r="P1220" t="str">
            <v>SP</v>
          </cell>
          <cell r="Q1220" t="str">
            <v>SSP</v>
          </cell>
          <cell r="R1220" t="str">
            <v>SANTOS</v>
          </cell>
        </row>
        <row r="1221">
          <cell r="A1221" t="str">
            <v>LUCIANA TEREZA BARBOSA</v>
          </cell>
          <cell r="B1221" t="str">
            <v>Divorciado</v>
          </cell>
          <cell r="C1221" t="str">
            <v>R CANDIDO RODRIGUES</v>
          </cell>
          <cell r="D1221" t="str">
            <v>Centro</v>
          </cell>
          <cell r="E1221" t="str">
            <v>SAO VICENTE</v>
          </cell>
          <cell r="F1221" t="str">
            <v>SP</v>
          </cell>
          <cell r="G1221" t="str">
            <v>118</v>
          </cell>
          <cell r="H1221" t="str">
            <v>AP 61</v>
          </cell>
          <cell r="I1221" t="str">
            <v>11320-050</v>
          </cell>
          <cell r="J1221" t="str">
            <v>991315610</v>
          </cell>
          <cell r="K1221" t="str">
            <v>33238028</v>
          </cell>
          <cell r="L1221" t="str">
            <v>Feminino</v>
          </cell>
          <cell r="M1221" t="str">
            <v>Parda</v>
          </cell>
          <cell r="N1221">
            <v>29315</v>
          </cell>
          <cell r="O1221" t="str">
            <v>404923781</v>
          </cell>
          <cell r="P1221" t="str">
            <v>SP</v>
          </cell>
          <cell r="Q1221" t="str">
            <v>SSP</v>
          </cell>
          <cell r="R1221" t="str">
            <v>SAO VICENTE</v>
          </cell>
        </row>
        <row r="1222">
          <cell r="A1222" t="str">
            <v>FLAVIO TERTULIANO DA CRUZ</v>
          </cell>
          <cell r="B1222" t="str">
            <v>Casado</v>
          </cell>
          <cell r="C1222" t="str">
            <v>R AFONSO BRAS</v>
          </cell>
          <cell r="D1222" t="str">
            <v>Cidade Naútica</v>
          </cell>
          <cell r="E1222" t="str">
            <v>SAO VICENTE</v>
          </cell>
          <cell r="F1222" t="str">
            <v>SP</v>
          </cell>
          <cell r="G1222" t="str">
            <v>119</v>
          </cell>
          <cell r="H1222" t="str">
            <v>CASA 1</v>
          </cell>
          <cell r="I1222" t="str">
            <v>11350-390</v>
          </cell>
          <cell r="J1222" t="str">
            <v>991299176</v>
          </cell>
          <cell r="K1222" t="str">
            <v/>
          </cell>
          <cell r="L1222" t="str">
            <v>Masculino</v>
          </cell>
          <cell r="M1222" t="str">
            <v>Parda</v>
          </cell>
          <cell r="N1222">
            <v>26332</v>
          </cell>
          <cell r="O1222" t="str">
            <v>225479710</v>
          </cell>
          <cell r="P1222" t="str">
            <v>SP</v>
          </cell>
          <cell r="Q1222" t="str">
            <v>SSP</v>
          </cell>
          <cell r="R1222" t="str">
            <v>SANTOS</v>
          </cell>
        </row>
        <row r="1223">
          <cell r="A1223" t="str">
            <v>CARLOS ALBERTO NOVAIS</v>
          </cell>
          <cell r="B1223" t="str">
            <v>Casado</v>
          </cell>
          <cell r="C1223" t="str">
            <v>AV PREF DR ANTONIO MANOEL DE CARVALHO</v>
          </cell>
          <cell r="D1223" t="str">
            <v>Morro Nova Cintra</v>
          </cell>
          <cell r="E1223" t="str">
            <v>SANTOS</v>
          </cell>
          <cell r="F1223" t="str">
            <v>SP</v>
          </cell>
          <cell r="G1223" t="str">
            <v>780</v>
          </cell>
          <cell r="H1223" t="str">
            <v>BLOCO A AP 61</v>
          </cell>
          <cell r="I1223" t="str">
            <v>11080-100</v>
          </cell>
          <cell r="J1223" t="str">
            <v>982209894</v>
          </cell>
          <cell r="K1223" t="str">
            <v>32999846</v>
          </cell>
          <cell r="L1223" t="str">
            <v>Masculino</v>
          </cell>
          <cell r="M1223" t="str">
            <v>Parda</v>
          </cell>
          <cell r="N1223">
            <v>22750</v>
          </cell>
          <cell r="O1223" t="str">
            <v>152880057</v>
          </cell>
          <cell r="P1223" t="str">
            <v>SP</v>
          </cell>
          <cell r="Q1223" t="str">
            <v>SSP</v>
          </cell>
          <cell r="R1223" t="str">
            <v>SANTOS</v>
          </cell>
        </row>
        <row r="1224">
          <cell r="A1224" t="str">
            <v>GILSON RIBEIRO DO NASCIMENTO</v>
          </cell>
          <cell r="B1224" t="str">
            <v>Casado</v>
          </cell>
          <cell r="C1224" t="str">
            <v>R VERGUEIRO STEIDEL</v>
          </cell>
          <cell r="D1224" t="str">
            <v>Aparecida</v>
          </cell>
          <cell r="E1224" t="str">
            <v>SANTOS</v>
          </cell>
          <cell r="F1224" t="str">
            <v>SP</v>
          </cell>
          <cell r="G1224" t="str">
            <v>351</v>
          </cell>
          <cell r="H1224" t="str">
            <v>BL 3 AP 306</v>
          </cell>
          <cell r="I1224" t="str">
            <v>11040-271</v>
          </cell>
          <cell r="J1224" t="str">
            <v>996261291</v>
          </cell>
          <cell r="K1224" t="str">
            <v>33234933</v>
          </cell>
          <cell r="L1224" t="str">
            <v>Masculino</v>
          </cell>
          <cell r="M1224" t="str">
            <v>Parda</v>
          </cell>
          <cell r="N1224">
            <v>26817</v>
          </cell>
          <cell r="O1224" t="str">
            <v>255691452</v>
          </cell>
          <cell r="P1224" t="str">
            <v>SP</v>
          </cell>
          <cell r="Q1224" t="str">
            <v>SSP</v>
          </cell>
          <cell r="R1224" t="str">
            <v>SANTOS</v>
          </cell>
        </row>
        <row r="1225">
          <cell r="A1225" t="str">
            <v>ALEX DO NASCIMENTO</v>
          </cell>
          <cell r="B1225" t="str">
            <v>Casado</v>
          </cell>
          <cell r="C1225" t="str">
            <v>R DELFINO STOCKELER DE LIMA</v>
          </cell>
          <cell r="D1225" t="str">
            <v>Vila Belmiro</v>
          </cell>
          <cell r="E1225" t="str">
            <v>SANTOS</v>
          </cell>
          <cell r="F1225" t="str">
            <v>SP</v>
          </cell>
          <cell r="G1225" t="str">
            <v>37</v>
          </cell>
          <cell r="H1225" t="str">
            <v/>
          </cell>
          <cell r="I1225" t="str">
            <v>11070-180</v>
          </cell>
          <cell r="J1225" t="str">
            <v>974023700</v>
          </cell>
          <cell r="K1225" t="str">
            <v>974080846</v>
          </cell>
          <cell r="L1225" t="str">
            <v>Masculino</v>
          </cell>
          <cell r="M1225" t="str">
            <v>Parda</v>
          </cell>
          <cell r="N1225">
            <v>28654</v>
          </cell>
          <cell r="O1225" t="str">
            <v>30459992</v>
          </cell>
          <cell r="P1225" t="str">
            <v>SP</v>
          </cell>
          <cell r="Q1225" t="str">
            <v>SSP</v>
          </cell>
          <cell r="R1225" t="str">
            <v>GUARUJA</v>
          </cell>
        </row>
        <row r="1226">
          <cell r="A1226" t="str">
            <v>ALEX SALVADOR DA SILVA</v>
          </cell>
          <cell r="B1226" t="str">
            <v>Casado</v>
          </cell>
          <cell r="C1226" t="str">
            <v>TR 390 - MORRINHOS III</v>
          </cell>
          <cell r="D1226" t="str">
            <v>Morrinhos 3</v>
          </cell>
          <cell r="E1226" t="str">
            <v>GUARUJA</v>
          </cell>
          <cell r="F1226" t="str">
            <v>SP</v>
          </cell>
          <cell r="G1226" t="str">
            <v>13</v>
          </cell>
          <cell r="H1226" t="str">
            <v>QD 126 B LT 13</v>
          </cell>
          <cell r="I1226" t="str">
            <v>11430-000</v>
          </cell>
          <cell r="J1226" t="str">
            <v>974125155</v>
          </cell>
          <cell r="K1226" t="str">
            <v>974176691</v>
          </cell>
          <cell r="L1226" t="str">
            <v>Masculino</v>
          </cell>
          <cell r="M1226" t="str">
            <v>Parda</v>
          </cell>
          <cell r="N1226">
            <v>28193</v>
          </cell>
          <cell r="O1226" t="str">
            <v>320705237</v>
          </cell>
          <cell r="P1226" t="str">
            <v>SP</v>
          </cell>
          <cell r="Q1226" t="str">
            <v>SSP</v>
          </cell>
          <cell r="R1226" t="str">
            <v>GUARUJA</v>
          </cell>
        </row>
        <row r="1227">
          <cell r="A1227" t="str">
            <v>BENJAMIM VILAR DE MEDEIROS</v>
          </cell>
          <cell r="B1227" t="str">
            <v>Casado</v>
          </cell>
          <cell r="C1227" t="str">
            <v>R TAMOYOS</v>
          </cell>
          <cell r="D1227" t="str">
            <v>Parque São Vicente</v>
          </cell>
          <cell r="E1227" t="str">
            <v>SAO VICENTE</v>
          </cell>
          <cell r="F1227" t="str">
            <v>SP</v>
          </cell>
          <cell r="G1227" t="str">
            <v>105</v>
          </cell>
          <cell r="H1227" t="str">
            <v>BLOCO A AP 32</v>
          </cell>
          <cell r="I1227" t="str">
            <v>11360-070</v>
          </cell>
          <cell r="J1227" t="str">
            <v>974014073</v>
          </cell>
          <cell r="K1227" t="str">
            <v>997661697</v>
          </cell>
          <cell r="L1227" t="str">
            <v>Masculino</v>
          </cell>
          <cell r="M1227" t="str">
            <v>Parda</v>
          </cell>
          <cell r="N1227">
            <v>27072</v>
          </cell>
          <cell r="O1227" t="str">
            <v>509393883</v>
          </cell>
          <cell r="P1227" t="str">
            <v>SP</v>
          </cell>
          <cell r="Q1227" t="str">
            <v>SSP</v>
          </cell>
          <cell r="R1227" t="str">
            <v>DESTERRO</v>
          </cell>
        </row>
        <row r="1228">
          <cell r="A1228" t="str">
            <v>CHARLES CORREIA DOS SANTOS PEREIRA</v>
          </cell>
          <cell r="B1228" t="str">
            <v>Casado</v>
          </cell>
          <cell r="C1228" t="str">
            <v>R ALEXANDRE SABINO</v>
          </cell>
          <cell r="D1228" t="str">
            <v>Cidade Nautica</v>
          </cell>
          <cell r="E1228" t="str">
            <v>SAO VICENTE</v>
          </cell>
          <cell r="F1228" t="str">
            <v>SP</v>
          </cell>
          <cell r="G1228" t="str">
            <v>53</v>
          </cell>
          <cell r="H1228" t="str">
            <v/>
          </cell>
          <cell r="I1228" t="str">
            <v>11355-060</v>
          </cell>
          <cell r="J1228" t="str">
            <v>991083359</v>
          </cell>
          <cell r="K1228" t="str">
            <v>974197573</v>
          </cell>
          <cell r="L1228" t="str">
            <v>Masculino</v>
          </cell>
          <cell r="M1228" t="str">
            <v>Parda</v>
          </cell>
          <cell r="N1228">
            <v>28669</v>
          </cell>
          <cell r="O1228" t="str">
            <v>323478335</v>
          </cell>
          <cell r="P1228" t="str">
            <v>SP</v>
          </cell>
          <cell r="Q1228" t="str">
            <v>SSP</v>
          </cell>
          <cell r="R1228" t="str">
            <v>SAO VICENTE</v>
          </cell>
        </row>
        <row r="1229">
          <cell r="A1229" t="str">
            <v>THIAGO MORAIS CORDEIRO</v>
          </cell>
          <cell r="B1229" t="str">
            <v>Casado</v>
          </cell>
          <cell r="C1229" t="str">
            <v>AV DOUTOR MOURA RIBEIRO</v>
          </cell>
          <cell r="D1229" t="str">
            <v>Marapé</v>
          </cell>
          <cell r="E1229" t="str">
            <v>SANTOS</v>
          </cell>
          <cell r="F1229" t="str">
            <v>SP</v>
          </cell>
          <cell r="G1229" t="str">
            <v>125</v>
          </cell>
          <cell r="H1229" t="str">
            <v/>
          </cell>
          <cell r="I1229" t="str">
            <v>11070-061</v>
          </cell>
          <cell r="J1229" t="str">
            <v>996887602</v>
          </cell>
          <cell r="K1229" t="str">
            <v>33233489</v>
          </cell>
          <cell r="L1229" t="str">
            <v>Masculino</v>
          </cell>
          <cell r="M1229" t="str">
            <v>Parda</v>
          </cell>
          <cell r="N1229">
            <v>30259</v>
          </cell>
          <cell r="O1229" t="str">
            <v>435513266</v>
          </cell>
          <cell r="P1229" t="str">
            <v>SP</v>
          </cell>
          <cell r="Q1229" t="str">
            <v>SSP</v>
          </cell>
          <cell r="R1229" t="str">
            <v>SANTOS</v>
          </cell>
        </row>
        <row r="1230">
          <cell r="A1230" t="str">
            <v>DANILO VAZ DOS SANTOS</v>
          </cell>
          <cell r="B1230" t="str">
            <v>Solteiro</v>
          </cell>
          <cell r="C1230" t="str">
            <v>R Doutor Flor Horácio Cyrillo</v>
          </cell>
          <cell r="D1230" t="str">
            <v>Castelo</v>
          </cell>
          <cell r="E1230" t="str">
            <v>SANTOS</v>
          </cell>
          <cell r="F1230" t="str">
            <v>SP</v>
          </cell>
          <cell r="G1230" t="str">
            <v>101</v>
          </cell>
          <cell r="H1230" t="str">
            <v/>
          </cell>
          <cell r="I1230" t="str">
            <v>11087-540</v>
          </cell>
          <cell r="J1230" t="str">
            <v>997417420</v>
          </cell>
          <cell r="K1230" t="str">
            <v>32912214</v>
          </cell>
          <cell r="L1230" t="str">
            <v>Masculino</v>
          </cell>
          <cell r="M1230" t="str">
            <v>Parda</v>
          </cell>
          <cell r="N1230">
            <v>34136</v>
          </cell>
          <cell r="O1230" t="str">
            <v>488064363</v>
          </cell>
          <cell r="P1230" t="str">
            <v>SP</v>
          </cell>
          <cell r="Q1230" t="str">
            <v>SSP</v>
          </cell>
          <cell r="R1230" t="str">
            <v>SANTOS</v>
          </cell>
        </row>
        <row r="1231">
          <cell r="A1231" t="str">
            <v>ESTHER SIQUEIRA DA SILVA</v>
          </cell>
          <cell r="B1231" t="str">
            <v>Solteiro</v>
          </cell>
          <cell r="C1231" t="str">
            <v>R ALAMEDA DAS AMERICAS</v>
          </cell>
          <cell r="D1231" t="str">
            <v>Guilhermina</v>
          </cell>
          <cell r="E1231" t="str">
            <v>PRAIA GRANDE</v>
          </cell>
          <cell r="F1231" t="str">
            <v>SP</v>
          </cell>
          <cell r="G1231" t="str">
            <v>105</v>
          </cell>
          <cell r="H1231" t="str">
            <v>APTO 102</v>
          </cell>
          <cell r="I1231" t="str">
            <v>11702-080</v>
          </cell>
          <cell r="J1231" t="str">
            <v>974048715</v>
          </cell>
          <cell r="K1231" t="str">
            <v/>
          </cell>
          <cell r="L1231" t="str">
            <v>Feminino</v>
          </cell>
          <cell r="M1231" t="str">
            <v>Parda</v>
          </cell>
          <cell r="N1231">
            <v>36841</v>
          </cell>
          <cell r="O1231" t="str">
            <v>391953734</v>
          </cell>
          <cell r="P1231" t="str">
            <v>SP</v>
          </cell>
          <cell r="Q1231" t="str">
            <v>SSP</v>
          </cell>
          <cell r="R1231" t="str">
            <v>SANTO ANDRE</v>
          </cell>
        </row>
        <row r="1232">
          <cell r="A1232" t="str">
            <v>GEANIO DOS SANTOS FEITOSA</v>
          </cell>
          <cell r="B1232" t="str">
            <v>Casado</v>
          </cell>
          <cell r="C1232" t="str">
            <v>R DAS ACACIAS</v>
          </cell>
          <cell r="D1232" t="str">
            <v>Vila Natal</v>
          </cell>
          <cell r="E1232" t="str">
            <v>CUBATAO</v>
          </cell>
          <cell r="F1232" t="str">
            <v>SP</v>
          </cell>
          <cell r="G1232" t="str">
            <v>462</v>
          </cell>
          <cell r="H1232" t="str">
            <v>AL 1</v>
          </cell>
          <cell r="I1232" t="str">
            <v>11538-020</v>
          </cell>
          <cell r="J1232" t="str">
            <v>997426628</v>
          </cell>
          <cell r="K1232" t="str">
            <v/>
          </cell>
          <cell r="L1232" t="str">
            <v>Masculino</v>
          </cell>
          <cell r="M1232" t="str">
            <v>Parda</v>
          </cell>
          <cell r="N1232">
            <v>30823</v>
          </cell>
          <cell r="O1232" t="str">
            <v>443971742</v>
          </cell>
          <cell r="P1232" t="str">
            <v>SP</v>
          </cell>
          <cell r="Q1232" t="str">
            <v>SSP</v>
          </cell>
          <cell r="R1232" t="str">
            <v>CUBATAO</v>
          </cell>
        </row>
        <row r="1233">
          <cell r="A1233" t="str">
            <v>MARCEL DA SILVA ZERNOSEKOVAS</v>
          </cell>
          <cell r="B1233" t="str">
            <v>Casado</v>
          </cell>
          <cell r="C1233" t="str">
            <v>R FLAMINIO LEVY</v>
          </cell>
          <cell r="D1233" t="str">
            <v>Saboo</v>
          </cell>
          <cell r="E1233" t="str">
            <v>SANTOS</v>
          </cell>
          <cell r="F1233" t="str">
            <v>SP</v>
          </cell>
          <cell r="G1233" t="str">
            <v>460</v>
          </cell>
          <cell r="H1233" t="str">
            <v>AP 63</v>
          </cell>
          <cell r="I1233" t="str">
            <v>11085-080</v>
          </cell>
          <cell r="J1233" t="str">
            <v>974026229</v>
          </cell>
          <cell r="K1233" t="str">
            <v>32963102</v>
          </cell>
          <cell r="L1233" t="str">
            <v>Masculino</v>
          </cell>
          <cell r="M1233" t="str">
            <v>Parda</v>
          </cell>
          <cell r="N1233">
            <v>26109</v>
          </cell>
          <cell r="O1233" t="str">
            <v>201300783</v>
          </cell>
          <cell r="P1233" t="str">
            <v>SP</v>
          </cell>
          <cell r="Q1233" t="str">
            <v>SSP</v>
          </cell>
          <cell r="R1233" t="str">
            <v>SANTOS</v>
          </cell>
        </row>
        <row r="1234">
          <cell r="A1234" t="str">
            <v>SILVIO GRANDE LEITE</v>
          </cell>
          <cell r="B1234" t="str">
            <v>Casado</v>
          </cell>
          <cell r="C1234" t="str">
            <v>R PARTICULAR B</v>
          </cell>
          <cell r="D1234" t="str">
            <v>CARUARA</v>
          </cell>
          <cell r="E1234" t="str">
            <v>SANTOS</v>
          </cell>
          <cell r="F1234" t="str">
            <v>SP</v>
          </cell>
          <cell r="G1234" t="str">
            <v>5</v>
          </cell>
          <cell r="H1234" t="str">
            <v>Casa</v>
          </cell>
          <cell r="I1234" t="str">
            <v>11200-000</v>
          </cell>
          <cell r="J1234" t="str">
            <v>997589857</v>
          </cell>
          <cell r="K1234" t="str">
            <v>33522825</v>
          </cell>
          <cell r="L1234" t="str">
            <v>Masculino</v>
          </cell>
          <cell r="M1234" t="str">
            <v>Parda</v>
          </cell>
          <cell r="N1234">
            <v>25042</v>
          </cell>
          <cell r="O1234" t="str">
            <v>20236575X</v>
          </cell>
          <cell r="P1234" t="str">
            <v>SP</v>
          </cell>
          <cell r="Q1234" t="str">
            <v>SSP</v>
          </cell>
          <cell r="R1234" t="str">
            <v>GUARUJA</v>
          </cell>
        </row>
        <row r="1235">
          <cell r="A1235" t="str">
            <v>LUAN THEOTONIO DE PAULA</v>
          </cell>
          <cell r="B1235" t="str">
            <v>Casado</v>
          </cell>
          <cell r="C1235" t="str">
            <v>AV PROFESSORA HELENY ROSA</v>
          </cell>
          <cell r="D1235" t="str">
            <v>Melvi</v>
          </cell>
          <cell r="E1235" t="str">
            <v>PRAIA GRANDE</v>
          </cell>
          <cell r="F1235" t="str">
            <v>SP</v>
          </cell>
          <cell r="G1235" t="str">
            <v>1248</v>
          </cell>
          <cell r="H1235" t="str">
            <v>CASA 03</v>
          </cell>
          <cell r="I1235" t="str">
            <v>11712-150</v>
          </cell>
          <cell r="J1235" t="str">
            <v>996649199</v>
          </cell>
          <cell r="K1235" t="str">
            <v/>
          </cell>
          <cell r="L1235" t="str">
            <v>Masculino</v>
          </cell>
          <cell r="M1235" t="str">
            <v>Parda</v>
          </cell>
          <cell r="N1235">
            <v>33053</v>
          </cell>
          <cell r="O1235" t="str">
            <v>464296420</v>
          </cell>
          <cell r="P1235" t="str">
            <v>RO</v>
          </cell>
          <cell r="Q1235" t="str">
            <v>SSP</v>
          </cell>
          <cell r="R1235" t="str">
            <v>CACOAL</v>
          </cell>
        </row>
        <row r="1236">
          <cell r="A1236" t="str">
            <v>GUSTAVO SANTOS DE OLIVEIRA</v>
          </cell>
          <cell r="B1236" t="str">
            <v>Solteiro</v>
          </cell>
          <cell r="C1236" t="str">
            <v>R ENGENHEIRO ELIAS MACHADO DE ALMEIDA</v>
          </cell>
          <cell r="D1236" t="str">
            <v>Bom Retiro</v>
          </cell>
          <cell r="E1236" t="str">
            <v>SANTOS</v>
          </cell>
          <cell r="F1236" t="str">
            <v>SP</v>
          </cell>
          <cell r="G1236" t="str">
            <v>124</v>
          </cell>
          <cell r="H1236" t="str">
            <v>CASA</v>
          </cell>
          <cell r="I1236" t="str">
            <v>11090-160</v>
          </cell>
          <cell r="J1236" t="str">
            <v>991563548</v>
          </cell>
          <cell r="K1236" t="str">
            <v>32998323</v>
          </cell>
          <cell r="L1236" t="str">
            <v>Masculino</v>
          </cell>
          <cell r="M1236" t="str">
            <v>Parda</v>
          </cell>
          <cell r="N1236">
            <v>35807</v>
          </cell>
          <cell r="O1236" t="str">
            <v>551861095</v>
          </cell>
          <cell r="P1236" t="str">
            <v>SP</v>
          </cell>
          <cell r="Q1236" t="str">
            <v>SSP</v>
          </cell>
          <cell r="R1236" t="str">
            <v>SANTOS</v>
          </cell>
        </row>
        <row r="1237">
          <cell r="A1237" t="str">
            <v>MATHEUS VINICIUS CORTEZ DA CUNHA BELUQUI</v>
          </cell>
          <cell r="B1237" t="str">
            <v>Solteiro</v>
          </cell>
          <cell r="C1237" t="str">
            <v>R DONA MARIA MAXIMO - LADO IMPAR</v>
          </cell>
          <cell r="D1237" t="str">
            <v>Ponta da Praia</v>
          </cell>
          <cell r="E1237" t="str">
            <v>SANTOS</v>
          </cell>
          <cell r="F1237" t="str">
            <v>SP</v>
          </cell>
          <cell r="G1237" t="str">
            <v>153</v>
          </cell>
          <cell r="H1237" t="str">
            <v>BL D AP 273</v>
          </cell>
          <cell r="I1237" t="str">
            <v>11030-101</v>
          </cell>
          <cell r="J1237" t="str">
            <v>950449323</v>
          </cell>
          <cell r="K1237" t="str">
            <v>988146658</v>
          </cell>
          <cell r="L1237" t="str">
            <v>Masculino</v>
          </cell>
          <cell r="M1237" t="str">
            <v>Parda</v>
          </cell>
          <cell r="N1237">
            <v>33191</v>
          </cell>
          <cell r="O1237" t="str">
            <v>466991411</v>
          </cell>
          <cell r="P1237" t="str">
            <v>SP</v>
          </cell>
          <cell r="Q1237" t="str">
            <v>SSP</v>
          </cell>
          <cell r="R1237" t="str">
            <v>SANTOS</v>
          </cell>
        </row>
        <row r="1238">
          <cell r="A1238" t="str">
            <v>LOREDANA OLIVEIRA SANTOS</v>
          </cell>
          <cell r="B1238" t="str">
            <v>Solteiro</v>
          </cell>
          <cell r="C1238" t="str">
            <v>R CUIABA</v>
          </cell>
          <cell r="D1238" t="str">
            <v>Vila Nossa Senhora d</v>
          </cell>
          <cell r="E1238" t="str">
            <v>SAO VICENTE</v>
          </cell>
          <cell r="F1238" t="str">
            <v>SP</v>
          </cell>
          <cell r="G1238" t="str">
            <v>731</v>
          </cell>
          <cell r="H1238" t="str">
            <v/>
          </cell>
          <cell r="I1238" t="str">
            <v>11335-250</v>
          </cell>
          <cell r="J1238" t="str">
            <v>997784119</v>
          </cell>
          <cell r="K1238" t="str">
            <v/>
          </cell>
          <cell r="L1238" t="str">
            <v>Feminino</v>
          </cell>
          <cell r="M1238" t="str">
            <v>Parda</v>
          </cell>
          <cell r="N1238">
            <v>30050</v>
          </cell>
          <cell r="O1238" t="str">
            <v>339741016</v>
          </cell>
          <cell r="P1238" t="str">
            <v>SP</v>
          </cell>
          <cell r="Q1238" t="str">
            <v>SSP</v>
          </cell>
          <cell r="R1238" t="str">
            <v>SANTOS</v>
          </cell>
        </row>
        <row r="1239">
          <cell r="A1239" t="str">
            <v>BRENDA SANTANA ROCHA</v>
          </cell>
          <cell r="B1239" t="str">
            <v>Solteiro</v>
          </cell>
          <cell r="C1239" t="str">
            <v>PC VINTE E DOIS DE JANEIRO</v>
          </cell>
          <cell r="D1239" t="str">
            <v>Centro</v>
          </cell>
          <cell r="E1239" t="str">
            <v>SAO VICENTE</v>
          </cell>
          <cell r="F1239" t="str">
            <v>SP</v>
          </cell>
          <cell r="G1239" t="str">
            <v>487</v>
          </cell>
          <cell r="H1239" t="str">
            <v>BLOCO B COB</v>
          </cell>
          <cell r="I1239" t="str">
            <v>11310-090</v>
          </cell>
          <cell r="J1239" t="str">
            <v>991583517</v>
          </cell>
          <cell r="K1239" t="str">
            <v>991850658</v>
          </cell>
          <cell r="L1239" t="str">
            <v>Feminino</v>
          </cell>
          <cell r="M1239" t="str">
            <v>Parda</v>
          </cell>
          <cell r="N1239">
            <v>37274</v>
          </cell>
          <cell r="O1239" t="str">
            <v>569000130</v>
          </cell>
          <cell r="P1239" t="str">
            <v>SP</v>
          </cell>
          <cell r="Q1239" t="str">
            <v>SSP</v>
          </cell>
          <cell r="R1239" t="str">
            <v>SANTOS</v>
          </cell>
        </row>
        <row r="1240">
          <cell r="A1240" t="str">
            <v>RODRIGO BARBOSA RODRIGUES</v>
          </cell>
          <cell r="B1240" t="str">
            <v>Casado</v>
          </cell>
          <cell r="C1240" t="str">
            <v>R MANOEL HIPOLITO DO REGO</v>
          </cell>
          <cell r="D1240" t="str">
            <v>Jardim Boa Esperança (Vicente de Carvalh</v>
          </cell>
          <cell r="E1240" t="str">
            <v>GUARUJA</v>
          </cell>
          <cell r="F1240" t="str">
            <v>SP</v>
          </cell>
          <cell r="G1240" t="str">
            <v>954</v>
          </cell>
          <cell r="H1240" t="str">
            <v/>
          </cell>
          <cell r="I1240" t="str">
            <v>11470-200</v>
          </cell>
          <cell r="J1240" t="str">
            <v>988336739</v>
          </cell>
          <cell r="K1240" t="str">
            <v>988199532</v>
          </cell>
          <cell r="L1240" t="str">
            <v>Masculino</v>
          </cell>
          <cell r="M1240" t="str">
            <v>Parda</v>
          </cell>
          <cell r="N1240">
            <v>31731</v>
          </cell>
          <cell r="O1240" t="str">
            <v>414361076</v>
          </cell>
          <cell r="P1240" t="str">
            <v>SP</v>
          </cell>
          <cell r="Q1240" t="str">
            <v>SSP</v>
          </cell>
          <cell r="R1240" t="str">
            <v>GUARUJA</v>
          </cell>
        </row>
        <row r="1241">
          <cell r="A1241" t="str">
            <v>ANDERSON LIMA DE SOUZA</v>
          </cell>
          <cell r="B1241" t="str">
            <v>Solteiro</v>
          </cell>
          <cell r="C1241" t="str">
            <v>AV ANTONIO EMMERICK</v>
          </cell>
          <cell r="D1241" t="str">
            <v>Jardim Guassu</v>
          </cell>
          <cell r="E1241" t="str">
            <v>SAO VICENTE</v>
          </cell>
          <cell r="F1241" t="str">
            <v>SP</v>
          </cell>
          <cell r="G1241" t="str">
            <v>651</v>
          </cell>
          <cell r="H1241" t="str">
            <v>AP 28</v>
          </cell>
          <cell r="I1241" t="str">
            <v>11370-001</v>
          </cell>
          <cell r="J1241" t="str">
            <v>988125890</v>
          </cell>
          <cell r="K1241" t="str">
            <v/>
          </cell>
          <cell r="L1241" t="str">
            <v>Masculino</v>
          </cell>
          <cell r="M1241" t="str">
            <v>Parda</v>
          </cell>
          <cell r="N1241">
            <v>29862</v>
          </cell>
          <cell r="O1241" t="str">
            <v>417486789</v>
          </cell>
          <cell r="P1241" t="str">
            <v>SP</v>
          </cell>
          <cell r="Q1241" t="str">
            <v>SSP</v>
          </cell>
          <cell r="R1241" t="str">
            <v>SANTOS</v>
          </cell>
        </row>
        <row r="1242">
          <cell r="A1242" t="str">
            <v>BRUNO HENRIQUE DE SOUZA SANTOS</v>
          </cell>
          <cell r="B1242" t="str">
            <v>Casado</v>
          </cell>
          <cell r="C1242" t="str">
            <v>R POETISA CECILIA MEIRELES</v>
          </cell>
          <cell r="D1242" t="str">
            <v>Jardim Brasil II</v>
          </cell>
          <cell r="E1242" t="str">
            <v>GUARUJA</v>
          </cell>
          <cell r="F1242" t="str">
            <v>SP</v>
          </cell>
          <cell r="G1242" t="str">
            <v>23</v>
          </cell>
          <cell r="H1242" t="str">
            <v/>
          </cell>
          <cell r="I1242" t="str">
            <v>11497-510</v>
          </cell>
          <cell r="J1242" t="str">
            <v>988018539</v>
          </cell>
          <cell r="K1242" t="str">
            <v/>
          </cell>
          <cell r="L1242" t="str">
            <v>Masculino</v>
          </cell>
          <cell r="M1242" t="str">
            <v>Parda</v>
          </cell>
          <cell r="N1242">
            <v>33827</v>
          </cell>
          <cell r="O1242" t="str">
            <v>483365671</v>
          </cell>
          <cell r="P1242" t="str">
            <v>SP</v>
          </cell>
          <cell r="Q1242" t="str">
            <v>SSP</v>
          </cell>
          <cell r="R1242" t="str">
            <v>GUARUJA</v>
          </cell>
        </row>
        <row r="1243">
          <cell r="A1243" t="str">
            <v>CARLOS EDUARDO RAIMUNDO</v>
          </cell>
          <cell r="B1243" t="str">
            <v>Solteiro</v>
          </cell>
          <cell r="C1243" t="str">
            <v>R CAMINHO DO GUARAMAR</v>
          </cell>
          <cell r="D1243" t="str">
            <v>Vila Antártica</v>
          </cell>
          <cell r="E1243" t="str">
            <v>PRAIA GRANDE</v>
          </cell>
          <cell r="F1243" t="str">
            <v>SP</v>
          </cell>
          <cell r="G1243" t="str">
            <v>63</v>
          </cell>
          <cell r="H1243" t="str">
            <v>AP 116</v>
          </cell>
          <cell r="I1243" t="str">
            <v>11721-050</v>
          </cell>
          <cell r="J1243" t="str">
            <v>988493224</v>
          </cell>
          <cell r="K1243" t="str">
            <v/>
          </cell>
          <cell r="L1243" t="str">
            <v>Masculino</v>
          </cell>
          <cell r="M1243" t="str">
            <v>Parda</v>
          </cell>
          <cell r="N1243">
            <v>28526</v>
          </cell>
          <cell r="O1243" t="str">
            <v>25433409X</v>
          </cell>
          <cell r="P1243" t="str">
            <v>SP</v>
          </cell>
          <cell r="Q1243" t="str">
            <v>SSP</v>
          </cell>
          <cell r="R1243" t="str">
            <v>SAO PAULO</v>
          </cell>
        </row>
        <row r="1244">
          <cell r="A1244" t="str">
            <v>CASSIO ONORIO DA SILVA JUNIOR</v>
          </cell>
          <cell r="B1244" t="str">
            <v>Solteiro</v>
          </cell>
          <cell r="C1244" t="str">
            <v>AV CARLOS MARTINIANO DE ANDRADE</v>
          </cell>
          <cell r="D1244" t="str">
            <v>Aviação</v>
          </cell>
          <cell r="E1244" t="str">
            <v>PRAIA GRANDE</v>
          </cell>
          <cell r="F1244" t="str">
            <v>SP</v>
          </cell>
          <cell r="G1244" t="str">
            <v>283</v>
          </cell>
          <cell r="H1244" t="str">
            <v>AP 23</v>
          </cell>
          <cell r="I1244" t="str">
            <v>11702-410</v>
          </cell>
          <cell r="J1244" t="str">
            <v>974102490</v>
          </cell>
          <cell r="K1244" t="str">
            <v/>
          </cell>
          <cell r="L1244" t="str">
            <v>Masculino</v>
          </cell>
          <cell r="M1244" t="str">
            <v>Parda</v>
          </cell>
          <cell r="N1244">
            <v>31734</v>
          </cell>
          <cell r="O1244" t="str">
            <v>340261055</v>
          </cell>
          <cell r="P1244" t="str">
            <v>SP</v>
          </cell>
          <cell r="Q1244" t="str">
            <v>SSP</v>
          </cell>
          <cell r="R1244" t="str">
            <v>SAO VICENTE</v>
          </cell>
        </row>
        <row r="1245">
          <cell r="A1245" t="str">
            <v>JOSE MAURICIO DE OLIVEIRA</v>
          </cell>
          <cell r="B1245" t="str">
            <v>Casado</v>
          </cell>
          <cell r="C1245" t="str">
            <v>AV MINAS GERAIS</v>
          </cell>
          <cell r="D1245" t="str">
            <v>Vila Voturua</v>
          </cell>
          <cell r="E1245" t="str">
            <v>SAO VICENTE</v>
          </cell>
          <cell r="F1245" t="str">
            <v>SP</v>
          </cell>
          <cell r="G1245" t="str">
            <v>600</v>
          </cell>
          <cell r="H1245" t="str">
            <v>CASA 15</v>
          </cell>
          <cell r="I1245" t="str">
            <v>11380-090</v>
          </cell>
          <cell r="J1245" t="str">
            <v>996047580</v>
          </cell>
          <cell r="K1245" t="str">
            <v/>
          </cell>
          <cell r="L1245" t="str">
            <v>Masculino</v>
          </cell>
          <cell r="M1245" t="str">
            <v>Parda</v>
          </cell>
          <cell r="N1245">
            <v>27887</v>
          </cell>
          <cell r="O1245" t="str">
            <v>275585293</v>
          </cell>
          <cell r="P1245" t="str">
            <v>SP</v>
          </cell>
          <cell r="Q1245" t="str">
            <v>SSP</v>
          </cell>
          <cell r="R1245" t="str">
            <v>SANTOS</v>
          </cell>
        </row>
        <row r="1246">
          <cell r="A1246" t="str">
            <v>MARCIO TADEU BARBOSA DA SILVA</v>
          </cell>
          <cell r="B1246" t="str">
            <v>Divorciado</v>
          </cell>
          <cell r="C1246" t="str">
            <v>AV MARECHAL DEODORO</v>
          </cell>
          <cell r="D1246" t="str">
            <v>Vila Valença</v>
          </cell>
          <cell r="E1246" t="str">
            <v>SAO VICENTE</v>
          </cell>
          <cell r="F1246" t="str">
            <v>SP</v>
          </cell>
          <cell r="G1246" t="str">
            <v>389</v>
          </cell>
          <cell r="H1246" t="str">
            <v>APTO 23 ED. AUREA</v>
          </cell>
          <cell r="I1246" t="str">
            <v>11390-100</v>
          </cell>
          <cell r="J1246" t="str">
            <v>981124329</v>
          </cell>
          <cell r="K1246" t="str">
            <v/>
          </cell>
          <cell r="L1246" t="str">
            <v>Masculino</v>
          </cell>
          <cell r="M1246" t="str">
            <v>Parda</v>
          </cell>
          <cell r="N1246">
            <v>27527</v>
          </cell>
          <cell r="O1246" t="str">
            <v>258162764</v>
          </cell>
          <cell r="P1246" t="str">
            <v>SP</v>
          </cell>
          <cell r="Q1246" t="str">
            <v>SSP</v>
          </cell>
          <cell r="R1246" t="str">
            <v>SANTOS</v>
          </cell>
        </row>
        <row r="1247">
          <cell r="A1247" t="str">
            <v>ERIKA DA SILVA JOAQUIM</v>
          </cell>
          <cell r="B1247" t="str">
            <v>Solteiro</v>
          </cell>
          <cell r="C1247" t="str">
            <v>AV DOUTOR ANTONIO SYLVIO CUNHA BUENO</v>
          </cell>
          <cell r="D1247" t="str">
            <v>Melvi</v>
          </cell>
          <cell r="E1247" t="str">
            <v>PRAIA GRANDE</v>
          </cell>
          <cell r="F1247" t="str">
            <v>SP</v>
          </cell>
          <cell r="G1247" t="str">
            <v>404</v>
          </cell>
          <cell r="H1247" t="str">
            <v>DRRES ANDIRA</v>
          </cell>
          <cell r="I1247" t="str">
            <v>11712-040</v>
          </cell>
          <cell r="J1247" t="str">
            <v>991456261</v>
          </cell>
          <cell r="K1247" t="str">
            <v/>
          </cell>
          <cell r="L1247" t="str">
            <v>Feminino</v>
          </cell>
          <cell r="M1247" t="str">
            <v>Parda</v>
          </cell>
          <cell r="N1247">
            <v>34319</v>
          </cell>
          <cell r="O1247" t="str">
            <v>42009605X</v>
          </cell>
          <cell r="P1247" t="str">
            <v>SP</v>
          </cell>
          <cell r="Q1247" t="str">
            <v>SSP</v>
          </cell>
          <cell r="R1247" t="str">
            <v>MONGAGUA</v>
          </cell>
        </row>
        <row r="1248">
          <cell r="A1248" t="str">
            <v>EZEQUIEL MOURA RODRIGUES DA SILVA JUNIOR</v>
          </cell>
          <cell r="B1248" t="str">
            <v>Casado</v>
          </cell>
          <cell r="C1248" t="str">
            <v>R RICARDO PINTO</v>
          </cell>
          <cell r="D1248" t="str">
            <v>Aparecida</v>
          </cell>
          <cell r="E1248" t="str">
            <v>SANTOS</v>
          </cell>
          <cell r="F1248" t="str">
            <v>SP</v>
          </cell>
          <cell r="G1248" t="str">
            <v>20</v>
          </cell>
          <cell r="H1248" t="str">
            <v>AP 102</v>
          </cell>
          <cell r="I1248" t="str">
            <v>11035-170</v>
          </cell>
          <cell r="J1248" t="str">
            <v>997626255</v>
          </cell>
          <cell r="K1248" t="str">
            <v/>
          </cell>
          <cell r="L1248" t="str">
            <v>Masculino</v>
          </cell>
          <cell r="M1248" t="str">
            <v>Parda</v>
          </cell>
          <cell r="N1248">
            <v>25755</v>
          </cell>
          <cell r="O1248" t="str">
            <v>189948243</v>
          </cell>
          <cell r="P1248" t="str">
            <v>SP</v>
          </cell>
          <cell r="Q1248" t="str">
            <v>SSP</v>
          </cell>
          <cell r="R1248" t="str">
            <v>SANTOS</v>
          </cell>
        </row>
        <row r="1249">
          <cell r="A1249" t="str">
            <v>JOEL SANTOS DA SILVA</v>
          </cell>
          <cell r="B1249" t="str">
            <v>Solteiro</v>
          </cell>
          <cell r="C1249" t="str">
            <v>R OCTAVIO CORREA</v>
          </cell>
          <cell r="D1249" t="str">
            <v>Estuario</v>
          </cell>
          <cell r="E1249" t="str">
            <v>SANTOS</v>
          </cell>
          <cell r="F1249" t="str">
            <v>SP</v>
          </cell>
          <cell r="G1249" t="str">
            <v>74</v>
          </cell>
          <cell r="H1249" t="str">
            <v>CASA FRENTE</v>
          </cell>
          <cell r="I1249" t="str">
            <v>11025-230</v>
          </cell>
          <cell r="J1249" t="str">
            <v>988091940</v>
          </cell>
          <cell r="K1249" t="str">
            <v/>
          </cell>
          <cell r="L1249" t="str">
            <v>Masculino</v>
          </cell>
          <cell r="M1249" t="str">
            <v>Parda</v>
          </cell>
          <cell r="N1249">
            <v>28164</v>
          </cell>
          <cell r="O1249" t="str">
            <v>388699449</v>
          </cell>
          <cell r="P1249" t="str">
            <v>SP</v>
          </cell>
          <cell r="Q1249" t="str">
            <v>SSP</v>
          </cell>
          <cell r="R1249" t="str">
            <v>ALAGOINHAS</v>
          </cell>
        </row>
        <row r="1250">
          <cell r="A1250" t="str">
            <v>KLEBER MORAES LOPES</v>
          </cell>
          <cell r="B1250" t="str">
            <v>Solteiro</v>
          </cell>
          <cell r="C1250" t="str">
            <v>R JOSE DO PATROCINIO</v>
          </cell>
          <cell r="D1250" t="str">
            <v>Macuco</v>
          </cell>
          <cell r="E1250" t="str">
            <v>SANTOS</v>
          </cell>
          <cell r="F1250" t="str">
            <v>SP</v>
          </cell>
          <cell r="G1250" t="str">
            <v>75</v>
          </cell>
          <cell r="H1250" t="str">
            <v>CASA 17</v>
          </cell>
          <cell r="I1250" t="str">
            <v>11015-260</v>
          </cell>
          <cell r="J1250" t="str">
            <v>991833357</v>
          </cell>
          <cell r="K1250" t="str">
            <v/>
          </cell>
          <cell r="L1250" t="str">
            <v>Masculino</v>
          </cell>
          <cell r="M1250" t="str">
            <v>Parda</v>
          </cell>
          <cell r="N1250">
            <v>30431</v>
          </cell>
          <cell r="O1250" t="str">
            <v>285336617</v>
          </cell>
          <cell r="P1250" t="str">
            <v>SP</v>
          </cell>
          <cell r="Q1250" t="str">
            <v>SSP</v>
          </cell>
          <cell r="R1250" t="str">
            <v>SANTOS</v>
          </cell>
        </row>
        <row r="1251">
          <cell r="A1251" t="str">
            <v>JOAO KAIO GOMES FERNANDES</v>
          </cell>
          <cell r="B1251" t="str">
            <v>Casado</v>
          </cell>
          <cell r="C1251" t="str">
            <v>R QUARTORZE</v>
          </cell>
          <cell r="D1251" t="str">
            <v>VILA ZILDA</v>
          </cell>
          <cell r="E1251" t="str">
            <v>GUARUJA</v>
          </cell>
          <cell r="F1251" t="str">
            <v>SP</v>
          </cell>
          <cell r="G1251" t="str">
            <v>49</v>
          </cell>
          <cell r="H1251" t="str">
            <v>RESIDENCIAL VICTORIA PARK</v>
          </cell>
          <cell r="I1251" t="str">
            <v>11436-575</v>
          </cell>
          <cell r="J1251" t="str">
            <v>991495107</v>
          </cell>
          <cell r="K1251" t="str">
            <v/>
          </cell>
          <cell r="L1251" t="str">
            <v>Masculino</v>
          </cell>
          <cell r="M1251" t="str">
            <v>Parda</v>
          </cell>
          <cell r="N1251">
            <v>35786</v>
          </cell>
          <cell r="O1251" t="str">
            <v>482277130</v>
          </cell>
          <cell r="P1251" t="str">
            <v>SP</v>
          </cell>
          <cell r="Q1251" t="str">
            <v>SSP</v>
          </cell>
          <cell r="R1251" t="str">
            <v>GUARUJA</v>
          </cell>
        </row>
        <row r="1252">
          <cell r="A1252" t="str">
            <v>LUIZ RICARDO DE SOUZA</v>
          </cell>
          <cell r="B1252" t="str">
            <v>Solteiro</v>
          </cell>
          <cell r="C1252" t="str">
            <v>R DOUTOR MANOEL TOURINHO</v>
          </cell>
          <cell r="D1252" t="str">
            <v>Macuco</v>
          </cell>
          <cell r="E1252" t="str">
            <v>SANTOS</v>
          </cell>
          <cell r="F1252" t="str">
            <v>SP</v>
          </cell>
          <cell r="G1252" t="str">
            <v>289</v>
          </cell>
          <cell r="H1252" t="str">
            <v/>
          </cell>
          <cell r="I1252" t="str">
            <v>11015-031</v>
          </cell>
          <cell r="J1252" t="str">
            <v>991736834</v>
          </cell>
          <cell r="K1252" t="str">
            <v/>
          </cell>
          <cell r="L1252" t="str">
            <v>Masculino</v>
          </cell>
          <cell r="M1252" t="str">
            <v>Parda</v>
          </cell>
          <cell r="N1252">
            <v>31316</v>
          </cell>
          <cell r="O1252" t="str">
            <v>437762981</v>
          </cell>
          <cell r="P1252" t="str">
            <v>SP</v>
          </cell>
          <cell r="Q1252" t="str">
            <v>SSP</v>
          </cell>
          <cell r="R1252" t="str">
            <v>SANTOS</v>
          </cell>
        </row>
        <row r="1253">
          <cell r="A1253" t="str">
            <v>ANAURINO ALVES DE SOUZA</v>
          </cell>
          <cell r="B1253" t="str">
            <v>Casado</v>
          </cell>
          <cell r="C1253" t="str">
            <v>R SANTO ANTONIO DE PADUA</v>
          </cell>
          <cell r="D1253" t="str">
            <v>Vila Sao Jose</v>
          </cell>
          <cell r="E1253" t="str">
            <v>CUBATAO</v>
          </cell>
          <cell r="F1253" t="str">
            <v>SP</v>
          </cell>
          <cell r="G1253" t="str">
            <v>32</v>
          </cell>
          <cell r="H1253" t="str">
            <v/>
          </cell>
          <cell r="I1253" t="str">
            <v>11523-020</v>
          </cell>
          <cell r="J1253" t="str">
            <v>981842828</v>
          </cell>
          <cell r="K1253" t="str">
            <v/>
          </cell>
          <cell r="L1253" t="str">
            <v>Masculino</v>
          </cell>
          <cell r="M1253" t="str">
            <v>Parda</v>
          </cell>
          <cell r="N1253">
            <v>26736</v>
          </cell>
          <cell r="O1253" t="str">
            <v>229197814</v>
          </cell>
          <cell r="P1253" t="str">
            <v>SP</v>
          </cell>
          <cell r="Q1253" t="str">
            <v>SSP</v>
          </cell>
          <cell r="R1253" t="str">
            <v>SANTOS</v>
          </cell>
        </row>
        <row r="1254">
          <cell r="A1254" t="str">
            <v>CRISTIANO ALMEIDA DE CERQUEIRA</v>
          </cell>
          <cell r="B1254" t="str">
            <v>Casado</v>
          </cell>
          <cell r="C1254" t="str">
            <v>R IRMA MARIA ALBERTA</v>
          </cell>
          <cell r="D1254" t="str">
            <v>Samaritá</v>
          </cell>
          <cell r="E1254" t="str">
            <v>SAO VICENTE</v>
          </cell>
          <cell r="F1254" t="str">
            <v>SP</v>
          </cell>
          <cell r="G1254" t="str">
            <v>75</v>
          </cell>
          <cell r="H1254" t="str">
            <v>BLOCO 1 AP 103</v>
          </cell>
          <cell r="I1254" t="str">
            <v>11345-045</v>
          </cell>
          <cell r="J1254" t="str">
            <v>981140401</v>
          </cell>
          <cell r="K1254" t="str">
            <v/>
          </cell>
          <cell r="L1254" t="str">
            <v>Masculino</v>
          </cell>
          <cell r="M1254" t="str">
            <v>Parda</v>
          </cell>
          <cell r="N1254">
            <v>28683</v>
          </cell>
          <cell r="O1254" t="str">
            <v>284859503</v>
          </cell>
          <cell r="P1254" t="str">
            <v>SP</v>
          </cell>
          <cell r="Q1254" t="str">
            <v>SSP</v>
          </cell>
          <cell r="R1254" t="str">
            <v>SANTOS</v>
          </cell>
        </row>
        <row r="1255">
          <cell r="A1255" t="str">
            <v>DANIEL MAURICIO SANTANA RODRIGUES</v>
          </cell>
          <cell r="B1255" t="str">
            <v>Solteiro</v>
          </cell>
          <cell r="C1255" t="str">
            <v>R DOIS</v>
          </cell>
          <cell r="D1255" t="str">
            <v>Bom Retiro</v>
          </cell>
          <cell r="E1255" t="str">
            <v>SANTOS</v>
          </cell>
          <cell r="F1255" t="str">
            <v>SP</v>
          </cell>
          <cell r="G1255" t="str">
            <v>17</v>
          </cell>
          <cell r="H1255" t="str">
            <v>AP 12 - CONJ H M I ALTO</v>
          </cell>
          <cell r="I1255" t="str">
            <v>11090-300</v>
          </cell>
          <cell r="J1255" t="str">
            <v>974091000</v>
          </cell>
          <cell r="K1255" t="str">
            <v/>
          </cell>
          <cell r="L1255" t="str">
            <v>Masculino</v>
          </cell>
          <cell r="M1255" t="str">
            <v>Parda</v>
          </cell>
          <cell r="N1255">
            <v>29524</v>
          </cell>
          <cell r="O1255" t="str">
            <v>343489715</v>
          </cell>
          <cell r="P1255" t="str">
            <v>SP</v>
          </cell>
          <cell r="Q1255" t="str">
            <v>SSP</v>
          </cell>
          <cell r="R1255" t="str">
            <v>SANTOS</v>
          </cell>
        </row>
        <row r="1256">
          <cell r="A1256" t="str">
            <v>DANILO HENRIQUE DOS SANTOS</v>
          </cell>
          <cell r="B1256" t="str">
            <v>Casado</v>
          </cell>
          <cell r="C1256" t="str">
            <v>AV PADRE JOSE MAURICIO</v>
          </cell>
          <cell r="D1256" t="str">
            <v>Samambaia</v>
          </cell>
          <cell r="E1256" t="str">
            <v>PRAIA GRANDE</v>
          </cell>
          <cell r="F1256" t="str">
            <v>SP</v>
          </cell>
          <cell r="G1256" t="str">
            <v>446</v>
          </cell>
          <cell r="H1256" t="str">
            <v>CASA 4</v>
          </cell>
          <cell r="I1256" t="str">
            <v>11713-010</v>
          </cell>
          <cell r="J1256" t="str">
            <v>988490048</v>
          </cell>
          <cell r="K1256" t="str">
            <v/>
          </cell>
          <cell r="L1256" t="str">
            <v>Masculino</v>
          </cell>
          <cell r="M1256" t="str">
            <v>Parda</v>
          </cell>
          <cell r="N1256">
            <v>32004</v>
          </cell>
          <cell r="O1256" t="str">
            <v>276617356</v>
          </cell>
          <cell r="P1256" t="str">
            <v>SP</v>
          </cell>
          <cell r="Q1256" t="str">
            <v>SSP</v>
          </cell>
          <cell r="R1256" t="str">
            <v>SAO VICENTE</v>
          </cell>
        </row>
        <row r="1257">
          <cell r="A1257" t="str">
            <v>DANIEL MARCIANO</v>
          </cell>
          <cell r="B1257" t="str">
            <v>Casado</v>
          </cell>
          <cell r="C1257" t="str">
            <v>R ALAMEDA DRACENA</v>
          </cell>
          <cell r="D1257" t="str">
            <v>Vila Áurea (Vicente</v>
          </cell>
          <cell r="E1257" t="str">
            <v>GUARUJA</v>
          </cell>
          <cell r="F1257" t="str">
            <v>SP</v>
          </cell>
          <cell r="G1257" t="str">
            <v>20</v>
          </cell>
          <cell r="H1257" t="str">
            <v/>
          </cell>
          <cell r="I1257" t="str">
            <v>11454-100</v>
          </cell>
          <cell r="J1257" t="str">
            <v>981148906</v>
          </cell>
          <cell r="K1257" t="str">
            <v/>
          </cell>
          <cell r="L1257" t="str">
            <v>Masculino</v>
          </cell>
          <cell r="M1257" t="str">
            <v>Parda</v>
          </cell>
          <cell r="N1257">
            <v>28680</v>
          </cell>
          <cell r="O1257" t="str">
            <v>71082377</v>
          </cell>
          <cell r="P1257" t="str">
            <v>PR</v>
          </cell>
          <cell r="Q1257" t="str">
            <v>SSP</v>
          </cell>
          <cell r="R1257" t="str">
            <v>CURITIBA</v>
          </cell>
        </row>
        <row r="1258">
          <cell r="A1258" t="str">
            <v>WILLIANS CAMPOS DA ROCHA</v>
          </cell>
          <cell r="B1258" t="str">
            <v>Casado</v>
          </cell>
          <cell r="C1258" t="str">
            <v>AV MARTINS FONTES DE 1041/1042</v>
          </cell>
          <cell r="D1258" t="str">
            <v>Saboo</v>
          </cell>
          <cell r="E1258" t="str">
            <v>SANTOS</v>
          </cell>
          <cell r="F1258" t="str">
            <v>SP</v>
          </cell>
          <cell r="G1258" t="str">
            <v>24</v>
          </cell>
          <cell r="H1258" t="str">
            <v>BLOCO D</v>
          </cell>
          <cell r="I1258" t="str">
            <v>11085-001</v>
          </cell>
          <cell r="J1258" t="str">
            <v>991713391</v>
          </cell>
          <cell r="K1258" t="str">
            <v/>
          </cell>
          <cell r="L1258" t="str">
            <v>Masculino</v>
          </cell>
          <cell r="M1258" t="str">
            <v>Parda</v>
          </cell>
          <cell r="N1258">
            <v>34235</v>
          </cell>
          <cell r="O1258" t="str">
            <v>489001567</v>
          </cell>
          <cell r="P1258" t="str">
            <v>SP</v>
          </cell>
          <cell r="Q1258" t="str">
            <v>SSP</v>
          </cell>
          <cell r="R1258" t="str">
            <v>SANTOS</v>
          </cell>
        </row>
        <row r="1259">
          <cell r="A1259" t="str">
            <v>THOMAZ EDSON DA COSTA</v>
          </cell>
          <cell r="B1259" t="str">
            <v>Casado</v>
          </cell>
          <cell r="C1259" t="str">
            <v>R MANOEL RODRIGUES DOS REIS</v>
          </cell>
          <cell r="D1259" t="str">
            <v>Vila Sônia</v>
          </cell>
          <cell r="E1259" t="str">
            <v>PRAIA GRANDE</v>
          </cell>
          <cell r="F1259" t="str">
            <v>SP</v>
          </cell>
          <cell r="G1259" t="str">
            <v>255</v>
          </cell>
          <cell r="H1259" t="str">
            <v>CASA 6</v>
          </cell>
          <cell r="I1259" t="str">
            <v>11722-110</v>
          </cell>
          <cell r="J1259" t="str">
            <v>996919396</v>
          </cell>
          <cell r="K1259" t="str">
            <v/>
          </cell>
          <cell r="L1259" t="str">
            <v>Masculino</v>
          </cell>
          <cell r="M1259" t="str">
            <v>Parda</v>
          </cell>
          <cell r="N1259">
            <v>33678</v>
          </cell>
          <cell r="O1259" t="str">
            <v>480194476</v>
          </cell>
          <cell r="P1259" t="str">
            <v>SP</v>
          </cell>
          <cell r="Q1259" t="str">
            <v>SSP</v>
          </cell>
          <cell r="R1259" t="str">
            <v>SAO VICENTE</v>
          </cell>
        </row>
        <row r="1260">
          <cell r="A1260" t="str">
            <v>JOSE CLAUDIO DOS SANTOS</v>
          </cell>
          <cell r="B1260" t="str">
            <v>Casado</v>
          </cell>
          <cell r="C1260" t="str">
            <v>R JOSE ALFREDO ALBERTINI</v>
          </cell>
          <cell r="D1260" t="str">
            <v>Marapé</v>
          </cell>
          <cell r="E1260" t="str">
            <v>SANTOS</v>
          </cell>
          <cell r="F1260" t="str">
            <v>SP</v>
          </cell>
          <cell r="G1260" t="str">
            <v>300</v>
          </cell>
          <cell r="H1260" t="str">
            <v/>
          </cell>
          <cell r="I1260" t="str">
            <v>11070-011</v>
          </cell>
          <cell r="J1260" t="str">
            <v>974058385</v>
          </cell>
          <cell r="K1260" t="str">
            <v/>
          </cell>
          <cell r="L1260" t="str">
            <v>Masculino</v>
          </cell>
          <cell r="M1260" t="str">
            <v>Parda</v>
          </cell>
          <cell r="N1260">
            <v>27068</v>
          </cell>
          <cell r="O1260" t="str">
            <v>245718989</v>
          </cell>
          <cell r="P1260" t="str">
            <v>SP</v>
          </cell>
          <cell r="Q1260" t="str">
            <v>SSP</v>
          </cell>
          <cell r="R1260" t="str">
            <v>SANTOS</v>
          </cell>
        </row>
        <row r="1261">
          <cell r="A1261" t="str">
            <v>JOSIEL SANTOS FERREIRA</v>
          </cell>
          <cell r="B1261" t="str">
            <v>Casado</v>
          </cell>
          <cell r="C1261" t="str">
            <v>R DONA OLGA MARQUES</v>
          </cell>
          <cell r="D1261" t="str">
            <v>Vila Mateo Bei</v>
          </cell>
          <cell r="E1261" t="str">
            <v>SAO VICENTE</v>
          </cell>
          <cell r="F1261" t="str">
            <v>SP</v>
          </cell>
          <cell r="G1261" t="str">
            <v>414</v>
          </cell>
          <cell r="H1261" t="str">
            <v/>
          </cell>
          <cell r="I1261" t="str">
            <v>11335-320</v>
          </cell>
          <cell r="J1261" t="str">
            <v>988537880</v>
          </cell>
          <cell r="K1261" t="str">
            <v/>
          </cell>
          <cell r="L1261" t="str">
            <v>Masculino</v>
          </cell>
          <cell r="M1261" t="str">
            <v>Parda</v>
          </cell>
          <cell r="N1261">
            <v>32358</v>
          </cell>
          <cell r="O1261" t="str">
            <v>42554247</v>
          </cell>
          <cell r="P1261" t="str">
            <v>SP</v>
          </cell>
          <cell r="Q1261" t="str">
            <v>SSP</v>
          </cell>
          <cell r="R1261" t="str">
            <v>SAO VICENTE</v>
          </cell>
        </row>
        <row r="1262">
          <cell r="A1262" t="str">
            <v>ERINALDO LIRA</v>
          </cell>
          <cell r="B1262" t="str">
            <v>Divorciado</v>
          </cell>
          <cell r="C1262" t="str">
            <v>AV BEIRA MAR</v>
          </cell>
          <cell r="D1262" t="str">
            <v>Jardim Casqueiro</v>
          </cell>
          <cell r="E1262" t="str">
            <v>CUBATAO</v>
          </cell>
          <cell r="F1262" t="str">
            <v>SP</v>
          </cell>
          <cell r="G1262" t="str">
            <v>1509</v>
          </cell>
          <cell r="H1262" t="str">
            <v>APARTAMENTO 24</v>
          </cell>
          <cell r="I1262" t="str">
            <v>11530-080</v>
          </cell>
          <cell r="J1262" t="str">
            <v>981274897</v>
          </cell>
          <cell r="K1262" t="str">
            <v/>
          </cell>
          <cell r="L1262" t="str">
            <v>Masculino</v>
          </cell>
          <cell r="M1262" t="str">
            <v>Parda</v>
          </cell>
          <cell r="N1262">
            <v>23579</v>
          </cell>
          <cell r="O1262" t="str">
            <v>168382507</v>
          </cell>
          <cell r="P1262" t="str">
            <v>SP</v>
          </cell>
          <cell r="Q1262" t="str">
            <v>SSP</v>
          </cell>
          <cell r="R1262" t="str">
            <v>SANTOS</v>
          </cell>
        </row>
        <row r="1263">
          <cell r="A1263" t="str">
            <v>FELIPE JOSE DA SILVA</v>
          </cell>
          <cell r="B1263" t="str">
            <v>União Estável</v>
          </cell>
          <cell r="C1263" t="str">
            <v>R JURUBATUBA</v>
          </cell>
          <cell r="D1263" t="str">
            <v>Aparecida</v>
          </cell>
          <cell r="E1263" t="str">
            <v>SANTOS</v>
          </cell>
          <cell r="F1263" t="str">
            <v>SP</v>
          </cell>
          <cell r="G1263" t="str">
            <v>18</v>
          </cell>
          <cell r="H1263" t="str">
            <v>APARTAMENTO 301 PORTA 1</v>
          </cell>
          <cell r="I1263" t="str">
            <v>11035-100</v>
          </cell>
          <cell r="J1263" t="str">
            <v>991045638</v>
          </cell>
          <cell r="K1263" t="str">
            <v/>
          </cell>
          <cell r="L1263" t="str">
            <v>Masculino</v>
          </cell>
          <cell r="M1263" t="str">
            <v>Parda</v>
          </cell>
          <cell r="N1263">
            <v>28312</v>
          </cell>
          <cell r="O1263" t="str">
            <v>274210678</v>
          </cell>
          <cell r="P1263" t="str">
            <v>SP</v>
          </cell>
          <cell r="Q1263" t="str">
            <v>SSP</v>
          </cell>
          <cell r="R1263" t="str">
            <v>SANTOS</v>
          </cell>
        </row>
        <row r="1264">
          <cell r="A1264" t="str">
            <v>GETULIO MEDEIROS DA FONSECA</v>
          </cell>
          <cell r="B1264" t="str">
            <v>Casado</v>
          </cell>
          <cell r="C1264" t="str">
            <v>AV VITOR MEIRELLES</v>
          </cell>
          <cell r="D1264" t="str">
            <v>Jardim Trevo</v>
          </cell>
          <cell r="E1264" t="str">
            <v>PRAIA GRANDE</v>
          </cell>
          <cell r="F1264" t="str">
            <v>SP</v>
          </cell>
          <cell r="G1264" t="str">
            <v>1754</v>
          </cell>
          <cell r="H1264" t="str">
            <v/>
          </cell>
          <cell r="I1264" t="str">
            <v>11713-080</v>
          </cell>
          <cell r="J1264" t="str">
            <v>981901309</v>
          </cell>
          <cell r="K1264" t="str">
            <v/>
          </cell>
          <cell r="L1264" t="str">
            <v>Masculino</v>
          </cell>
          <cell r="M1264" t="str">
            <v>Parda</v>
          </cell>
          <cell r="N1264">
            <v>26148</v>
          </cell>
          <cell r="O1264" t="str">
            <v>238346948</v>
          </cell>
          <cell r="P1264" t="str">
            <v>SP</v>
          </cell>
          <cell r="Q1264" t="str">
            <v>SSP</v>
          </cell>
          <cell r="R1264" t="str">
            <v>AREIA BRANCA</v>
          </cell>
        </row>
        <row r="1265">
          <cell r="A1265" t="str">
            <v>NELSON MOREIRA</v>
          </cell>
          <cell r="B1265" t="str">
            <v>União Estável</v>
          </cell>
          <cell r="C1265" t="str">
            <v>R IGUAPE</v>
          </cell>
          <cell r="D1265" t="str">
            <v>Saboo</v>
          </cell>
          <cell r="E1265" t="str">
            <v>SANTOS</v>
          </cell>
          <cell r="F1265" t="str">
            <v>SP</v>
          </cell>
          <cell r="G1265" t="str">
            <v>525</v>
          </cell>
          <cell r="H1265" t="str">
            <v>BLB AP 64</v>
          </cell>
          <cell r="I1265" t="str">
            <v>11085-170</v>
          </cell>
          <cell r="J1265" t="str">
            <v>974010066</v>
          </cell>
          <cell r="K1265" t="str">
            <v/>
          </cell>
          <cell r="L1265" t="str">
            <v>Masculino</v>
          </cell>
          <cell r="M1265" t="str">
            <v>Parda</v>
          </cell>
          <cell r="N1265">
            <v>26330</v>
          </cell>
          <cell r="O1265" t="str">
            <v>221138705</v>
          </cell>
          <cell r="P1265" t="str">
            <v>SP</v>
          </cell>
          <cell r="Q1265" t="str">
            <v>SSP</v>
          </cell>
          <cell r="R1265" t="str">
            <v>SANTOS</v>
          </cell>
        </row>
        <row r="1266">
          <cell r="A1266" t="str">
            <v>WELLINGTON DE OLIVEIRA BRAGA</v>
          </cell>
          <cell r="B1266" t="str">
            <v>Solteiro</v>
          </cell>
          <cell r="C1266" t="str">
            <v>R FRANCISCO DIAS JORGE</v>
          </cell>
          <cell r="D1266" t="str">
            <v>Cidade Náutica</v>
          </cell>
          <cell r="E1266" t="str">
            <v>SAO VICENTE</v>
          </cell>
          <cell r="F1266" t="str">
            <v>SP</v>
          </cell>
          <cell r="G1266" t="str">
            <v>50</v>
          </cell>
          <cell r="H1266" t="str">
            <v>CASA 2</v>
          </cell>
          <cell r="I1266" t="str">
            <v>11350-270</v>
          </cell>
          <cell r="J1266" t="str">
            <v>991912338</v>
          </cell>
          <cell r="K1266" t="str">
            <v/>
          </cell>
          <cell r="L1266" t="str">
            <v>Masculino</v>
          </cell>
          <cell r="M1266" t="str">
            <v>Parda</v>
          </cell>
          <cell r="N1266">
            <v>29260</v>
          </cell>
          <cell r="O1266" t="str">
            <v>291379941</v>
          </cell>
          <cell r="P1266" t="str">
            <v>SP</v>
          </cell>
          <cell r="Q1266" t="str">
            <v>SSP</v>
          </cell>
          <cell r="R1266" t="str">
            <v>SANTOS</v>
          </cell>
        </row>
        <row r="1267">
          <cell r="A1267" t="str">
            <v>EMERSON SA</v>
          </cell>
          <cell r="B1267" t="str">
            <v>Casado</v>
          </cell>
          <cell r="C1267" t="str">
            <v>R CARMEM MIRANDA</v>
          </cell>
          <cell r="D1267" t="str">
            <v>Esplanada dos Barrei</v>
          </cell>
          <cell r="E1267" t="str">
            <v>SAO VICENTE</v>
          </cell>
          <cell r="F1267" t="str">
            <v>SP</v>
          </cell>
          <cell r="G1267" t="str">
            <v>336</v>
          </cell>
          <cell r="H1267" t="str">
            <v/>
          </cell>
          <cell r="I1267" t="str">
            <v>11340-210</v>
          </cell>
          <cell r="J1267" t="str">
            <v>974057674</v>
          </cell>
          <cell r="K1267" t="str">
            <v>991208208</v>
          </cell>
          <cell r="L1267" t="str">
            <v>Masculino</v>
          </cell>
          <cell r="M1267" t="str">
            <v>Parda</v>
          </cell>
          <cell r="N1267">
            <v>30433</v>
          </cell>
          <cell r="O1267" t="str">
            <v>353969382</v>
          </cell>
          <cell r="P1267" t="str">
            <v>SP</v>
          </cell>
          <cell r="Q1267" t="str">
            <v>SSP</v>
          </cell>
          <cell r="R1267" t="str">
            <v>SAO VICENTE</v>
          </cell>
        </row>
        <row r="1268">
          <cell r="A1268" t="str">
            <v>GUSTAVO DA SILVA SEIXAS LIMA</v>
          </cell>
          <cell r="B1268" t="str">
            <v>Casado</v>
          </cell>
          <cell r="C1268" t="str">
            <v>AV LUIZ AMARO COSTA</v>
          </cell>
          <cell r="D1268" t="str">
            <v>Melvi</v>
          </cell>
          <cell r="E1268" t="str">
            <v>PRAIA GRANDE</v>
          </cell>
          <cell r="F1268" t="str">
            <v>SP</v>
          </cell>
          <cell r="G1268" t="str">
            <v>1430</v>
          </cell>
          <cell r="H1268" t="str">
            <v/>
          </cell>
          <cell r="I1268" t="str">
            <v>11712-330</v>
          </cell>
          <cell r="J1268" t="str">
            <v>99108-5393</v>
          </cell>
          <cell r="K1268" t="str">
            <v/>
          </cell>
          <cell r="L1268" t="str">
            <v>Masculino</v>
          </cell>
          <cell r="M1268" t="str">
            <v>Parda</v>
          </cell>
          <cell r="N1268">
            <v>28931</v>
          </cell>
          <cell r="O1268" t="str">
            <v>289209535</v>
          </cell>
          <cell r="P1268" t="str">
            <v>SP</v>
          </cell>
          <cell r="Q1268" t="str">
            <v>SSP</v>
          </cell>
          <cell r="R1268" t="str">
            <v>SANTOS</v>
          </cell>
        </row>
        <row r="1269">
          <cell r="A1269" t="str">
            <v>JOAO VICTOR TORRES GUIMARAES</v>
          </cell>
          <cell r="B1269" t="str">
            <v>Solteiro</v>
          </cell>
          <cell r="C1269" t="str">
            <v>R OSWALDO CRUZ</v>
          </cell>
          <cell r="D1269" t="str">
            <v>Boqueirão</v>
          </cell>
          <cell r="E1269" t="str">
            <v>SANTOS</v>
          </cell>
          <cell r="F1269" t="str">
            <v>SP</v>
          </cell>
          <cell r="G1269" t="str">
            <v>84/13</v>
          </cell>
          <cell r="H1269" t="str">
            <v/>
          </cell>
          <cell r="I1269" t="str">
            <v>11045-100</v>
          </cell>
          <cell r="J1269" t="str">
            <v>996234351</v>
          </cell>
          <cell r="K1269" t="str">
            <v/>
          </cell>
          <cell r="L1269" t="str">
            <v>Masculino</v>
          </cell>
          <cell r="M1269" t="str">
            <v>Parda</v>
          </cell>
          <cell r="N1269">
            <v>37016</v>
          </cell>
          <cell r="O1269" t="str">
            <v>507511736</v>
          </cell>
          <cell r="P1269" t="str">
            <v>SP</v>
          </cell>
          <cell r="Q1269" t="str">
            <v>SSP</v>
          </cell>
          <cell r="R1269" t="str">
            <v>SANTOS</v>
          </cell>
        </row>
        <row r="1270">
          <cell r="A1270" t="str">
            <v>PATRICIA ALVES GOMIDES BANNOUT</v>
          </cell>
          <cell r="B1270" t="str">
            <v>Casado</v>
          </cell>
          <cell r="C1270" t="str">
            <v>R MARECHAL FLORIANO PEIXOTO</v>
          </cell>
          <cell r="D1270" t="str">
            <v>Pitangueiras</v>
          </cell>
          <cell r="E1270" t="str">
            <v>GUARUJA</v>
          </cell>
          <cell r="F1270" t="str">
            <v>SP</v>
          </cell>
          <cell r="G1270" t="str">
            <v>113</v>
          </cell>
          <cell r="H1270" t="str">
            <v>AP 133</v>
          </cell>
          <cell r="I1270" t="str">
            <v>11410-240</v>
          </cell>
          <cell r="J1270" t="str">
            <v>997247563</v>
          </cell>
          <cell r="K1270" t="str">
            <v/>
          </cell>
          <cell r="L1270" t="str">
            <v>Feminino</v>
          </cell>
          <cell r="M1270" t="str">
            <v>Parda</v>
          </cell>
          <cell r="N1270">
            <v>29306</v>
          </cell>
          <cell r="O1270" t="str">
            <v>298530983</v>
          </cell>
          <cell r="P1270" t="str">
            <v>SP</v>
          </cell>
          <cell r="Q1270" t="str">
            <v>SSP</v>
          </cell>
          <cell r="R1270" t="str">
            <v>SAO PAULO</v>
          </cell>
        </row>
        <row r="1271">
          <cell r="A1271" t="str">
            <v>EVANDRO MARTINS BORGES</v>
          </cell>
          <cell r="B1271" t="str">
            <v>Solteiro</v>
          </cell>
          <cell r="C1271" t="str">
            <v>AV CONSELHEIRO NEBIAS</v>
          </cell>
          <cell r="D1271" t="str">
            <v>Boqueirão</v>
          </cell>
          <cell r="E1271" t="str">
            <v>SANTOS</v>
          </cell>
          <cell r="F1271" t="str">
            <v>SP</v>
          </cell>
          <cell r="G1271" t="str">
            <v>751</v>
          </cell>
          <cell r="H1271" t="str">
            <v>AP 96</v>
          </cell>
          <cell r="I1271" t="str">
            <v>11045-003</v>
          </cell>
          <cell r="J1271" t="str">
            <v>98007034</v>
          </cell>
          <cell r="K1271" t="str">
            <v>981995054</v>
          </cell>
          <cell r="L1271" t="str">
            <v>Masculino</v>
          </cell>
          <cell r="M1271" t="str">
            <v>Parda</v>
          </cell>
          <cell r="N1271">
            <v>24986</v>
          </cell>
          <cell r="O1271" t="str">
            <v>197572509</v>
          </cell>
          <cell r="P1271" t="str">
            <v>SP</v>
          </cell>
          <cell r="Q1271" t="str">
            <v>SSP</v>
          </cell>
          <cell r="R1271" t="str">
            <v>SANTOS</v>
          </cell>
        </row>
        <row r="1272">
          <cell r="A1272" t="str">
            <v>LUCIANA BRANDI DOS SANTOS</v>
          </cell>
          <cell r="B1272" t="str">
            <v>Solteiro</v>
          </cell>
          <cell r="C1272" t="str">
            <v>R LUIS DE CAMOES</v>
          </cell>
          <cell r="D1272" t="str">
            <v>Encruzilhada</v>
          </cell>
          <cell r="E1272" t="str">
            <v>SANTOS</v>
          </cell>
          <cell r="F1272" t="str">
            <v>SP</v>
          </cell>
          <cell r="G1272" t="str">
            <v>128</v>
          </cell>
          <cell r="H1272" t="str">
            <v>APTO 46 A</v>
          </cell>
          <cell r="I1272" t="str">
            <v>11015-400</v>
          </cell>
          <cell r="J1272" t="str">
            <v>996633111</v>
          </cell>
          <cell r="K1272" t="str">
            <v/>
          </cell>
          <cell r="L1272" t="str">
            <v>Feminino</v>
          </cell>
          <cell r="M1272" t="str">
            <v>Parda</v>
          </cell>
          <cell r="N1272">
            <v>27439</v>
          </cell>
          <cell r="O1272" t="str">
            <v>268889090</v>
          </cell>
          <cell r="P1272" t="str">
            <v>SP</v>
          </cell>
          <cell r="Q1272" t="str">
            <v>SSP</v>
          </cell>
          <cell r="R1272" t="str">
            <v>SANTOS</v>
          </cell>
        </row>
        <row r="1273">
          <cell r="A1273" t="str">
            <v>EVANDRO FRANCO SIMOES</v>
          </cell>
          <cell r="B1273" t="str">
            <v>Solteiro</v>
          </cell>
          <cell r="C1273" t="str">
            <v>R DR ARNALDO CARVALHO</v>
          </cell>
          <cell r="D1273" t="str">
            <v>Campo Grande</v>
          </cell>
          <cell r="E1273" t="str">
            <v>SANTOS</v>
          </cell>
          <cell r="F1273" t="str">
            <v>SP</v>
          </cell>
          <cell r="G1273" t="str">
            <v>102</v>
          </cell>
          <cell r="H1273" t="str">
            <v>APARTAMENTO 404</v>
          </cell>
          <cell r="I1273" t="str">
            <v>11075-430</v>
          </cell>
          <cell r="J1273" t="str">
            <v>996951719</v>
          </cell>
          <cell r="K1273" t="str">
            <v>996951719</v>
          </cell>
          <cell r="L1273" t="str">
            <v>Masculino</v>
          </cell>
          <cell r="M1273" t="str">
            <v>Parda</v>
          </cell>
          <cell r="N1273">
            <v>26444</v>
          </cell>
          <cell r="O1273" t="str">
            <v>258167853</v>
          </cell>
          <cell r="P1273" t="str">
            <v>SP</v>
          </cell>
          <cell r="Q1273" t="str">
            <v>SSP</v>
          </cell>
          <cell r="R1273" t="str">
            <v>SANTOS</v>
          </cell>
        </row>
        <row r="1274">
          <cell r="A1274" t="str">
            <v>CLEBER MARINHO DE MELLO</v>
          </cell>
          <cell r="B1274" t="str">
            <v>Solteiro</v>
          </cell>
          <cell r="C1274" t="str">
            <v>R VIVALDO DE ALMEIDA NERY</v>
          </cell>
          <cell r="D1274" t="str">
            <v>Saboo</v>
          </cell>
          <cell r="E1274" t="str">
            <v>SANTOS</v>
          </cell>
          <cell r="F1274" t="str">
            <v>SP</v>
          </cell>
          <cell r="G1274" t="str">
            <v>130</v>
          </cell>
          <cell r="H1274" t="str">
            <v>APARTAMENTO 94</v>
          </cell>
          <cell r="I1274" t="str">
            <v>11085-090</v>
          </cell>
          <cell r="J1274" t="str">
            <v>997231540</v>
          </cell>
          <cell r="K1274" t="str">
            <v>997231540</v>
          </cell>
          <cell r="L1274" t="str">
            <v>Masculino</v>
          </cell>
          <cell r="M1274" t="str">
            <v>Parda</v>
          </cell>
          <cell r="N1274">
            <v>27451</v>
          </cell>
          <cell r="O1274" t="str">
            <v>259794971</v>
          </cell>
          <cell r="P1274" t="str">
            <v>SP</v>
          </cell>
          <cell r="Q1274" t="str">
            <v>SSP</v>
          </cell>
          <cell r="R1274" t="str">
            <v>SANTOS</v>
          </cell>
        </row>
        <row r="1275">
          <cell r="A1275" t="str">
            <v>KLEBER CORREIA BONFIM</v>
          </cell>
          <cell r="B1275" t="str">
            <v>Casado</v>
          </cell>
          <cell r="C1275" t="str">
            <v>R ERNESTO FULGOSO</v>
          </cell>
          <cell r="D1275" t="str">
            <v>Chico de Paula</v>
          </cell>
          <cell r="E1275" t="str">
            <v>SANTOS</v>
          </cell>
          <cell r="F1275" t="str">
            <v>SP</v>
          </cell>
          <cell r="G1275" t="str">
            <v>218</v>
          </cell>
          <cell r="H1275" t="str">
            <v>CASA 6</v>
          </cell>
          <cell r="I1275" t="str">
            <v>11085-240</v>
          </cell>
          <cell r="J1275" t="str">
            <v>991314976</v>
          </cell>
          <cell r="K1275" t="str">
            <v/>
          </cell>
          <cell r="L1275" t="str">
            <v>Masculino</v>
          </cell>
          <cell r="M1275" t="str">
            <v>Parda</v>
          </cell>
          <cell r="N1275">
            <v>30008</v>
          </cell>
          <cell r="O1275" t="str">
            <v>321036049</v>
          </cell>
          <cell r="P1275" t="str">
            <v>SP</v>
          </cell>
          <cell r="Q1275" t="str">
            <v>SSP</v>
          </cell>
          <cell r="R1275" t="str">
            <v>SANTOS</v>
          </cell>
        </row>
        <row r="1276">
          <cell r="A1276" t="str">
            <v>LUIZA DE FREITAS GONCALEZ</v>
          </cell>
          <cell r="B1276" t="str">
            <v>Solteiro</v>
          </cell>
          <cell r="C1276" t="str">
            <v>AV DINO BUENO</v>
          </cell>
          <cell r="D1276" t="str">
            <v>Ponta da Praia</v>
          </cell>
          <cell r="E1276" t="str">
            <v>SANTOS</v>
          </cell>
          <cell r="F1276" t="str">
            <v>SP</v>
          </cell>
          <cell r="G1276" t="str">
            <v>106</v>
          </cell>
          <cell r="H1276" t="str">
            <v>92 BLOCO UNICO</v>
          </cell>
          <cell r="I1276" t="str">
            <v>11030-351</v>
          </cell>
          <cell r="J1276" t="str">
            <v>32611138</v>
          </cell>
          <cell r="K1276" t="str">
            <v>981719393</v>
          </cell>
          <cell r="L1276" t="str">
            <v>Feminino</v>
          </cell>
          <cell r="M1276" t="str">
            <v>Parda</v>
          </cell>
          <cell r="N1276">
            <v>36543</v>
          </cell>
          <cell r="O1276" t="str">
            <v>545064557</v>
          </cell>
          <cell r="P1276" t="str">
            <v>SP</v>
          </cell>
          <cell r="Q1276" t="str">
            <v>SSP</v>
          </cell>
          <cell r="R1276" t="str">
            <v>SANTOS</v>
          </cell>
        </row>
        <row r="1277">
          <cell r="A1277" t="str">
            <v>CARLOS RUBENS CRUZ JUNIOR</v>
          </cell>
          <cell r="B1277" t="str">
            <v>Casado</v>
          </cell>
          <cell r="C1277" t="str">
            <v>R PROFESSOR TARQUINIO SILVA</v>
          </cell>
          <cell r="D1277" t="str">
            <v>Marapé</v>
          </cell>
          <cell r="E1277" t="str">
            <v>SANTOS</v>
          </cell>
          <cell r="F1277" t="str">
            <v>SP</v>
          </cell>
          <cell r="G1277" t="str">
            <v>46</v>
          </cell>
          <cell r="H1277" t="str">
            <v>APARTAMENTO 11</v>
          </cell>
          <cell r="I1277" t="str">
            <v>11070-070</v>
          </cell>
          <cell r="J1277" t="str">
            <v>982133524</v>
          </cell>
          <cell r="K1277" t="str">
            <v>982133524</v>
          </cell>
          <cell r="L1277" t="str">
            <v>Masculino</v>
          </cell>
          <cell r="M1277" t="str">
            <v>Parda</v>
          </cell>
          <cell r="N1277">
            <v>28204</v>
          </cell>
          <cell r="O1277" t="str">
            <v>250042903</v>
          </cell>
          <cell r="P1277" t="str">
            <v>SP</v>
          </cell>
          <cell r="Q1277" t="str">
            <v>SSP</v>
          </cell>
          <cell r="R1277" t="str">
            <v>SANTOS</v>
          </cell>
        </row>
        <row r="1278">
          <cell r="A1278" t="str">
            <v>LETICIA ZANICHELI SANTANA</v>
          </cell>
          <cell r="B1278" t="str">
            <v>Solteiro</v>
          </cell>
          <cell r="C1278" t="str">
            <v>R REPUBLICA DO EQUADOR</v>
          </cell>
          <cell r="D1278" t="str">
            <v>Ponta da Praia</v>
          </cell>
          <cell r="E1278" t="str">
            <v>SANTOS</v>
          </cell>
          <cell r="F1278" t="str">
            <v>SP</v>
          </cell>
          <cell r="G1278" t="str">
            <v>110</v>
          </cell>
          <cell r="H1278" t="str">
            <v/>
          </cell>
          <cell r="I1278" t="str">
            <v>11030-151</v>
          </cell>
          <cell r="J1278" t="str">
            <v>981676800</v>
          </cell>
          <cell r="K1278" t="str">
            <v/>
          </cell>
          <cell r="L1278" t="str">
            <v>Feminino</v>
          </cell>
          <cell r="M1278" t="str">
            <v>Parda</v>
          </cell>
          <cell r="N1278">
            <v>37371</v>
          </cell>
          <cell r="O1278" t="str">
            <v>39812808X</v>
          </cell>
          <cell r="P1278" t="str">
            <v>SP</v>
          </cell>
          <cell r="Q1278" t="str">
            <v>SSP</v>
          </cell>
          <cell r="R1278" t="str">
            <v>SANTOS</v>
          </cell>
        </row>
        <row r="1279">
          <cell r="A1279" t="str">
            <v>VICTOR ROBERTO DE OLIVEIRA</v>
          </cell>
          <cell r="B1279" t="str">
            <v>Solteiro</v>
          </cell>
          <cell r="C1279" t="str">
            <v>R JULIO AMARO RIBEIRO</v>
          </cell>
          <cell r="D1279" t="str">
            <v>Vila Natal</v>
          </cell>
          <cell r="E1279" t="str">
            <v>CUBATAO</v>
          </cell>
          <cell r="F1279" t="str">
            <v>SP</v>
          </cell>
          <cell r="G1279" t="str">
            <v>41</v>
          </cell>
          <cell r="H1279" t="str">
            <v>APARTAMENTO 12</v>
          </cell>
          <cell r="I1279" t="str">
            <v>11538-105</v>
          </cell>
          <cell r="J1279" t="str">
            <v>997721636</v>
          </cell>
          <cell r="K1279" t="str">
            <v>997721636</v>
          </cell>
          <cell r="L1279" t="str">
            <v>Masculino</v>
          </cell>
          <cell r="M1279" t="str">
            <v>Parda</v>
          </cell>
          <cell r="N1279">
            <v>33457</v>
          </cell>
          <cell r="O1279" t="str">
            <v>486025470</v>
          </cell>
          <cell r="P1279" t="str">
            <v>SP</v>
          </cell>
          <cell r="Q1279" t="str">
            <v>SSP</v>
          </cell>
          <cell r="R1279" t="str">
            <v>CUBATAO</v>
          </cell>
        </row>
        <row r="1280">
          <cell r="A1280" t="str">
            <v>RENAN AUGUSTO MUNIZ ALVES</v>
          </cell>
          <cell r="B1280" t="str">
            <v>Casado</v>
          </cell>
          <cell r="C1280" t="str">
            <v>R TEIXEIRA DE FREITAS</v>
          </cell>
          <cell r="D1280" t="str">
            <v>Campo Grande</v>
          </cell>
          <cell r="E1280" t="str">
            <v>SANTOS</v>
          </cell>
          <cell r="F1280" t="str">
            <v>SP</v>
          </cell>
          <cell r="G1280" t="str">
            <v>43</v>
          </cell>
          <cell r="H1280" t="str">
            <v>APARTAMENTO 46</v>
          </cell>
          <cell r="I1280" t="str">
            <v>11075-720</v>
          </cell>
          <cell r="J1280" t="str">
            <v>997500690</v>
          </cell>
          <cell r="K1280" t="str">
            <v>997500690</v>
          </cell>
          <cell r="L1280" t="str">
            <v>Masculino</v>
          </cell>
          <cell r="M1280" t="str">
            <v>Parda</v>
          </cell>
          <cell r="N1280">
            <v>32917</v>
          </cell>
          <cell r="O1280" t="str">
            <v>462226530</v>
          </cell>
          <cell r="P1280" t="str">
            <v>SP</v>
          </cell>
          <cell r="Q1280" t="str">
            <v>SSP</v>
          </cell>
          <cell r="R1280" t="str">
            <v>SANTOS</v>
          </cell>
        </row>
        <row r="1281">
          <cell r="A1281" t="str">
            <v>RAFAEL SILVERIO BARBOSA</v>
          </cell>
          <cell r="B1281" t="str">
            <v>Divorciado</v>
          </cell>
          <cell r="C1281" t="str">
            <v>AV AFFONSO PENNA</v>
          </cell>
          <cell r="D1281" t="str">
            <v>Aparecida</v>
          </cell>
          <cell r="E1281" t="str">
            <v>SANTOS</v>
          </cell>
          <cell r="F1281" t="str">
            <v>SP</v>
          </cell>
          <cell r="G1281" t="str">
            <v>550</v>
          </cell>
          <cell r="H1281" t="str">
            <v>APARTAMENTO 42 BLOCO A</v>
          </cell>
          <cell r="I1281" t="str">
            <v>11020-002</v>
          </cell>
          <cell r="J1281" t="str">
            <v>998842911</v>
          </cell>
          <cell r="K1281" t="str">
            <v>996325189</v>
          </cell>
          <cell r="L1281" t="str">
            <v>Masculino</v>
          </cell>
          <cell r="M1281" t="str">
            <v>Parda</v>
          </cell>
          <cell r="N1281">
            <v>30207</v>
          </cell>
          <cell r="O1281" t="str">
            <v>114043441</v>
          </cell>
          <cell r="P1281" t="str">
            <v>RJ</v>
          </cell>
          <cell r="Q1281" t="str">
            <v>IFPRJ</v>
          </cell>
          <cell r="R1281" t="str">
            <v>RIO DE JANEIRO</v>
          </cell>
        </row>
        <row r="1282">
          <cell r="A1282" t="str">
            <v>ADRIANO APARECIDO FONSECA</v>
          </cell>
          <cell r="B1282" t="str">
            <v>Divorciado</v>
          </cell>
          <cell r="C1282" t="str">
            <v>AV FRANCISCO DA COSTA PIRES</v>
          </cell>
          <cell r="D1282" t="str">
            <v>São Jorge</v>
          </cell>
          <cell r="E1282" t="str">
            <v>SANTOS</v>
          </cell>
          <cell r="F1282" t="str">
            <v>SP</v>
          </cell>
          <cell r="G1282" t="str">
            <v>88</v>
          </cell>
          <cell r="H1282" t="str">
            <v>BLOCO B 2 AP 11 BLOCO 2</v>
          </cell>
          <cell r="I1282" t="str">
            <v>11085-700</v>
          </cell>
          <cell r="J1282" t="str">
            <v>974146036</v>
          </cell>
          <cell r="K1282" t="str">
            <v>32034697</v>
          </cell>
          <cell r="L1282" t="str">
            <v>Masculino</v>
          </cell>
          <cell r="M1282" t="str">
            <v>Parda</v>
          </cell>
          <cell r="N1282">
            <v>26825</v>
          </cell>
          <cell r="O1282" t="str">
            <v>209526506</v>
          </cell>
          <cell r="P1282" t="str">
            <v>SP</v>
          </cell>
          <cell r="Q1282" t="str">
            <v>SSP</v>
          </cell>
          <cell r="R1282" t="str">
            <v>SANTOS</v>
          </cell>
        </row>
        <row r="1283">
          <cell r="A1283" t="str">
            <v>LUCAS MATHEUS LEAL TAVARES</v>
          </cell>
          <cell r="B1283" t="str">
            <v>Solteiro</v>
          </cell>
          <cell r="C1283" t="str">
            <v>R VINTE E OITO DE SETEMBRO</v>
          </cell>
          <cell r="D1283" t="str">
            <v>Macuco</v>
          </cell>
          <cell r="E1283" t="str">
            <v>SANTOS</v>
          </cell>
          <cell r="F1283" t="str">
            <v>SP</v>
          </cell>
          <cell r="G1283" t="str">
            <v>295</v>
          </cell>
          <cell r="H1283" t="str">
            <v>RES NOVO EMBARE APT 165</v>
          </cell>
          <cell r="I1283" t="str">
            <v>11015-110</v>
          </cell>
          <cell r="J1283" t="str">
            <v>996178772</v>
          </cell>
          <cell r="K1283" t="str">
            <v>996178772</v>
          </cell>
          <cell r="L1283" t="str">
            <v>Masculino</v>
          </cell>
          <cell r="M1283" t="str">
            <v>Parda</v>
          </cell>
          <cell r="N1283">
            <v>30991</v>
          </cell>
          <cell r="O1283" t="str">
            <v>435577566</v>
          </cell>
          <cell r="P1283" t="str">
            <v>SP</v>
          </cell>
          <cell r="Q1283" t="str">
            <v>SSP</v>
          </cell>
          <cell r="R1283" t="str">
            <v>SANTOS</v>
          </cell>
        </row>
        <row r="1284">
          <cell r="A1284" t="str">
            <v>MARCELO DOS SANTOS</v>
          </cell>
          <cell r="B1284" t="str">
            <v>União Estável</v>
          </cell>
          <cell r="C1284" t="str">
            <v>R AMERICO VESPUCIO</v>
          </cell>
          <cell r="D1284" t="str">
            <v>Aviação</v>
          </cell>
          <cell r="E1284" t="str">
            <v>PRAIA GRANDE</v>
          </cell>
          <cell r="F1284" t="str">
            <v>SP</v>
          </cell>
          <cell r="G1284" t="str">
            <v>141</v>
          </cell>
          <cell r="H1284" t="str">
            <v/>
          </cell>
          <cell r="I1284" t="str">
            <v>11702-800</v>
          </cell>
          <cell r="J1284" t="str">
            <v>997211826</v>
          </cell>
          <cell r="K1284" t="str">
            <v>997211826</v>
          </cell>
          <cell r="L1284" t="str">
            <v>Masculino</v>
          </cell>
          <cell r="M1284" t="str">
            <v>Parda</v>
          </cell>
          <cell r="N1284">
            <v>25199</v>
          </cell>
          <cell r="O1284" t="str">
            <v>192924497</v>
          </cell>
          <cell r="P1284" t="str">
            <v>SP</v>
          </cell>
          <cell r="Q1284" t="str">
            <v>SSP</v>
          </cell>
          <cell r="R1284" t="str">
            <v>SANTOS</v>
          </cell>
        </row>
        <row r="1285">
          <cell r="A1285" t="str">
            <v>JOHNNY SANTOS DA SILVA</v>
          </cell>
          <cell r="B1285" t="str">
            <v>Solteiro</v>
          </cell>
          <cell r="C1285" t="str">
            <v>R FRANCISCO ALVES</v>
          </cell>
          <cell r="D1285" t="str">
            <v>Estuario</v>
          </cell>
          <cell r="E1285" t="str">
            <v>SANTOS</v>
          </cell>
          <cell r="F1285" t="str">
            <v>SP</v>
          </cell>
          <cell r="G1285" t="str">
            <v>32</v>
          </cell>
          <cell r="H1285" t="str">
            <v>CASA 1</v>
          </cell>
          <cell r="I1285" t="str">
            <v>11020-410</v>
          </cell>
          <cell r="J1285" t="str">
            <v>974110140</v>
          </cell>
          <cell r="K1285" t="str">
            <v>974110140</v>
          </cell>
          <cell r="L1285" t="str">
            <v>Masculino</v>
          </cell>
          <cell r="M1285" t="str">
            <v>Parda</v>
          </cell>
          <cell r="N1285">
            <v>30669</v>
          </cell>
          <cell r="O1285" t="str">
            <v>42464549X</v>
          </cell>
          <cell r="P1285" t="str">
            <v>SP</v>
          </cell>
          <cell r="Q1285" t="str">
            <v>SSP</v>
          </cell>
          <cell r="R1285" t="str">
            <v>SANTOS</v>
          </cell>
        </row>
        <row r="1286">
          <cell r="A1286" t="str">
            <v>MARCO DIMAS PEREIRA JUNIOR</v>
          </cell>
          <cell r="B1286" t="str">
            <v>Solteiro</v>
          </cell>
          <cell r="C1286" t="str">
            <v>AV AFFONSO PENNA</v>
          </cell>
          <cell r="D1286" t="str">
            <v>Aparecida</v>
          </cell>
          <cell r="E1286" t="str">
            <v>SANTOS</v>
          </cell>
          <cell r="F1286" t="str">
            <v>SP</v>
          </cell>
          <cell r="G1286" t="str">
            <v>716</v>
          </cell>
          <cell r="H1286" t="str">
            <v>APARTAMENTO 23</v>
          </cell>
          <cell r="I1286" t="str">
            <v>11020-002</v>
          </cell>
          <cell r="J1286" t="str">
            <v>991646478</v>
          </cell>
          <cell r="K1286" t="str">
            <v>991646478</v>
          </cell>
          <cell r="L1286" t="str">
            <v>Masculino</v>
          </cell>
          <cell r="M1286" t="str">
            <v>Parda</v>
          </cell>
          <cell r="N1286">
            <v>29151</v>
          </cell>
          <cell r="O1286" t="str">
            <v>321038678</v>
          </cell>
          <cell r="P1286" t="str">
            <v>SP</v>
          </cell>
          <cell r="Q1286" t="str">
            <v>SSP</v>
          </cell>
          <cell r="R1286" t="str">
            <v>SANTOS</v>
          </cell>
        </row>
        <row r="1287">
          <cell r="A1287" t="str">
            <v>RICARDO LEAL COUPE</v>
          </cell>
          <cell r="B1287" t="str">
            <v>Solteiro</v>
          </cell>
          <cell r="C1287" t="str">
            <v>R OSCAR SAMPAIO</v>
          </cell>
          <cell r="D1287" t="str">
            <v>Embaré</v>
          </cell>
          <cell r="E1287" t="str">
            <v>SANTOS</v>
          </cell>
          <cell r="F1287" t="str">
            <v>SP</v>
          </cell>
          <cell r="G1287" t="str">
            <v>66</v>
          </cell>
          <cell r="H1287" t="str">
            <v/>
          </cell>
          <cell r="I1287" t="str">
            <v>11025-090</v>
          </cell>
          <cell r="J1287" t="str">
            <v>988522858</v>
          </cell>
          <cell r="K1287" t="str">
            <v>988522858</v>
          </cell>
          <cell r="L1287" t="str">
            <v>Masculino</v>
          </cell>
          <cell r="M1287" t="str">
            <v>Parda</v>
          </cell>
          <cell r="N1287">
            <v>26201</v>
          </cell>
          <cell r="O1287" t="str">
            <v>219371180</v>
          </cell>
          <cell r="P1287" t="str">
            <v>SP</v>
          </cell>
          <cell r="Q1287" t="str">
            <v>SSP</v>
          </cell>
          <cell r="R1287" t="str">
            <v>SANTOS</v>
          </cell>
        </row>
        <row r="1288">
          <cell r="A1288" t="str">
            <v>DANILO GOUVEIA FERNANDES</v>
          </cell>
          <cell r="B1288" t="str">
            <v>Casado</v>
          </cell>
          <cell r="C1288" t="str">
            <v>R CESAR AUGUSTO DE CASTRO RIOS</v>
          </cell>
          <cell r="D1288" t="str">
            <v>Areia Branca</v>
          </cell>
          <cell r="E1288" t="str">
            <v>SANTOS</v>
          </cell>
          <cell r="F1288" t="str">
            <v>SP</v>
          </cell>
          <cell r="G1288" t="str">
            <v>286</v>
          </cell>
          <cell r="H1288" t="str">
            <v>BLOCO 2 APARTAMENTO 63</v>
          </cell>
          <cell r="I1288" t="str">
            <v>11086-415</v>
          </cell>
          <cell r="J1288" t="str">
            <v>974055946</v>
          </cell>
          <cell r="K1288" t="str">
            <v>974055946</v>
          </cell>
          <cell r="L1288" t="str">
            <v>Masculino</v>
          </cell>
          <cell r="M1288" t="str">
            <v>Parda</v>
          </cell>
          <cell r="N1288">
            <v>31306</v>
          </cell>
          <cell r="O1288" t="str">
            <v>354881978</v>
          </cell>
          <cell r="P1288" t="str">
            <v>SP</v>
          </cell>
          <cell r="Q1288" t="str">
            <v>SSP</v>
          </cell>
          <cell r="R1288" t="str">
            <v>SANTOS</v>
          </cell>
        </row>
        <row r="1289">
          <cell r="A1289" t="str">
            <v>DANILO CRISTIAN FIRMINO AMBROSIO</v>
          </cell>
          <cell r="B1289" t="str">
            <v>Solteiro</v>
          </cell>
          <cell r="C1289" t="str">
            <v>R DOUTOR CLEOBULOS AMAZONAS DUARTE</v>
          </cell>
          <cell r="D1289" t="str">
            <v>Macuco</v>
          </cell>
          <cell r="E1289" t="str">
            <v>SANTOS</v>
          </cell>
          <cell r="F1289" t="str">
            <v>SP</v>
          </cell>
          <cell r="G1289" t="str">
            <v>33</v>
          </cell>
          <cell r="H1289" t="str">
            <v/>
          </cell>
          <cell r="I1289" t="str">
            <v>11020-220</v>
          </cell>
          <cell r="J1289" t="str">
            <v>974050927</v>
          </cell>
          <cell r="K1289" t="str">
            <v>974050927</v>
          </cell>
          <cell r="L1289" t="str">
            <v>Masculino</v>
          </cell>
          <cell r="M1289" t="str">
            <v>Parda</v>
          </cell>
          <cell r="N1289">
            <v>31204</v>
          </cell>
          <cell r="O1289" t="str">
            <v>437319702</v>
          </cell>
          <cell r="P1289" t="str">
            <v>SP</v>
          </cell>
          <cell r="Q1289" t="str">
            <v>SSP</v>
          </cell>
          <cell r="R1289" t="str">
            <v>SANTOS</v>
          </cell>
        </row>
        <row r="1290">
          <cell r="A1290" t="str">
            <v>DANILO RODRIGUES DOS ANJOS</v>
          </cell>
          <cell r="B1290" t="str">
            <v>Casado</v>
          </cell>
          <cell r="C1290" t="str">
            <v>R CONSELHEIRO JOAO ALFREDO</v>
          </cell>
          <cell r="D1290" t="str">
            <v>Macuco</v>
          </cell>
          <cell r="E1290" t="str">
            <v>SANTOS</v>
          </cell>
          <cell r="F1290" t="str">
            <v>SP</v>
          </cell>
          <cell r="G1290" t="str">
            <v>362</v>
          </cell>
          <cell r="H1290" t="str">
            <v>BLOCO A APARTAMENTO 31</v>
          </cell>
          <cell r="I1290" t="str">
            <v>11015-220</v>
          </cell>
          <cell r="J1290" t="str">
            <v>991455805</v>
          </cell>
          <cell r="K1290" t="str">
            <v>991455805</v>
          </cell>
          <cell r="L1290" t="str">
            <v>Masculino</v>
          </cell>
          <cell r="M1290" t="str">
            <v>Parda</v>
          </cell>
          <cell r="N1290">
            <v>32012</v>
          </cell>
          <cell r="O1290" t="str">
            <v>450920975</v>
          </cell>
          <cell r="P1290" t="str">
            <v>SP</v>
          </cell>
          <cell r="Q1290" t="str">
            <v>SSP</v>
          </cell>
          <cell r="R1290" t="str">
            <v>SANTOS</v>
          </cell>
        </row>
        <row r="1291">
          <cell r="A1291" t="str">
            <v>ANDREIA ALONSO LINNA</v>
          </cell>
          <cell r="B1291" t="str">
            <v>Divorciado</v>
          </cell>
          <cell r="C1291" t="str">
            <v>R Doutor Carvalho de Mendonça</v>
          </cell>
          <cell r="D1291" t="str">
            <v>Campo Grande</v>
          </cell>
          <cell r="E1291" t="str">
            <v>SANTOS</v>
          </cell>
          <cell r="F1291" t="str">
            <v>SP</v>
          </cell>
          <cell r="G1291" t="str">
            <v>587</v>
          </cell>
          <cell r="H1291" t="str">
            <v>apartamento 21</v>
          </cell>
          <cell r="I1291" t="str">
            <v>11070-102</v>
          </cell>
          <cell r="J1291" t="str">
            <v>991277942</v>
          </cell>
          <cell r="K1291" t="str">
            <v>991277942</v>
          </cell>
          <cell r="L1291" t="str">
            <v>Feminino</v>
          </cell>
          <cell r="M1291" t="str">
            <v>Branca</v>
          </cell>
          <cell r="N1291">
            <v>28313</v>
          </cell>
          <cell r="O1291" t="str">
            <v>264835384</v>
          </cell>
          <cell r="P1291" t="str">
            <v>SP</v>
          </cell>
          <cell r="Q1291" t="str">
            <v>SSP</v>
          </cell>
          <cell r="R1291" t="str">
            <v>SANTOS</v>
          </cell>
        </row>
        <row r="1292">
          <cell r="A1292" t="str">
            <v>NATALIA PEREIRA DE SOUZA</v>
          </cell>
          <cell r="B1292" t="str">
            <v>União Estável</v>
          </cell>
          <cell r="C1292" t="str">
            <v>R ALBERTO SANTOS DUMONT</v>
          </cell>
          <cell r="D1292" t="str">
            <v>Guilhermina</v>
          </cell>
          <cell r="E1292" t="str">
            <v>PRAIA GRANDE</v>
          </cell>
          <cell r="F1292" t="str">
            <v>SP</v>
          </cell>
          <cell r="G1292" t="str">
            <v>576</v>
          </cell>
          <cell r="H1292" t="str">
            <v>APARTAMENTO 42</v>
          </cell>
          <cell r="I1292" t="str">
            <v>11702-340</v>
          </cell>
          <cell r="J1292" t="str">
            <v>988800835</v>
          </cell>
          <cell r="K1292" t="str">
            <v>988520770</v>
          </cell>
          <cell r="L1292" t="str">
            <v>Feminino</v>
          </cell>
          <cell r="M1292" t="str">
            <v>Parda</v>
          </cell>
          <cell r="N1292">
            <v>31633</v>
          </cell>
          <cell r="O1292" t="str">
            <v>438547883</v>
          </cell>
          <cell r="P1292" t="str">
            <v>SP</v>
          </cell>
          <cell r="Q1292" t="str">
            <v>SSP</v>
          </cell>
          <cell r="R1292" t="str">
            <v>RECIFE</v>
          </cell>
        </row>
        <row r="1293">
          <cell r="A1293" t="str">
            <v>ANDRE LUIZ FALSARELLA PIMENTA</v>
          </cell>
          <cell r="B1293" t="str">
            <v>Solteiro</v>
          </cell>
          <cell r="C1293" t="str">
            <v>R TORQUATO DIAS</v>
          </cell>
          <cell r="D1293" t="str">
            <v>Morro Nova Cintra</v>
          </cell>
          <cell r="E1293" t="str">
            <v>SANTOS</v>
          </cell>
          <cell r="F1293" t="str">
            <v>SP</v>
          </cell>
          <cell r="G1293" t="str">
            <v>990</v>
          </cell>
          <cell r="H1293" t="str">
            <v>BLOCO F AP 41</v>
          </cell>
          <cell r="I1293" t="str">
            <v>11080-300</v>
          </cell>
          <cell r="J1293" t="str">
            <v>974151782</v>
          </cell>
          <cell r="K1293" t="str">
            <v>974151782</v>
          </cell>
          <cell r="L1293" t="str">
            <v>Masculino</v>
          </cell>
          <cell r="M1293" t="str">
            <v>Parda</v>
          </cell>
          <cell r="N1293">
            <v>36104</v>
          </cell>
          <cell r="O1293" t="str">
            <v>398979650</v>
          </cell>
          <cell r="P1293" t="str">
            <v>SP</v>
          </cell>
          <cell r="Q1293" t="str">
            <v>SSP</v>
          </cell>
          <cell r="R1293" t="str">
            <v>SANTOS</v>
          </cell>
        </row>
        <row r="1294">
          <cell r="A1294" t="str">
            <v>SABRINA MELO LIMA</v>
          </cell>
          <cell r="B1294" t="str">
            <v>Solteiro</v>
          </cell>
          <cell r="C1294" t="str">
            <v>R DOUTOR COCHRANE</v>
          </cell>
          <cell r="D1294" t="str">
            <v>Paquetá</v>
          </cell>
          <cell r="E1294" t="str">
            <v>SANTOS</v>
          </cell>
          <cell r="F1294" t="str">
            <v>SP</v>
          </cell>
          <cell r="G1294" t="str">
            <v>87</v>
          </cell>
          <cell r="H1294" t="str">
            <v>CASA</v>
          </cell>
          <cell r="I1294" t="str">
            <v>11013-100</v>
          </cell>
          <cell r="J1294" t="str">
            <v>991710679</v>
          </cell>
          <cell r="K1294" t="str">
            <v>991710679</v>
          </cell>
          <cell r="L1294" t="str">
            <v>Feminino</v>
          </cell>
          <cell r="M1294" t="str">
            <v>Parda</v>
          </cell>
          <cell r="N1294">
            <v>37289</v>
          </cell>
          <cell r="O1294" t="str">
            <v>582368650</v>
          </cell>
          <cell r="P1294" t="str">
            <v>SP</v>
          </cell>
          <cell r="Q1294" t="str">
            <v>SSP</v>
          </cell>
          <cell r="R1294" t="str">
            <v>SANTOS</v>
          </cell>
        </row>
        <row r="1295">
          <cell r="A1295" t="str">
            <v>EDUARDO DOS SANTOS LIMA</v>
          </cell>
          <cell r="B1295" t="str">
            <v>Casado</v>
          </cell>
          <cell r="C1295" t="str">
            <v>R GUAIRA</v>
          </cell>
          <cell r="D1295" t="str">
            <v>Vila Áurea (Vicente</v>
          </cell>
          <cell r="E1295" t="str">
            <v>GUARUJA</v>
          </cell>
          <cell r="F1295" t="str">
            <v>SP</v>
          </cell>
          <cell r="G1295" t="str">
            <v>280</v>
          </cell>
          <cell r="H1295" t="str">
            <v>UNDEFINED</v>
          </cell>
          <cell r="I1295" t="str">
            <v>11454-080</v>
          </cell>
          <cell r="J1295" t="str">
            <v>996152484</v>
          </cell>
          <cell r="K1295" t="str">
            <v>996152484</v>
          </cell>
          <cell r="L1295" t="str">
            <v>Masculino</v>
          </cell>
          <cell r="M1295" t="str">
            <v>Parda</v>
          </cell>
          <cell r="N1295">
            <v>32407</v>
          </cell>
          <cell r="O1295" t="str">
            <v>460135302</v>
          </cell>
          <cell r="P1295" t="str">
            <v>SP</v>
          </cell>
          <cell r="Q1295" t="str">
            <v>SSP</v>
          </cell>
          <cell r="R1295" t="str">
            <v>GUARUJA</v>
          </cell>
        </row>
        <row r="1296">
          <cell r="A1296" t="str">
            <v>EDUARDO VILELA ESTRELA</v>
          </cell>
          <cell r="B1296" t="str">
            <v>Casado</v>
          </cell>
          <cell r="C1296" t="str">
            <v>TV TREZENTOS E OITENTA E QUATRO B</v>
          </cell>
          <cell r="D1296" t="str">
            <v>Morrinhos 3</v>
          </cell>
          <cell r="E1296" t="str">
            <v>GUARUJA</v>
          </cell>
          <cell r="F1296" t="str">
            <v>SP</v>
          </cell>
          <cell r="G1296" t="str">
            <v>65</v>
          </cell>
          <cell r="H1296" t="str">
            <v>QD 119 C</v>
          </cell>
          <cell r="I1296" t="str">
            <v>11495-201</v>
          </cell>
          <cell r="J1296" t="str">
            <v>996593399</v>
          </cell>
          <cell r="K1296" t="str">
            <v>996593399</v>
          </cell>
          <cell r="L1296" t="str">
            <v>Masculino</v>
          </cell>
          <cell r="M1296" t="str">
            <v>Parda</v>
          </cell>
          <cell r="N1296">
            <v>28455</v>
          </cell>
          <cell r="O1296" t="str">
            <v>29393633X</v>
          </cell>
          <cell r="P1296" t="str">
            <v>SP</v>
          </cell>
          <cell r="Q1296" t="str">
            <v>SSP</v>
          </cell>
          <cell r="R1296" t="str">
            <v>GUARUJA</v>
          </cell>
        </row>
        <row r="1297">
          <cell r="A1297" t="str">
            <v>DOUGLAS RIBEIRO DE SAO PEDRO</v>
          </cell>
          <cell r="B1297" t="str">
            <v>Casado</v>
          </cell>
          <cell r="C1297" t="str">
            <v>R NOVA ESPERANCA</v>
          </cell>
          <cell r="D1297" t="str">
            <v>Sítio Paecara (Vicente carvalho</v>
          </cell>
          <cell r="E1297" t="str">
            <v>GUARUJA</v>
          </cell>
          <cell r="F1297" t="str">
            <v>SP</v>
          </cell>
          <cell r="G1297" t="str">
            <v>73</v>
          </cell>
          <cell r="H1297" t="str">
            <v/>
          </cell>
          <cell r="I1297" t="str">
            <v>11463-060</v>
          </cell>
          <cell r="J1297" t="str">
            <v>996921272</v>
          </cell>
          <cell r="K1297" t="str">
            <v>996921272</v>
          </cell>
          <cell r="L1297" t="str">
            <v>Masculino</v>
          </cell>
          <cell r="M1297" t="str">
            <v>Parda</v>
          </cell>
          <cell r="N1297">
            <v>32343</v>
          </cell>
          <cell r="O1297" t="str">
            <v>414360369</v>
          </cell>
          <cell r="P1297" t="str">
            <v>SP</v>
          </cell>
          <cell r="Q1297" t="str">
            <v>SSP</v>
          </cell>
          <cell r="R1297" t="str">
            <v>GUARUJA</v>
          </cell>
        </row>
        <row r="1298">
          <cell r="A1298" t="str">
            <v>EDILSON DO NASCIMENTO TEIXEIRA</v>
          </cell>
          <cell r="B1298" t="str">
            <v>Solteiro</v>
          </cell>
          <cell r="C1298" t="str">
            <v>R OLYMPIA SAMPAIO</v>
          </cell>
          <cell r="D1298" t="str">
            <v>Enseada</v>
          </cell>
          <cell r="E1298" t="str">
            <v>GUARUJA</v>
          </cell>
          <cell r="F1298" t="str">
            <v>SP</v>
          </cell>
          <cell r="G1298" t="str">
            <v>259</v>
          </cell>
          <cell r="H1298" t="str">
            <v>BLOCO A APARTAMENTO 259</v>
          </cell>
          <cell r="I1298" t="str">
            <v>11443-150</v>
          </cell>
          <cell r="J1298" t="str">
            <v>981326317</v>
          </cell>
          <cell r="K1298" t="str">
            <v>981326317</v>
          </cell>
          <cell r="L1298" t="str">
            <v>Masculino</v>
          </cell>
          <cell r="M1298" t="str">
            <v>Parda</v>
          </cell>
          <cell r="N1298">
            <v>31103</v>
          </cell>
          <cell r="O1298" t="str">
            <v>415497930</v>
          </cell>
          <cell r="P1298" t="str">
            <v>SP</v>
          </cell>
          <cell r="Q1298" t="str">
            <v>SSP</v>
          </cell>
          <cell r="R1298" t="str">
            <v>RIO TINTO</v>
          </cell>
        </row>
        <row r="1299">
          <cell r="A1299" t="str">
            <v>DOUGLAS NASCIMENTO DOS SANTOS MORAES</v>
          </cell>
          <cell r="B1299" t="str">
            <v>Casado</v>
          </cell>
          <cell r="C1299" t="str">
            <v>AV PREFEITO DOUTOR ANTONIO MANOEL DE CARVAL</v>
          </cell>
          <cell r="D1299" t="str">
            <v>Morro Nova Cintra</v>
          </cell>
          <cell r="E1299" t="str">
            <v>SANTOS</v>
          </cell>
          <cell r="F1299" t="str">
            <v>SP</v>
          </cell>
          <cell r="G1299" t="str">
            <v>780</v>
          </cell>
          <cell r="H1299" t="str">
            <v>BLOCO C APARTAMENTO 83</v>
          </cell>
          <cell r="I1299" t="str">
            <v>11080-100</v>
          </cell>
          <cell r="J1299" t="str">
            <v>997931818</v>
          </cell>
          <cell r="K1299" t="str">
            <v>997931818</v>
          </cell>
          <cell r="L1299" t="str">
            <v>Masculino</v>
          </cell>
          <cell r="M1299" t="str">
            <v>Parda</v>
          </cell>
          <cell r="N1299">
            <v>29200</v>
          </cell>
          <cell r="O1299" t="str">
            <v>357714453</v>
          </cell>
          <cell r="P1299" t="str">
            <v>SP</v>
          </cell>
          <cell r="Q1299" t="str">
            <v>SSP</v>
          </cell>
          <cell r="R1299" t="str">
            <v>SANTOS</v>
          </cell>
        </row>
        <row r="1300">
          <cell r="A1300" t="str">
            <v>EDVALDO SOARES DE FREITAS</v>
          </cell>
          <cell r="B1300" t="str">
            <v>Casado</v>
          </cell>
          <cell r="C1300" t="str">
            <v>R DOUTOR HAROLDO DE CAMARGO</v>
          </cell>
          <cell r="D1300" t="str">
            <v>Jardim Castelo</v>
          </cell>
          <cell r="E1300" t="str">
            <v>SANTOS</v>
          </cell>
          <cell r="F1300" t="str">
            <v>SP</v>
          </cell>
          <cell r="G1300" t="str">
            <v>60</v>
          </cell>
          <cell r="H1300" t="str">
            <v>TP B APARTAMENTO 42</v>
          </cell>
          <cell r="I1300" t="str">
            <v>11087-500</v>
          </cell>
          <cell r="J1300" t="str">
            <v>981959677</v>
          </cell>
          <cell r="K1300" t="str">
            <v>981959677</v>
          </cell>
          <cell r="L1300" t="str">
            <v>Masculino</v>
          </cell>
          <cell r="M1300" t="str">
            <v>Parda</v>
          </cell>
          <cell r="N1300">
            <v>26142</v>
          </cell>
          <cell r="O1300" t="str">
            <v>221154334</v>
          </cell>
          <cell r="P1300" t="str">
            <v>SP</v>
          </cell>
          <cell r="Q1300" t="str">
            <v>SSP</v>
          </cell>
          <cell r="R1300" t="str">
            <v>PARANACITY</v>
          </cell>
        </row>
        <row r="1301">
          <cell r="A1301" t="str">
            <v>RAPHAEL LOPES PEQUENO</v>
          </cell>
          <cell r="B1301" t="str">
            <v>Casado</v>
          </cell>
          <cell r="C1301" t="str">
            <v>R VEREADOR JOSE GOMES HENRIQUES</v>
          </cell>
          <cell r="D1301" t="str">
            <v>Parque das Bandeiras</v>
          </cell>
          <cell r="E1301" t="str">
            <v>SAO VICENTE</v>
          </cell>
          <cell r="F1301" t="str">
            <v>SP</v>
          </cell>
          <cell r="G1301" t="str">
            <v>464</v>
          </cell>
          <cell r="H1301" t="str">
            <v>CASA 02</v>
          </cell>
          <cell r="I1301" t="str">
            <v>11346-180</v>
          </cell>
          <cell r="J1301" t="str">
            <v>997764349</v>
          </cell>
          <cell r="K1301" t="str">
            <v>997764349</v>
          </cell>
          <cell r="L1301" t="str">
            <v>Masculino</v>
          </cell>
          <cell r="M1301" t="str">
            <v>Parda</v>
          </cell>
          <cell r="N1301">
            <v>33119</v>
          </cell>
          <cell r="O1301" t="str">
            <v>473053986</v>
          </cell>
          <cell r="P1301" t="str">
            <v>SP</v>
          </cell>
          <cell r="Q1301" t="str">
            <v>SSP</v>
          </cell>
          <cell r="R1301" t="str">
            <v>SANTOS</v>
          </cell>
        </row>
        <row r="1302">
          <cell r="A1302" t="str">
            <v>AERTON JORGE DA SILVA SOUZA</v>
          </cell>
          <cell r="B1302" t="str">
            <v>Casado</v>
          </cell>
          <cell r="C1302" t="str">
            <v>R UM</v>
          </cell>
          <cell r="D1302" t="str">
            <v>Morro Santa Maria</v>
          </cell>
          <cell r="E1302" t="str">
            <v>SANTOS</v>
          </cell>
          <cell r="F1302" t="str">
            <v>SP</v>
          </cell>
          <cell r="G1302" t="str">
            <v>95</v>
          </cell>
          <cell r="H1302" t="str">
            <v/>
          </cell>
          <cell r="I1302" t="str">
            <v>11080-670</v>
          </cell>
          <cell r="J1302" t="str">
            <v>996076445</v>
          </cell>
          <cell r="K1302" t="str">
            <v>996076445</v>
          </cell>
          <cell r="L1302" t="str">
            <v>Masculino</v>
          </cell>
          <cell r="M1302" t="str">
            <v>Parda</v>
          </cell>
          <cell r="N1302">
            <v>29172</v>
          </cell>
          <cell r="O1302" t="str">
            <v>378845883</v>
          </cell>
          <cell r="P1302" t="str">
            <v>SP</v>
          </cell>
          <cell r="Q1302" t="str">
            <v>SSP</v>
          </cell>
          <cell r="R1302" t="str">
            <v>LAGARTO</v>
          </cell>
        </row>
        <row r="1303">
          <cell r="A1303" t="str">
            <v>ERIVALDO OLIVEIRA SILVA</v>
          </cell>
          <cell r="B1303" t="str">
            <v>Casado</v>
          </cell>
          <cell r="C1303" t="str">
            <v>R JOSE FERREIRA CANAES</v>
          </cell>
          <cell r="D1303" t="str">
            <v>Vila Santo Antônio</v>
          </cell>
          <cell r="E1303" t="str">
            <v>GUARUJA</v>
          </cell>
          <cell r="F1303" t="str">
            <v>SP</v>
          </cell>
          <cell r="G1303" t="str">
            <v>797</v>
          </cell>
          <cell r="H1303" t="str">
            <v/>
          </cell>
          <cell r="I1303" t="str">
            <v>11432-350</v>
          </cell>
          <cell r="J1303" t="str">
            <v>998122376</v>
          </cell>
          <cell r="K1303" t="str">
            <v>998122376</v>
          </cell>
          <cell r="L1303" t="str">
            <v>Masculino</v>
          </cell>
          <cell r="M1303" t="str">
            <v>Parda</v>
          </cell>
          <cell r="N1303">
            <v>31983</v>
          </cell>
          <cell r="O1303" t="str">
            <v>426787419</v>
          </cell>
          <cell r="P1303" t="str">
            <v>SP</v>
          </cell>
          <cell r="Q1303" t="str">
            <v>SSP</v>
          </cell>
          <cell r="R1303" t="str">
            <v>SAO ROQUE</v>
          </cell>
        </row>
        <row r="1304">
          <cell r="A1304" t="str">
            <v>FELIPE DE MENEZES QUEIROZ</v>
          </cell>
          <cell r="B1304" t="str">
            <v>Casado</v>
          </cell>
          <cell r="C1304" t="str">
            <v>R MAJOR EUGÊNIO TERRAL</v>
          </cell>
          <cell r="D1304" t="str">
            <v>Vila Cascatinha</v>
          </cell>
          <cell r="E1304" t="str">
            <v>SAO VICENTE</v>
          </cell>
          <cell r="F1304" t="str">
            <v>SP</v>
          </cell>
          <cell r="G1304" t="str">
            <v>88</v>
          </cell>
          <cell r="H1304" t="str">
            <v/>
          </cell>
          <cell r="I1304" t="str">
            <v>11370-160</v>
          </cell>
          <cell r="J1304" t="str">
            <v>974062295</v>
          </cell>
          <cell r="K1304" t="str">
            <v>974062295</v>
          </cell>
          <cell r="L1304" t="str">
            <v>Masculino</v>
          </cell>
          <cell r="M1304" t="str">
            <v>Parda</v>
          </cell>
          <cell r="N1304">
            <v>32687</v>
          </cell>
          <cell r="O1304" t="str">
            <v>450370100</v>
          </cell>
          <cell r="P1304" t="str">
            <v>SP</v>
          </cell>
          <cell r="Q1304" t="str">
            <v>SSP</v>
          </cell>
          <cell r="R1304" t="str">
            <v>SAO VICENTE</v>
          </cell>
        </row>
        <row r="1305">
          <cell r="A1305" t="str">
            <v>PAULA ROBERTA FLORINDO DOS SANTOS</v>
          </cell>
          <cell r="B1305" t="str">
            <v>Casado</v>
          </cell>
          <cell r="C1305" t="str">
            <v>R FRANCISCO DIAS JORGE</v>
          </cell>
          <cell r="D1305" t="str">
            <v>Cidade Nautica</v>
          </cell>
          <cell r="E1305" t="str">
            <v>SAO VICENTE</v>
          </cell>
          <cell r="F1305" t="str">
            <v>SP</v>
          </cell>
          <cell r="G1305" t="str">
            <v>260</v>
          </cell>
          <cell r="H1305" t="str">
            <v/>
          </cell>
          <cell r="I1305" t="str">
            <v>11350-270</v>
          </cell>
          <cell r="J1305" t="str">
            <v>991334221</v>
          </cell>
          <cell r="K1305" t="str">
            <v>991334221</v>
          </cell>
          <cell r="L1305" t="str">
            <v>Feminino</v>
          </cell>
          <cell r="M1305" t="str">
            <v>Parda</v>
          </cell>
          <cell r="N1305">
            <v>30438</v>
          </cell>
          <cell r="O1305" t="str">
            <v>339743013</v>
          </cell>
          <cell r="P1305" t="str">
            <v>SP</v>
          </cell>
          <cell r="Q1305" t="str">
            <v>SSP</v>
          </cell>
          <cell r="R1305" t="str">
            <v>SAO VICENTE</v>
          </cell>
        </row>
        <row r="1306">
          <cell r="A1306" t="str">
            <v>FABIO BEZERRA DE LIMA JUNIOR</v>
          </cell>
          <cell r="B1306" t="str">
            <v>Solteiro</v>
          </cell>
          <cell r="C1306" t="str">
            <v>R ENGENHEIRO SILVIO FERNANDES LOPES</v>
          </cell>
          <cell r="D1306" t="str">
            <v>Sítio Paecara (Vicen</v>
          </cell>
          <cell r="E1306" t="str">
            <v>GUARUJA</v>
          </cell>
          <cell r="F1306" t="str">
            <v>SP</v>
          </cell>
          <cell r="G1306" t="str">
            <v>412</v>
          </cell>
          <cell r="H1306" t="str">
            <v>FUNDOS</v>
          </cell>
          <cell r="I1306" t="str">
            <v>11460-400</v>
          </cell>
          <cell r="J1306" t="str">
            <v>991222176</v>
          </cell>
          <cell r="K1306" t="str">
            <v>991222176</v>
          </cell>
          <cell r="L1306" t="str">
            <v>Masculino</v>
          </cell>
          <cell r="M1306" t="str">
            <v>Parda</v>
          </cell>
          <cell r="N1306">
            <v>30443</v>
          </cell>
          <cell r="O1306" t="str">
            <v>427229340</v>
          </cell>
          <cell r="P1306" t="str">
            <v>SP</v>
          </cell>
          <cell r="Q1306" t="str">
            <v>SSP</v>
          </cell>
          <cell r="R1306" t="str">
            <v>GUARUJA</v>
          </cell>
        </row>
        <row r="1307">
          <cell r="A1307" t="str">
            <v>GUILHERME ALVARO DE CARVALHO VIEIRA</v>
          </cell>
          <cell r="B1307" t="str">
            <v>Solteiro</v>
          </cell>
          <cell r="C1307" t="str">
            <v>R DOUTOR SILVERIO FONTES</v>
          </cell>
          <cell r="D1307" t="str">
            <v>Vila Nova</v>
          </cell>
          <cell r="E1307" t="str">
            <v>SANTOS</v>
          </cell>
          <cell r="F1307" t="str">
            <v>SP</v>
          </cell>
          <cell r="G1307" t="str">
            <v>66</v>
          </cell>
          <cell r="H1307" t="str">
            <v/>
          </cell>
          <cell r="I1307" t="str">
            <v>11013-420</v>
          </cell>
          <cell r="J1307" t="str">
            <v>991534200</v>
          </cell>
          <cell r="K1307" t="str">
            <v>991534200</v>
          </cell>
          <cell r="L1307" t="str">
            <v>Masculino</v>
          </cell>
          <cell r="M1307" t="str">
            <v>Parda</v>
          </cell>
          <cell r="N1307">
            <v>37287</v>
          </cell>
          <cell r="O1307" t="str">
            <v>556216751</v>
          </cell>
          <cell r="P1307" t="str">
            <v>SP</v>
          </cell>
          <cell r="Q1307" t="str">
            <v>SSP</v>
          </cell>
          <cell r="R1307" t="str">
            <v>SANTOS</v>
          </cell>
        </row>
        <row r="1308">
          <cell r="A1308" t="str">
            <v>FRANQUICILON DE PAULA BARROS</v>
          </cell>
          <cell r="B1308" t="str">
            <v>Casado</v>
          </cell>
          <cell r="C1308" t="str">
            <v>R FLORISVAL ALVES DA SILVA</v>
          </cell>
          <cell r="D1308" t="str">
            <v>Parque das Bandeiras</v>
          </cell>
          <cell r="E1308" t="str">
            <v>SAO VICENTE</v>
          </cell>
          <cell r="F1308" t="str">
            <v>SP</v>
          </cell>
          <cell r="G1308" t="str">
            <v>430</v>
          </cell>
          <cell r="H1308" t="str">
            <v>R 16</v>
          </cell>
          <cell r="I1308" t="str">
            <v>11346-170</v>
          </cell>
          <cell r="J1308" t="str">
            <v>974235193</v>
          </cell>
          <cell r="K1308" t="str">
            <v>974235193</v>
          </cell>
          <cell r="L1308" t="str">
            <v>Masculino</v>
          </cell>
          <cell r="M1308" t="str">
            <v>Parda</v>
          </cell>
          <cell r="N1308">
            <v>27897</v>
          </cell>
          <cell r="O1308" t="str">
            <v>255448909</v>
          </cell>
          <cell r="P1308" t="str">
            <v>SP</v>
          </cell>
          <cell r="Q1308" t="str">
            <v>SSP</v>
          </cell>
          <cell r="R1308" t="str">
            <v>CUBATAO</v>
          </cell>
        </row>
        <row r="1309">
          <cell r="A1309" t="str">
            <v>MARCOS PAULO ANDRADE</v>
          </cell>
          <cell r="B1309" t="str">
            <v>Solteiro</v>
          </cell>
          <cell r="C1309" t="str">
            <v>AV LUIZ AMARO COSTA</v>
          </cell>
          <cell r="D1309" t="str">
            <v>Melvi</v>
          </cell>
          <cell r="E1309" t="str">
            <v>PRAIA GRANDE</v>
          </cell>
          <cell r="F1309" t="str">
            <v>SP</v>
          </cell>
          <cell r="G1309" t="str">
            <v>1573</v>
          </cell>
          <cell r="H1309" t="str">
            <v>TRAVESSA 4 DE JULHO 03</v>
          </cell>
          <cell r="I1309" t="str">
            <v>11712-330</v>
          </cell>
          <cell r="J1309" t="str">
            <v>991315799</v>
          </cell>
          <cell r="K1309" t="str">
            <v>991315799</v>
          </cell>
          <cell r="L1309" t="str">
            <v>Masculino</v>
          </cell>
          <cell r="M1309" t="str">
            <v>Parda</v>
          </cell>
          <cell r="N1309">
            <v>29154</v>
          </cell>
          <cell r="O1309" t="str">
            <v>335774404</v>
          </cell>
          <cell r="P1309" t="str">
            <v>SP</v>
          </cell>
          <cell r="Q1309" t="str">
            <v>SSP</v>
          </cell>
          <cell r="R1309" t="str">
            <v>SANTOS</v>
          </cell>
        </row>
        <row r="1310">
          <cell r="A1310" t="str">
            <v>ROBSON DE LIMA RAIA</v>
          </cell>
          <cell r="B1310" t="str">
            <v>Casado</v>
          </cell>
          <cell r="C1310" t="str">
            <v>R AMAZONAS</v>
          </cell>
          <cell r="D1310" t="str">
            <v>Campo Grande</v>
          </cell>
          <cell r="E1310" t="str">
            <v>SANTOS</v>
          </cell>
          <cell r="F1310" t="str">
            <v>SP</v>
          </cell>
          <cell r="G1310" t="str">
            <v>27</v>
          </cell>
          <cell r="H1310" t="str">
            <v>APARTAMENTO 92</v>
          </cell>
          <cell r="I1310" t="str">
            <v>11075-420</v>
          </cell>
          <cell r="J1310" t="str">
            <v>991281815</v>
          </cell>
          <cell r="K1310" t="str">
            <v>991281815</v>
          </cell>
          <cell r="L1310" t="str">
            <v>Masculino</v>
          </cell>
          <cell r="M1310" t="str">
            <v>Parda</v>
          </cell>
          <cell r="N1310">
            <v>30333</v>
          </cell>
          <cell r="O1310" t="str">
            <v>301296911</v>
          </cell>
          <cell r="P1310" t="str">
            <v>SP</v>
          </cell>
          <cell r="Q1310" t="str">
            <v>SSP</v>
          </cell>
          <cell r="R1310" t="str">
            <v>SANTOS</v>
          </cell>
        </row>
        <row r="1311">
          <cell r="A1311" t="str">
            <v>GILSON CORTEZ SILVA</v>
          </cell>
          <cell r="B1311" t="str">
            <v>Casado</v>
          </cell>
          <cell r="C1311" t="str">
            <v>R ALMIRANTE ERNESTO DE MELLO JUNIOR</v>
          </cell>
          <cell r="D1311" t="str">
            <v>Aparecida</v>
          </cell>
          <cell r="E1311" t="str">
            <v>SANTOS</v>
          </cell>
          <cell r="F1311" t="str">
            <v>SP</v>
          </cell>
          <cell r="G1311" t="str">
            <v>101</v>
          </cell>
          <cell r="H1311" t="str">
            <v>BLOCO 3 APARTAMENTO 406</v>
          </cell>
          <cell r="I1311" t="str">
            <v>11035-300</v>
          </cell>
          <cell r="J1311" t="str">
            <v>981769607</v>
          </cell>
          <cell r="K1311" t="str">
            <v>981769607</v>
          </cell>
          <cell r="L1311" t="str">
            <v>Masculino</v>
          </cell>
          <cell r="M1311" t="str">
            <v>Parda</v>
          </cell>
          <cell r="N1311">
            <v>24133</v>
          </cell>
          <cell r="O1311" t="str">
            <v>152869202</v>
          </cell>
          <cell r="P1311" t="str">
            <v>SP</v>
          </cell>
          <cell r="Q1311" t="str">
            <v>SSP</v>
          </cell>
          <cell r="R1311" t="str">
            <v>SANTOS</v>
          </cell>
        </row>
        <row r="1312">
          <cell r="A1312" t="str">
            <v>GERSON FERREIRA JACOMO</v>
          </cell>
          <cell r="B1312" t="str">
            <v>Casado</v>
          </cell>
          <cell r="C1312" t="str">
            <v>R PREFEITO ANTENOR BUE</v>
          </cell>
          <cell r="D1312" t="str">
            <v>Embare</v>
          </cell>
          <cell r="E1312" t="str">
            <v>SANTOS</v>
          </cell>
          <cell r="F1312" t="str">
            <v>SP</v>
          </cell>
          <cell r="G1312" t="str">
            <v>680</v>
          </cell>
          <cell r="H1312" t="str">
            <v>APARTAMENTO 51</v>
          </cell>
          <cell r="I1312" t="str">
            <v>11040-020</v>
          </cell>
          <cell r="J1312" t="str">
            <v>974064020</v>
          </cell>
          <cell r="K1312" t="str">
            <v>974064020</v>
          </cell>
          <cell r="L1312" t="str">
            <v>Masculino</v>
          </cell>
          <cell r="M1312" t="str">
            <v>Parda</v>
          </cell>
          <cell r="N1312">
            <v>27215</v>
          </cell>
          <cell r="O1312" t="str">
            <v>22113606X</v>
          </cell>
          <cell r="P1312" t="str">
            <v>SP</v>
          </cell>
          <cell r="Q1312" t="str">
            <v>SSP</v>
          </cell>
          <cell r="R1312" t="str">
            <v>PIRACICABA</v>
          </cell>
        </row>
        <row r="1313">
          <cell r="A1313" t="str">
            <v>ANDERSON FORTES RODRIGUES</v>
          </cell>
          <cell r="B1313" t="str">
            <v>Solteiro</v>
          </cell>
          <cell r="C1313" t="str">
            <v>R PERO CORREA</v>
          </cell>
          <cell r="D1313" t="str">
            <v>Itarare</v>
          </cell>
          <cell r="E1313" t="str">
            <v>SAO VICENTE</v>
          </cell>
          <cell r="F1313" t="str">
            <v>SP</v>
          </cell>
          <cell r="G1313" t="str">
            <v>547</v>
          </cell>
          <cell r="H1313" t="str">
            <v>APARTAMENTO 218</v>
          </cell>
          <cell r="I1313" t="str">
            <v>11320-140</v>
          </cell>
          <cell r="J1313" t="str">
            <v>974038965</v>
          </cell>
          <cell r="K1313" t="str">
            <v>974038965</v>
          </cell>
          <cell r="L1313" t="str">
            <v>Masculino</v>
          </cell>
          <cell r="M1313" t="str">
            <v>Parda</v>
          </cell>
          <cell r="N1313">
            <v>26582</v>
          </cell>
          <cell r="O1313" t="str">
            <v>217491418</v>
          </cell>
          <cell r="P1313" t="str">
            <v>SP</v>
          </cell>
          <cell r="Q1313" t="str">
            <v>SSP</v>
          </cell>
          <cell r="R1313" t="str">
            <v>SAO VICENTE</v>
          </cell>
        </row>
        <row r="1314">
          <cell r="A1314" t="str">
            <v>MARCOS ROBERTO DE SOUZA FERNANDES</v>
          </cell>
          <cell r="B1314" t="str">
            <v>Casado</v>
          </cell>
          <cell r="C1314" t="str">
            <v>R ROBERTO COCK</v>
          </cell>
          <cell r="D1314" t="str">
            <v>Vila Jockei Clube</v>
          </cell>
          <cell r="E1314" t="str">
            <v>SAO VICENTE</v>
          </cell>
          <cell r="F1314" t="str">
            <v>SP</v>
          </cell>
          <cell r="G1314" t="str">
            <v>65</v>
          </cell>
          <cell r="H1314" t="str">
            <v>CASA 02</v>
          </cell>
          <cell r="I1314" t="str">
            <v>11360-190</v>
          </cell>
          <cell r="J1314" t="str">
            <v>974048503</v>
          </cell>
          <cell r="K1314" t="str">
            <v>974048503</v>
          </cell>
          <cell r="L1314" t="str">
            <v>Masculino</v>
          </cell>
          <cell r="M1314" t="str">
            <v>Parda</v>
          </cell>
          <cell r="N1314">
            <v>27615</v>
          </cell>
          <cell r="O1314" t="str">
            <v>259806341</v>
          </cell>
          <cell r="P1314" t="str">
            <v>SP</v>
          </cell>
          <cell r="Q1314" t="str">
            <v>SSP</v>
          </cell>
          <cell r="R1314" t="str">
            <v>SANTOS</v>
          </cell>
        </row>
        <row r="1315">
          <cell r="A1315" t="str">
            <v>RICARDO RODRIGUES SANTOS</v>
          </cell>
          <cell r="B1315" t="str">
            <v>Casado</v>
          </cell>
          <cell r="C1315" t="str">
            <v>R GUILHERME BACKEUSER</v>
          </cell>
          <cell r="D1315" t="str">
            <v>Sítio Paecara (Vicente carvalho</v>
          </cell>
          <cell r="E1315" t="str">
            <v>GUARUJA</v>
          </cell>
          <cell r="F1315" t="str">
            <v>SP</v>
          </cell>
          <cell r="G1315" t="str">
            <v>202</v>
          </cell>
          <cell r="H1315" t="str">
            <v/>
          </cell>
          <cell r="I1315" t="str">
            <v>11450-410</v>
          </cell>
          <cell r="J1315" t="str">
            <v>997688797</v>
          </cell>
          <cell r="K1315" t="str">
            <v>997688797</v>
          </cell>
          <cell r="L1315" t="str">
            <v>Masculino</v>
          </cell>
          <cell r="M1315" t="str">
            <v>Parda</v>
          </cell>
          <cell r="N1315">
            <v>28048</v>
          </cell>
          <cell r="O1315" t="str">
            <v>233185902</v>
          </cell>
          <cell r="P1315" t="str">
            <v>SP</v>
          </cell>
          <cell r="Q1315" t="str">
            <v>SSP</v>
          </cell>
          <cell r="R1315" t="str">
            <v>GUARUJA</v>
          </cell>
        </row>
        <row r="1316">
          <cell r="A1316" t="str">
            <v>GUILHERME VASCONCELOS PEREIRA</v>
          </cell>
          <cell r="B1316" t="str">
            <v>Casado</v>
          </cell>
          <cell r="C1316" t="str">
            <v>R JOAO DAMASCO</v>
          </cell>
          <cell r="D1316" t="str">
            <v>Parque Fernando Jorg</v>
          </cell>
          <cell r="E1316" t="str">
            <v>CUBATAO</v>
          </cell>
          <cell r="F1316" t="str">
            <v>SP</v>
          </cell>
          <cell r="G1316" t="str">
            <v>583</v>
          </cell>
          <cell r="H1316" t="str">
            <v/>
          </cell>
          <cell r="I1316" t="str">
            <v>11500-250</v>
          </cell>
          <cell r="J1316" t="str">
            <v>996130517</v>
          </cell>
          <cell r="K1316" t="str">
            <v>996130517</v>
          </cell>
          <cell r="L1316" t="str">
            <v>Masculino</v>
          </cell>
          <cell r="M1316" t="str">
            <v>Parda</v>
          </cell>
          <cell r="N1316">
            <v>34086</v>
          </cell>
          <cell r="O1316" t="str">
            <v>488850332</v>
          </cell>
          <cell r="P1316" t="str">
            <v>SP</v>
          </cell>
          <cell r="Q1316" t="str">
            <v>SSP</v>
          </cell>
          <cell r="R1316" t="str">
            <v>SANTOS</v>
          </cell>
        </row>
        <row r="1317">
          <cell r="A1317" t="str">
            <v>CARLOS EDUARDO DA SILVA</v>
          </cell>
          <cell r="B1317" t="str">
            <v>Casado</v>
          </cell>
          <cell r="C1317" t="str">
            <v>R LUIS ALVES</v>
          </cell>
          <cell r="D1317" t="str">
            <v>Jardim Castelo</v>
          </cell>
          <cell r="E1317" t="str">
            <v>SANTOS</v>
          </cell>
          <cell r="F1317" t="str">
            <v>SP</v>
          </cell>
          <cell r="G1317" t="str">
            <v>80</v>
          </cell>
          <cell r="H1317" t="str">
            <v/>
          </cell>
          <cell r="I1317" t="str">
            <v>11088-050</v>
          </cell>
          <cell r="J1317" t="str">
            <v>996365497</v>
          </cell>
          <cell r="K1317" t="str">
            <v>996365497</v>
          </cell>
          <cell r="L1317" t="str">
            <v>Masculino</v>
          </cell>
          <cell r="M1317" t="str">
            <v>Parda</v>
          </cell>
          <cell r="N1317">
            <v>27597</v>
          </cell>
          <cell r="O1317" t="str">
            <v>252582305</v>
          </cell>
          <cell r="P1317" t="str">
            <v>SP</v>
          </cell>
          <cell r="Q1317" t="str">
            <v>SSP</v>
          </cell>
          <cell r="R1317" t="str">
            <v>SANTOS</v>
          </cell>
        </row>
        <row r="1318">
          <cell r="A1318" t="str">
            <v>DANIELA SILVA DIAS</v>
          </cell>
          <cell r="B1318" t="str">
            <v>Solteiro</v>
          </cell>
          <cell r="C1318" t="str">
            <v>R IRMA MARIA ALBERTA</v>
          </cell>
          <cell r="D1318" t="str">
            <v>Samarita</v>
          </cell>
          <cell r="E1318" t="str">
            <v>SAO VICENTE</v>
          </cell>
          <cell r="F1318" t="str">
            <v>SP</v>
          </cell>
          <cell r="G1318" t="str">
            <v>105</v>
          </cell>
          <cell r="H1318" t="str">
            <v>BLOCO 4 APARTAMENTO 405</v>
          </cell>
          <cell r="I1318" t="str">
            <v>11345-045</v>
          </cell>
          <cell r="J1318" t="str">
            <v>942809317</v>
          </cell>
          <cell r="K1318" t="str">
            <v>942809317</v>
          </cell>
          <cell r="L1318" t="str">
            <v>Feminino</v>
          </cell>
          <cell r="M1318" t="str">
            <v>Parda</v>
          </cell>
          <cell r="N1318">
            <v>28877</v>
          </cell>
          <cell r="O1318" t="str">
            <v>295017648</v>
          </cell>
          <cell r="P1318" t="str">
            <v>SP</v>
          </cell>
          <cell r="Q1318" t="str">
            <v>SSP</v>
          </cell>
          <cell r="R1318" t="str">
            <v>SANTOS</v>
          </cell>
        </row>
        <row r="1319">
          <cell r="A1319" t="str">
            <v>DOUGLAS RODRIGUES LEITE</v>
          </cell>
          <cell r="B1319" t="str">
            <v>Solteiro</v>
          </cell>
          <cell r="C1319" t="str">
            <v>R JOSE FERNANDES</v>
          </cell>
          <cell r="D1319" t="str">
            <v>Jardim Rio Branco</v>
          </cell>
          <cell r="E1319" t="str">
            <v>SAO VICENTE</v>
          </cell>
          <cell r="F1319" t="str">
            <v>SP</v>
          </cell>
          <cell r="G1319" t="str">
            <v>267</v>
          </cell>
          <cell r="H1319" t="str">
            <v>CASA ALTOS</v>
          </cell>
          <cell r="I1319" t="str">
            <v>11347-140</v>
          </cell>
          <cell r="J1319" t="str">
            <v>997018878</v>
          </cell>
          <cell r="K1319" t="str">
            <v>997255445</v>
          </cell>
          <cell r="L1319" t="str">
            <v>Masculino</v>
          </cell>
          <cell r="M1319" t="str">
            <v>Parda</v>
          </cell>
          <cell r="N1319">
            <v>29308</v>
          </cell>
          <cell r="O1319" t="str">
            <v>335399526</v>
          </cell>
          <cell r="P1319" t="str">
            <v>SP</v>
          </cell>
          <cell r="Q1319" t="str">
            <v>SSP</v>
          </cell>
          <cell r="R1319" t="str">
            <v>SAO PAULO</v>
          </cell>
        </row>
        <row r="1320">
          <cell r="A1320" t="str">
            <v>CARLA DE SOUZA PERSICH TEIXEIRA</v>
          </cell>
          <cell r="B1320" t="str">
            <v>Viúvo</v>
          </cell>
          <cell r="C1320" t="str">
            <v>R CASA BRANCA</v>
          </cell>
          <cell r="D1320" t="str">
            <v>Sítio Paecara (Vicente carvalho</v>
          </cell>
          <cell r="E1320" t="str">
            <v>GUARUJA</v>
          </cell>
          <cell r="F1320" t="str">
            <v>SP</v>
          </cell>
          <cell r="G1320" t="str">
            <v>378</v>
          </cell>
          <cell r="H1320" t="str">
            <v>CASA ALTOS</v>
          </cell>
          <cell r="I1320" t="str">
            <v>11461-680</v>
          </cell>
          <cell r="J1320" t="str">
            <v>981242207</v>
          </cell>
          <cell r="K1320" t="str">
            <v>991167881</v>
          </cell>
          <cell r="L1320" t="str">
            <v>Feminino</v>
          </cell>
          <cell r="M1320" t="str">
            <v>Parda</v>
          </cell>
          <cell r="N1320">
            <v>32527</v>
          </cell>
          <cell r="O1320" t="str">
            <v>46004042X</v>
          </cell>
          <cell r="P1320" t="str">
            <v>SP</v>
          </cell>
          <cell r="Q1320" t="str">
            <v>SSP</v>
          </cell>
          <cell r="R1320" t="str">
            <v>GUARUJA</v>
          </cell>
        </row>
        <row r="1321">
          <cell r="A1321" t="str">
            <v>FATIMA CABRAL SALES</v>
          </cell>
          <cell r="B1321" t="str">
            <v>Casado</v>
          </cell>
          <cell r="C1321" t="str">
            <v>AV ROBERTO MUZZI</v>
          </cell>
          <cell r="D1321" t="str">
            <v>Maracanã</v>
          </cell>
          <cell r="E1321" t="str">
            <v>PRAIA GRANDE</v>
          </cell>
          <cell r="F1321" t="str">
            <v>SP</v>
          </cell>
          <cell r="G1321" t="str">
            <v>923</v>
          </cell>
          <cell r="H1321" t="str">
            <v>CASA 3</v>
          </cell>
          <cell r="I1321" t="str">
            <v>11705-570</v>
          </cell>
          <cell r="J1321" t="str">
            <v>988436380</v>
          </cell>
          <cell r="K1321" t="str">
            <v>988436380</v>
          </cell>
          <cell r="L1321" t="str">
            <v>Feminino</v>
          </cell>
          <cell r="M1321" t="str">
            <v>Parda</v>
          </cell>
          <cell r="N1321">
            <v>30574</v>
          </cell>
          <cell r="O1321" t="str">
            <v>351468511</v>
          </cell>
          <cell r="P1321" t="str">
            <v>SP</v>
          </cell>
          <cell r="Q1321" t="str">
            <v>SSP</v>
          </cell>
          <cell r="R1321" t="str">
            <v>SANTOS</v>
          </cell>
        </row>
        <row r="1322">
          <cell r="A1322" t="str">
            <v>HELLEN CAMARGO NEVES</v>
          </cell>
          <cell r="B1322" t="str">
            <v>Solteiro</v>
          </cell>
          <cell r="C1322" t="str">
            <v>R TENENTE DURVAL DO AMARAL</v>
          </cell>
          <cell r="D1322" t="str">
            <v>Catiapoa</v>
          </cell>
          <cell r="E1322" t="str">
            <v>SAO VICENTE</v>
          </cell>
          <cell r="F1322" t="str">
            <v>SP</v>
          </cell>
          <cell r="G1322" t="str">
            <v>301</v>
          </cell>
          <cell r="H1322" t="str">
            <v/>
          </cell>
          <cell r="I1322" t="str">
            <v>11380-300</v>
          </cell>
          <cell r="J1322" t="str">
            <v>974099129</v>
          </cell>
          <cell r="K1322" t="str">
            <v>974099129</v>
          </cell>
          <cell r="L1322" t="str">
            <v>Feminino</v>
          </cell>
          <cell r="M1322" t="str">
            <v>Parda</v>
          </cell>
          <cell r="N1322">
            <v>31600</v>
          </cell>
          <cell r="O1322" t="str">
            <v>421712983</v>
          </cell>
          <cell r="P1322" t="str">
            <v>SP</v>
          </cell>
          <cell r="Q1322" t="str">
            <v>SSP</v>
          </cell>
          <cell r="R1322" t="str">
            <v>SAO VICENTE</v>
          </cell>
        </row>
        <row r="1323">
          <cell r="A1323" t="str">
            <v>RENATO DE OLIVEIRA DA SILVA SOUZA</v>
          </cell>
          <cell r="B1323" t="str">
            <v>Casado</v>
          </cell>
          <cell r="C1323" t="str">
            <v>AV PRESBITERO BENEDITO LEMOS DE SOUZA</v>
          </cell>
          <cell r="D1323" t="str">
            <v>Morrinhos</v>
          </cell>
          <cell r="E1323" t="str">
            <v>GUARUJA</v>
          </cell>
          <cell r="F1323" t="str">
            <v>SP</v>
          </cell>
          <cell r="G1323" t="str">
            <v>1071</v>
          </cell>
          <cell r="H1323" t="str">
            <v>casa 2 - MORRINHOS II</v>
          </cell>
          <cell r="I1323" t="str">
            <v>11495-013</v>
          </cell>
          <cell r="J1323" t="str">
            <v>974198377</v>
          </cell>
          <cell r="K1323" t="str">
            <v>974198377</v>
          </cell>
          <cell r="L1323" t="str">
            <v>Masculino</v>
          </cell>
          <cell r="M1323" t="str">
            <v>Parda</v>
          </cell>
          <cell r="N1323">
            <v>33047</v>
          </cell>
          <cell r="O1323" t="str">
            <v>467900747</v>
          </cell>
          <cell r="P1323" t="str">
            <v>SP</v>
          </cell>
          <cell r="Q1323" t="str">
            <v>SSP</v>
          </cell>
          <cell r="R1323" t="str">
            <v>GUARUJA</v>
          </cell>
        </row>
        <row r="1324">
          <cell r="A1324" t="str">
            <v>RICARDO VIEIRA SILVA</v>
          </cell>
          <cell r="B1324" t="str">
            <v>Casado</v>
          </cell>
          <cell r="C1324" t="str">
            <v>R PASCHOAL GZEBIEN</v>
          </cell>
          <cell r="D1324" t="str">
            <v>Parque Continental</v>
          </cell>
          <cell r="E1324" t="str">
            <v>SAO VICENTE</v>
          </cell>
          <cell r="F1324" t="str">
            <v>SP</v>
          </cell>
          <cell r="G1324" t="str">
            <v>740</v>
          </cell>
          <cell r="H1324" t="str">
            <v/>
          </cell>
          <cell r="I1324" t="str">
            <v>11348-100</v>
          </cell>
          <cell r="J1324" t="str">
            <v>981349272</v>
          </cell>
          <cell r="K1324" t="str">
            <v>98134-9272</v>
          </cell>
          <cell r="L1324" t="str">
            <v>Masculino</v>
          </cell>
          <cell r="M1324" t="str">
            <v>Parda</v>
          </cell>
          <cell r="N1324">
            <v>27277</v>
          </cell>
          <cell r="O1324" t="str">
            <v>255142870</v>
          </cell>
          <cell r="P1324" t="str">
            <v>SP</v>
          </cell>
          <cell r="Q1324" t="str">
            <v>SSP</v>
          </cell>
          <cell r="R1324" t="str">
            <v>SANTOS</v>
          </cell>
        </row>
        <row r="1325">
          <cell r="A1325" t="str">
            <v>JAQUELINE NOGUEIRA CLEMENTINO</v>
          </cell>
          <cell r="B1325" t="str">
            <v>Solteiro</v>
          </cell>
          <cell r="C1325" t="str">
            <v>R JOSE BENEDITO HENRIQUES</v>
          </cell>
          <cell r="D1325" t="str">
            <v>Catiapoa</v>
          </cell>
          <cell r="E1325" t="str">
            <v>SAO VICENTE</v>
          </cell>
          <cell r="F1325" t="str">
            <v>SP</v>
          </cell>
          <cell r="G1325" t="str">
            <v>456</v>
          </cell>
          <cell r="H1325" t="str">
            <v>APARTAMENTO 32 BLOCO C</v>
          </cell>
          <cell r="I1325" t="str">
            <v>11390-430</v>
          </cell>
          <cell r="J1325" t="str">
            <v>997777206</v>
          </cell>
          <cell r="K1325" t="str">
            <v>997777206</v>
          </cell>
          <cell r="L1325" t="str">
            <v>Feminino</v>
          </cell>
          <cell r="M1325" t="str">
            <v>Parda</v>
          </cell>
          <cell r="N1325">
            <v>27833</v>
          </cell>
          <cell r="O1325" t="str">
            <v>283628248</v>
          </cell>
          <cell r="P1325" t="str">
            <v>SP</v>
          </cell>
          <cell r="Q1325" t="str">
            <v>SSP</v>
          </cell>
          <cell r="R1325" t="str">
            <v>CUBATAO</v>
          </cell>
        </row>
        <row r="1326">
          <cell r="A1326" t="str">
            <v>LEANDRO FELIPE DA SILVA</v>
          </cell>
          <cell r="B1326" t="str">
            <v>Casado</v>
          </cell>
          <cell r="C1326" t="str">
            <v>R GUILHERME SALERA</v>
          </cell>
          <cell r="D1326" t="str">
            <v>Jardim Virgínia</v>
          </cell>
          <cell r="E1326" t="str">
            <v>GUARUJA</v>
          </cell>
          <cell r="F1326" t="str">
            <v>SP</v>
          </cell>
          <cell r="G1326" t="str">
            <v>24</v>
          </cell>
          <cell r="H1326" t="str">
            <v>FUNDOS</v>
          </cell>
          <cell r="I1326" t="str">
            <v>11442-160</v>
          </cell>
          <cell r="J1326" t="str">
            <v>996954023</v>
          </cell>
          <cell r="K1326" t="str">
            <v>996954023</v>
          </cell>
          <cell r="L1326" t="str">
            <v>Masculino</v>
          </cell>
          <cell r="M1326" t="str">
            <v>Parda</v>
          </cell>
          <cell r="N1326">
            <v>31517</v>
          </cell>
          <cell r="O1326" t="str">
            <v>427820273</v>
          </cell>
          <cell r="P1326" t="str">
            <v>SP</v>
          </cell>
          <cell r="Q1326" t="str">
            <v>SSP</v>
          </cell>
          <cell r="R1326" t="str">
            <v>GUARUJA</v>
          </cell>
        </row>
        <row r="1327">
          <cell r="A1327" t="str">
            <v>LEANDRO ALMEIDA SANTOS</v>
          </cell>
          <cell r="B1327" t="str">
            <v>Casado</v>
          </cell>
          <cell r="C1327" t="str">
            <v>AV ILDA ROSA DA CUNHA</v>
          </cell>
          <cell r="D1327" t="str">
            <v>RIBEIROPOLIS</v>
          </cell>
          <cell r="E1327" t="str">
            <v>PRAIA GRANDE</v>
          </cell>
          <cell r="F1327" t="str">
            <v>SP</v>
          </cell>
          <cell r="G1327" t="str">
            <v>565</v>
          </cell>
          <cell r="H1327" t="str">
            <v/>
          </cell>
          <cell r="I1327" t="str">
            <v>11714-010</v>
          </cell>
          <cell r="J1327" t="str">
            <v>997363371</v>
          </cell>
          <cell r="K1327" t="str">
            <v>997363371</v>
          </cell>
          <cell r="L1327" t="str">
            <v>Masculino</v>
          </cell>
          <cell r="M1327" t="str">
            <v>Parda</v>
          </cell>
          <cell r="N1327">
            <v>31322</v>
          </cell>
          <cell r="O1327" t="str">
            <v>414287113</v>
          </cell>
          <cell r="P1327" t="str">
            <v>SP</v>
          </cell>
          <cell r="Q1327" t="str">
            <v>SSP</v>
          </cell>
          <cell r="R1327" t="str">
            <v>SANTOS</v>
          </cell>
        </row>
        <row r="1328">
          <cell r="A1328" t="str">
            <v>VALMIR SANTOS DA SILVA</v>
          </cell>
          <cell r="B1328" t="str">
            <v>Solteiro</v>
          </cell>
          <cell r="C1328" t="str">
            <v>AV Conselheiro Nébias</v>
          </cell>
          <cell r="D1328" t="str">
            <v>Vila Mathias</v>
          </cell>
          <cell r="E1328" t="str">
            <v>SANTOS</v>
          </cell>
          <cell r="F1328" t="str">
            <v>SP</v>
          </cell>
          <cell r="G1328" t="str">
            <v>271</v>
          </cell>
          <cell r="H1328" t="str">
            <v>Apto 23</v>
          </cell>
          <cell r="I1328" t="str">
            <v>11015-003</v>
          </cell>
          <cell r="J1328" t="str">
            <v>991339497</v>
          </cell>
          <cell r="K1328" t="str">
            <v>991339497</v>
          </cell>
          <cell r="L1328" t="str">
            <v>Masculino</v>
          </cell>
          <cell r="M1328" t="str">
            <v>Parda</v>
          </cell>
          <cell r="N1328">
            <v>31904</v>
          </cell>
          <cell r="O1328" t="str">
            <v>416435312</v>
          </cell>
          <cell r="P1328" t="str">
            <v>SP</v>
          </cell>
          <cell r="Q1328" t="str">
            <v>SSP</v>
          </cell>
          <cell r="R1328" t="str">
            <v>CARUARU</v>
          </cell>
        </row>
        <row r="1329">
          <cell r="A1329" t="str">
            <v>GILVAM DOS SANTOS RODRIGUES</v>
          </cell>
          <cell r="B1329" t="str">
            <v>Casado</v>
          </cell>
          <cell r="C1329" t="str">
            <v>R CASTRO ALVES</v>
          </cell>
          <cell r="D1329" t="str">
            <v>Sítio Paecara (Vicente de Carvalho)</v>
          </cell>
          <cell r="E1329" t="str">
            <v>GUARUJA</v>
          </cell>
          <cell r="F1329" t="str">
            <v>SP</v>
          </cell>
          <cell r="G1329" t="str">
            <v>37</v>
          </cell>
          <cell r="H1329" t="str">
            <v>CASA 2</v>
          </cell>
          <cell r="I1329" t="str">
            <v>11460-010</v>
          </cell>
          <cell r="J1329" t="str">
            <v>981716996</v>
          </cell>
          <cell r="K1329" t="str">
            <v>981716996</v>
          </cell>
          <cell r="L1329" t="str">
            <v>Masculino</v>
          </cell>
          <cell r="M1329" t="str">
            <v>Parda</v>
          </cell>
          <cell r="N1329">
            <v>35495</v>
          </cell>
          <cell r="O1329" t="str">
            <v>501061885</v>
          </cell>
          <cell r="P1329" t="str">
            <v>SP</v>
          </cell>
          <cell r="Q1329" t="str">
            <v>SSP</v>
          </cell>
          <cell r="R1329" t="str">
            <v>SANTOS</v>
          </cell>
        </row>
        <row r="1330">
          <cell r="A1330" t="str">
            <v>LUIZ GUILHERME GONZAGA DE LIMA</v>
          </cell>
          <cell r="B1330" t="str">
            <v>Solteiro</v>
          </cell>
          <cell r="C1330" t="str">
            <v>AV MARTINS FONTES DE 1041/1042</v>
          </cell>
          <cell r="D1330" t="str">
            <v>Saboó</v>
          </cell>
          <cell r="E1330" t="str">
            <v>SANTOS</v>
          </cell>
          <cell r="F1330" t="str">
            <v>SP</v>
          </cell>
          <cell r="G1330" t="str">
            <v>1115</v>
          </cell>
          <cell r="H1330" t="str">
            <v>BLOCO D APARTAMENTO 42</v>
          </cell>
          <cell r="I1330" t="str">
            <v>11085-001</v>
          </cell>
          <cell r="J1330" t="str">
            <v>991835757</v>
          </cell>
          <cell r="K1330" t="str">
            <v>991835757</v>
          </cell>
          <cell r="L1330" t="str">
            <v>Masculino</v>
          </cell>
          <cell r="M1330" t="str">
            <v>Parda</v>
          </cell>
          <cell r="N1330">
            <v>32387</v>
          </cell>
          <cell r="O1330" t="str">
            <v>449475980</v>
          </cell>
          <cell r="P1330" t="str">
            <v>SP</v>
          </cell>
          <cell r="Q1330" t="str">
            <v>SSP</v>
          </cell>
          <cell r="R1330" t="str">
            <v>SANTOS</v>
          </cell>
        </row>
        <row r="1331">
          <cell r="A1331" t="str">
            <v>JAIRO MENEZES DA SILVA</v>
          </cell>
          <cell r="B1331" t="str">
            <v>Casado</v>
          </cell>
          <cell r="C1331" t="str">
            <v>AV RAUL POMPEIA</v>
          </cell>
          <cell r="D1331" t="str">
            <v>Maracanã</v>
          </cell>
          <cell r="E1331" t="str">
            <v>PRAIA GRANDE</v>
          </cell>
          <cell r="F1331" t="str">
            <v>SP</v>
          </cell>
          <cell r="G1331" t="str">
            <v>630</v>
          </cell>
          <cell r="H1331" t="str">
            <v>Q16 L11</v>
          </cell>
          <cell r="I1331" t="str">
            <v>11714-020</v>
          </cell>
          <cell r="J1331" t="str">
            <v>981865496</v>
          </cell>
          <cell r="K1331" t="str">
            <v>981865496</v>
          </cell>
          <cell r="L1331" t="str">
            <v>Masculino</v>
          </cell>
          <cell r="M1331" t="str">
            <v>Parda</v>
          </cell>
          <cell r="N1331">
            <v>27929</v>
          </cell>
          <cell r="O1331" t="str">
            <v>271301430</v>
          </cell>
          <cell r="P1331" t="str">
            <v>SP</v>
          </cell>
          <cell r="Q1331" t="str">
            <v>SSP</v>
          </cell>
          <cell r="R1331" t="str">
            <v>SAO PAULO</v>
          </cell>
        </row>
        <row r="1332">
          <cell r="A1332" t="str">
            <v>OZANAN BARRETO LINO</v>
          </cell>
          <cell r="B1332" t="str">
            <v>Casado</v>
          </cell>
          <cell r="C1332" t="str">
            <v>R ALBERTO NEPOMUCENO</v>
          </cell>
          <cell r="D1332" t="str">
            <v>Samambaia</v>
          </cell>
          <cell r="E1332" t="str">
            <v>PRAIA GRANDE</v>
          </cell>
          <cell r="F1332" t="str">
            <v>SP</v>
          </cell>
          <cell r="G1332" t="str">
            <v>197</v>
          </cell>
          <cell r="H1332" t="str">
            <v/>
          </cell>
          <cell r="I1332" t="str">
            <v>11713-170</v>
          </cell>
          <cell r="J1332" t="str">
            <v>988229013</v>
          </cell>
          <cell r="K1332" t="str">
            <v>988229013</v>
          </cell>
          <cell r="L1332" t="str">
            <v>Masculino</v>
          </cell>
          <cell r="M1332" t="str">
            <v>Parda</v>
          </cell>
          <cell r="N1332">
            <v>29277</v>
          </cell>
          <cell r="O1332" t="str">
            <v>329177072</v>
          </cell>
          <cell r="P1332" t="str">
            <v>SP</v>
          </cell>
          <cell r="Q1332" t="str">
            <v>SSP</v>
          </cell>
          <cell r="R1332" t="str">
            <v>CORONEL FABRICIANO</v>
          </cell>
        </row>
        <row r="1333">
          <cell r="A1333" t="str">
            <v>RODOLFO RODRIGUES DA SILVA CARDOSO</v>
          </cell>
          <cell r="B1333" t="str">
            <v>Casado</v>
          </cell>
          <cell r="C1333" t="str">
            <v>AV JORNALISTA PAULO MATOS</v>
          </cell>
          <cell r="D1333" t="str">
            <v>Areia Branca</v>
          </cell>
          <cell r="E1333" t="str">
            <v>SANTOS</v>
          </cell>
          <cell r="F1333" t="str">
            <v>SP</v>
          </cell>
          <cell r="G1333" t="str">
            <v>329</v>
          </cell>
          <cell r="H1333" t="str">
            <v>APARTAMENTO 181 BLOCO 2</v>
          </cell>
          <cell r="I1333" t="str">
            <v>11086-495</v>
          </cell>
          <cell r="J1333" t="str">
            <v>981322991</v>
          </cell>
          <cell r="K1333" t="str">
            <v>996647118</v>
          </cell>
          <cell r="L1333" t="str">
            <v>Masculino</v>
          </cell>
          <cell r="M1333" t="str">
            <v>Parda</v>
          </cell>
          <cell r="N1333">
            <v>33084</v>
          </cell>
          <cell r="O1333" t="str">
            <v>471795689</v>
          </cell>
          <cell r="P1333" t="str">
            <v>SP</v>
          </cell>
          <cell r="Q1333" t="str">
            <v>SSP</v>
          </cell>
          <cell r="R1333" t="str">
            <v>SAO VICENTE</v>
          </cell>
        </row>
        <row r="1334">
          <cell r="A1334" t="str">
            <v>FABRICIO CARVALHO CRUZ SANTOS</v>
          </cell>
          <cell r="B1334" t="str">
            <v>Casado</v>
          </cell>
          <cell r="C1334" t="str">
            <v>R AMBROSINA AMELIA CALDEIRA TOLENTINO</v>
          </cell>
          <cell r="D1334" t="str">
            <v>Jardim Castelo</v>
          </cell>
          <cell r="E1334" t="str">
            <v>SANTOS</v>
          </cell>
          <cell r="F1334" t="str">
            <v>SP</v>
          </cell>
          <cell r="G1334" t="str">
            <v>191</v>
          </cell>
          <cell r="H1334" t="str">
            <v>BLOCO 4 APARTAMENTO 11</v>
          </cell>
          <cell r="I1334" t="str">
            <v>11087-300</v>
          </cell>
          <cell r="J1334" t="str">
            <v>981157988</v>
          </cell>
          <cell r="K1334" t="str">
            <v>981157988</v>
          </cell>
          <cell r="L1334" t="str">
            <v>Masculino</v>
          </cell>
          <cell r="M1334" t="str">
            <v>Parda</v>
          </cell>
          <cell r="N1334">
            <v>29460</v>
          </cell>
          <cell r="O1334" t="str">
            <v>351466290</v>
          </cell>
          <cell r="P1334" t="str">
            <v>SP</v>
          </cell>
          <cell r="Q1334" t="str">
            <v>SSP</v>
          </cell>
          <cell r="R1334" t="str">
            <v>SAO VICENTE</v>
          </cell>
        </row>
        <row r="1335">
          <cell r="A1335" t="str">
            <v>THIAGO FONSECA DA SILVA COSTA</v>
          </cell>
          <cell r="B1335" t="str">
            <v>Casado</v>
          </cell>
          <cell r="C1335" t="str">
            <v>AV ELEONOR ROOSEVELT</v>
          </cell>
          <cell r="D1335" t="str">
            <v>São Jorge</v>
          </cell>
          <cell r="E1335" t="str">
            <v>SANTOS</v>
          </cell>
          <cell r="F1335" t="str">
            <v>SP</v>
          </cell>
          <cell r="G1335" t="str">
            <v>593</v>
          </cell>
          <cell r="H1335" t="str">
            <v/>
          </cell>
          <cell r="I1335" t="str">
            <v>11085-691</v>
          </cell>
          <cell r="J1335" t="str">
            <v>997810954</v>
          </cell>
          <cell r="K1335" t="str">
            <v>997810954</v>
          </cell>
          <cell r="L1335" t="str">
            <v>Masculino</v>
          </cell>
          <cell r="M1335" t="str">
            <v>Parda</v>
          </cell>
          <cell r="N1335">
            <v>29496</v>
          </cell>
          <cell r="O1335" t="str">
            <v>437321186</v>
          </cell>
          <cell r="P1335" t="str">
            <v>SP</v>
          </cell>
          <cell r="Q1335" t="str">
            <v>SSP</v>
          </cell>
          <cell r="R1335" t="str">
            <v>SANTOS</v>
          </cell>
        </row>
        <row r="1336">
          <cell r="A1336" t="str">
            <v>KLEBER SANTOS DE OLIVEIRA</v>
          </cell>
          <cell r="B1336" t="str">
            <v>União Estável</v>
          </cell>
          <cell r="C1336" t="str">
            <v>R ALMIRANTE TAMANDARE</v>
          </cell>
          <cell r="D1336" t="str">
            <v>Macuco</v>
          </cell>
          <cell r="E1336" t="str">
            <v>SANTOS</v>
          </cell>
          <cell r="F1336" t="str">
            <v>SP</v>
          </cell>
          <cell r="G1336" t="str">
            <v>176</v>
          </cell>
          <cell r="H1336" t="str">
            <v>FUNDOS</v>
          </cell>
          <cell r="I1336" t="str">
            <v>11015-250</v>
          </cell>
          <cell r="J1336" t="str">
            <v>991548020</v>
          </cell>
          <cell r="K1336" t="str">
            <v>991548020</v>
          </cell>
          <cell r="L1336" t="str">
            <v>Masculino</v>
          </cell>
          <cell r="M1336" t="str">
            <v>Parda</v>
          </cell>
          <cell r="N1336">
            <v>30101</v>
          </cell>
          <cell r="O1336" t="str">
            <v>246790866</v>
          </cell>
          <cell r="P1336" t="str">
            <v>SP</v>
          </cell>
          <cell r="Q1336" t="str">
            <v>SSP</v>
          </cell>
          <cell r="R1336" t="str">
            <v>SANTOS</v>
          </cell>
        </row>
        <row r="1337">
          <cell r="A1337" t="str">
            <v>RAPHAEL DOS ANJOS DAMASCENO</v>
          </cell>
          <cell r="B1337" t="str">
            <v>Casado</v>
          </cell>
          <cell r="C1337" t="str">
            <v>R AMBROSINA AMELIA CALDEIRA TOLENTINO</v>
          </cell>
          <cell r="D1337" t="str">
            <v>Jardim Castelo</v>
          </cell>
          <cell r="E1337" t="str">
            <v>SANTOS</v>
          </cell>
          <cell r="F1337" t="str">
            <v>SP</v>
          </cell>
          <cell r="G1337" t="str">
            <v>231</v>
          </cell>
          <cell r="H1337" t="str">
            <v>BL F6</v>
          </cell>
          <cell r="I1337" t="str">
            <v>11087-300</v>
          </cell>
          <cell r="J1337" t="str">
            <v>997055228</v>
          </cell>
          <cell r="K1337" t="str">
            <v>997459538</v>
          </cell>
          <cell r="L1337" t="str">
            <v>Masculino</v>
          </cell>
          <cell r="M1337" t="str">
            <v>Parda</v>
          </cell>
          <cell r="N1337">
            <v>31148</v>
          </cell>
          <cell r="O1337" t="str">
            <v>443083514</v>
          </cell>
          <cell r="P1337" t="str">
            <v>SP</v>
          </cell>
          <cell r="Q1337" t="str">
            <v>SSP</v>
          </cell>
          <cell r="R1337" t="str">
            <v>SANTOS</v>
          </cell>
        </row>
        <row r="1338">
          <cell r="A1338" t="str">
            <v>THYRSON PINHEIRO DE LIMA</v>
          </cell>
          <cell r="B1338" t="str">
            <v>Casado</v>
          </cell>
          <cell r="C1338" t="str">
            <v>AV AFFONSO PENNA</v>
          </cell>
          <cell r="D1338" t="str">
            <v>Aparecida</v>
          </cell>
          <cell r="E1338" t="str">
            <v>SANTOS</v>
          </cell>
          <cell r="F1338" t="str">
            <v>SP</v>
          </cell>
          <cell r="G1338" t="str">
            <v>478</v>
          </cell>
          <cell r="H1338" t="str">
            <v>APARTAMENTO 13</v>
          </cell>
          <cell r="I1338" t="str">
            <v>11020-002</v>
          </cell>
          <cell r="J1338" t="str">
            <v>997959480</v>
          </cell>
          <cell r="K1338" t="str">
            <v>997959480</v>
          </cell>
          <cell r="L1338" t="str">
            <v>Masculino</v>
          </cell>
          <cell r="M1338" t="str">
            <v>Parda</v>
          </cell>
          <cell r="N1338">
            <v>27157</v>
          </cell>
          <cell r="O1338" t="str">
            <v>209524893</v>
          </cell>
          <cell r="P1338" t="str">
            <v>SP</v>
          </cell>
          <cell r="Q1338" t="str">
            <v>SSP</v>
          </cell>
          <cell r="R1338" t="str">
            <v>SANTOS</v>
          </cell>
        </row>
        <row r="1339">
          <cell r="A1339" t="str">
            <v>VICTOR CLAUDINEY BATISTA DO REGO</v>
          </cell>
          <cell r="B1339" t="str">
            <v>Casado</v>
          </cell>
          <cell r="C1339" t="str">
            <v>AV AFONSO PENA</v>
          </cell>
          <cell r="D1339" t="str">
            <v>Estuario</v>
          </cell>
          <cell r="E1339" t="str">
            <v>SANTOS</v>
          </cell>
          <cell r="F1339" t="str">
            <v>SP</v>
          </cell>
          <cell r="G1339" t="str">
            <v>782</v>
          </cell>
          <cell r="H1339" t="str">
            <v>FUNDOS</v>
          </cell>
          <cell r="I1339" t="str">
            <v>11020-004</v>
          </cell>
          <cell r="J1339" t="str">
            <v>981361649</v>
          </cell>
          <cell r="K1339" t="str">
            <v>981361649</v>
          </cell>
          <cell r="L1339" t="str">
            <v>Masculino</v>
          </cell>
          <cell r="M1339" t="str">
            <v>Parda</v>
          </cell>
          <cell r="N1339">
            <v>28569</v>
          </cell>
          <cell r="O1339" t="str">
            <v>287434990</v>
          </cell>
          <cell r="P1339" t="str">
            <v>SP</v>
          </cell>
          <cell r="Q1339" t="str">
            <v>SSP</v>
          </cell>
          <cell r="R1339" t="str">
            <v>SANTOS</v>
          </cell>
        </row>
        <row r="1340">
          <cell r="A1340" t="str">
            <v>FELIPE SILVA RUDRIGUES DOS SANTOS</v>
          </cell>
          <cell r="B1340" t="str">
            <v>Solteiro</v>
          </cell>
          <cell r="C1340" t="str">
            <v>R FAUSTO LORENCO GOMES</v>
          </cell>
          <cell r="D1340" t="str">
            <v>Rádio Clube</v>
          </cell>
          <cell r="E1340" t="str">
            <v>SANTOS</v>
          </cell>
          <cell r="F1340" t="str">
            <v>SP</v>
          </cell>
          <cell r="G1340" t="str">
            <v>21</v>
          </cell>
          <cell r="H1340" t="str">
            <v/>
          </cell>
          <cell r="I1340" t="str">
            <v>11088-535</v>
          </cell>
          <cell r="J1340" t="str">
            <v>982128138</v>
          </cell>
          <cell r="K1340" t="str">
            <v>982128138</v>
          </cell>
          <cell r="L1340" t="str">
            <v>Masculino</v>
          </cell>
          <cell r="M1340" t="str">
            <v>Parda</v>
          </cell>
          <cell r="N1340">
            <v>33584</v>
          </cell>
          <cell r="O1340" t="str">
            <v>385571719</v>
          </cell>
          <cell r="P1340" t="str">
            <v>SP</v>
          </cell>
          <cell r="Q1340" t="str">
            <v>SSP</v>
          </cell>
          <cell r="R1340" t="str">
            <v>SANTOS</v>
          </cell>
        </row>
        <row r="1341">
          <cell r="A1341" t="str">
            <v>VLADIMIR DOS SANTOS PRADO JUNIOR</v>
          </cell>
          <cell r="B1341" t="str">
            <v>Casado</v>
          </cell>
          <cell r="C1341" t="str">
            <v>AV SANTOS DUMONT DE 1787 A 2685</v>
          </cell>
          <cell r="D1341" t="str">
            <v>Jardim Boa Esperança (Vicente de Carvalh</v>
          </cell>
          <cell r="E1341" t="str">
            <v>GUARUJA</v>
          </cell>
          <cell r="F1341" t="str">
            <v>SP</v>
          </cell>
          <cell r="G1341" t="str">
            <v>1915</v>
          </cell>
          <cell r="H1341" t="str">
            <v>LADO IMPAR- bloco G APT 6</v>
          </cell>
          <cell r="I1341" t="str">
            <v>11460-004</v>
          </cell>
          <cell r="J1341" t="str">
            <v>988523876</v>
          </cell>
          <cell r="K1341" t="str">
            <v>988523876</v>
          </cell>
          <cell r="L1341" t="str">
            <v>Masculino</v>
          </cell>
          <cell r="M1341" t="str">
            <v>Parda</v>
          </cell>
          <cell r="N1341">
            <v>34463</v>
          </cell>
          <cell r="O1341" t="str">
            <v>41363811X</v>
          </cell>
          <cell r="P1341" t="str">
            <v>SP</v>
          </cell>
          <cell r="Q1341" t="str">
            <v>SSP</v>
          </cell>
          <cell r="R1341" t="str">
            <v>SANTOS</v>
          </cell>
        </row>
        <row r="1342">
          <cell r="A1342" t="str">
            <v>CLEO RODRIGUES AGUIAR</v>
          </cell>
          <cell r="B1342" t="str">
            <v>Casado</v>
          </cell>
          <cell r="C1342" t="str">
            <v>R Adilson Wladimir Cassuccio</v>
          </cell>
          <cell r="D1342" t="str">
            <v>Sítio do Campo</v>
          </cell>
          <cell r="E1342" t="str">
            <v>PRAIA GRANDE</v>
          </cell>
          <cell r="F1342" t="str">
            <v>SP</v>
          </cell>
          <cell r="G1342" t="str">
            <v>45</v>
          </cell>
          <cell r="H1342" t="str">
            <v>Sobrado</v>
          </cell>
          <cell r="I1342" t="str">
            <v>11725-170</v>
          </cell>
          <cell r="J1342" t="str">
            <v>991634997</v>
          </cell>
          <cell r="K1342" t="str">
            <v>991634997</v>
          </cell>
          <cell r="L1342" t="str">
            <v>Masculino</v>
          </cell>
          <cell r="M1342" t="str">
            <v>Parda</v>
          </cell>
          <cell r="N1342">
            <v>29324</v>
          </cell>
          <cell r="O1342" t="str">
            <v>289621963</v>
          </cell>
          <cell r="P1342" t="str">
            <v>SP</v>
          </cell>
          <cell r="Q1342" t="str">
            <v>SSP</v>
          </cell>
          <cell r="R1342" t="str">
            <v>SANTOS</v>
          </cell>
        </row>
        <row r="1343">
          <cell r="A1343" t="str">
            <v>FABRICIO DA SILVA FRANCISCO</v>
          </cell>
          <cell r="B1343" t="str">
            <v>Casado</v>
          </cell>
          <cell r="C1343" t="str">
            <v>R GUATEMALA</v>
          </cell>
          <cell r="D1343" t="str">
            <v>Guilhermina</v>
          </cell>
          <cell r="E1343" t="str">
            <v>PRAIA GRANDE</v>
          </cell>
          <cell r="F1343" t="str">
            <v>SP</v>
          </cell>
          <cell r="G1343" t="str">
            <v>763</v>
          </cell>
          <cell r="H1343" t="str">
            <v>APTO 134</v>
          </cell>
          <cell r="I1343" t="str">
            <v>11702-040</v>
          </cell>
          <cell r="J1343" t="str">
            <v>997109538</v>
          </cell>
          <cell r="K1343" t="str">
            <v>997109538</v>
          </cell>
          <cell r="L1343" t="str">
            <v>Masculino</v>
          </cell>
          <cell r="M1343" t="str">
            <v>Parda</v>
          </cell>
          <cell r="N1343">
            <v>34390</v>
          </cell>
          <cell r="O1343" t="str">
            <v>404271078</v>
          </cell>
          <cell r="P1343" t="str">
            <v>SP</v>
          </cell>
          <cell r="Q1343" t="str">
            <v>SSP</v>
          </cell>
          <cell r="R1343" t="str">
            <v>CUBATAO</v>
          </cell>
        </row>
        <row r="1344">
          <cell r="A1344" t="str">
            <v>BEATRIZ DE VITA PRADO</v>
          </cell>
          <cell r="B1344" t="str">
            <v>Solteiro</v>
          </cell>
          <cell r="C1344" t="str">
            <v>R DOUTOR CARVALHO DE MENDONCA</v>
          </cell>
          <cell r="D1344" t="str">
            <v>Marapé</v>
          </cell>
          <cell r="E1344" t="str">
            <v>SANTOS</v>
          </cell>
          <cell r="F1344" t="str">
            <v>SP</v>
          </cell>
          <cell r="G1344" t="str">
            <v>473</v>
          </cell>
          <cell r="H1344" t="str">
            <v>32</v>
          </cell>
          <cell r="I1344" t="str">
            <v>11070-103</v>
          </cell>
          <cell r="J1344" t="str">
            <v>991680242</v>
          </cell>
          <cell r="K1344" t="str">
            <v>991680242</v>
          </cell>
          <cell r="L1344" t="str">
            <v>Feminino</v>
          </cell>
          <cell r="M1344" t="str">
            <v>Parda</v>
          </cell>
          <cell r="N1344">
            <v>37666</v>
          </cell>
          <cell r="O1344" t="str">
            <v>580239718</v>
          </cell>
          <cell r="P1344" t="str">
            <v>SP</v>
          </cell>
          <cell r="Q1344" t="str">
            <v>SSP</v>
          </cell>
          <cell r="R1344" t="str">
            <v>SANTOS</v>
          </cell>
        </row>
        <row r="1345">
          <cell r="A1345" t="str">
            <v>ADAILTON GIOVANI DOS SANTOS JUNIOR</v>
          </cell>
          <cell r="B1345" t="str">
            <v>União Estável</v>
          </cell>
          <cell r="C1345" t="str">
            <v>R Marechal Canrobert pereira da costa</v>
          </cell>
          <cell r="D1345" t="str">
            <v>Catiapoã</v>
          </cell>
          <cell r="E1345" t="str">
            <v>SAO VICENTE</v>
          </cell>
          <cell r="F1345" t="str">
            <v>SP</v>
          </cell>
          <cell r="G1345" t="str">
            <v>82</v>
          </cell>
          <cell r="H1345" t="str">
            <v>Casa Frente</v>
          </cell>
          <cell r="I1345" t="str">
            <v>11390-370</v>
          </cell>
          <cell r="J1345" t="str">
            <v>996401407</v>
          </cell>
          <cell r="K1345" t="str">
            <v>996401407</v>
          </cell>
          <cell r="L1345" t="str">
            <v>Masculino</v>
          </cell>
          <cell r="M1345" t="str">
            <v>Parda</v>
          </cell>
          <cell r="N1345">
            <v>33609</v>
          </cell>
          <cell r="O1345" t="str">
            <v>486964322</v>
          </cell>
          <cell r="P1345" t="str">
            <v>SP</v>
          </cell>
          <cell r="Q1345" t="str">
            <v>SSP</v>
          </cell>
          <cell r="R1345" t="str">
            <v>APARECIDA</v>
          </cell>
        </row>
        <row r="1346">
          <cell r="A1346" t="str">
            <v>ADRIANO GRANJEIRO DOS SANTOS</v>
          </cell>
          <cell r="B1346" t="str">
            <v>Casado</v>
          </cell>
          <cell r="C1346" t="str">
            <v>R CIDADE DE SANTOS</v>
          </cell>
          <cell r="D1346" t="str">
            <v>Planalto Bela Vista</v>
          </cell>
          <cell r="E1346" t="str">
            <v>SAO VICENTE</v>
          </cell>
          <cell r="F1346" t="str">
            <v>SP</v>
          </cell>
          <cell r="G1346" t="str">
            <v>1730</v>
          </cell>
          <cell r="H1346" t="str">
            <v/>
          </cell>
          <cell r="I1346" t="str">
            <v>11335-000</v>
          </cell>
          <cell r="J1346" t="str">
            <v>991489244</v>
          </cell>
          <cell r="K1346" t="str">
            <v>991489244</v>
          </cell>
          <cell r="L1346" t="str">
            <v>Masculino</v>
          </cell>
          <cell r="M1346" t="str">
            <v>Parda</v>
          </cell>
          <cell r="N1346">
            <v>31359</v>
          </cell>
          <cell r="O1346" t="str">
            <v>425057616</v>
          </cell>
          <cell r="P1346" t="str">
            <v>SP</v>
          </cell>
          <cell r="Q1346" t="str">
            <v>SSP</v>
          </cell>
          <cell r="R1346" t="str">
            <v>SAO VICENTE</v>
          </cell>
        </row>
        <row r="1347">
          <cell r="A1347" t="str">
            <v>CARLOS ALBERTO FERREIRA</v>
          </cell>
          <cell r="B1347" t="str">
            <v>Casado</v>
          </cell>
          <cell r="C1347" t="str">
            <v>R SAO MANOEL</v>
          </cell>
          <cell r="D1347" t="str">
            <v>Morro Sao Bento</v>
          </cell>
          <cell r="E1347" t="str">
            <v>SANTOS</v>
          </cell>
          <cell r="F1347" t="str">
            <v>SP</v>
          </cell>
          <cell r="G1347" t="str">
            <v>4295</v>
          </cell>
          <cell r="H1347" t="str">
            <v/>
          </cell>
          <cell r="I1347" t="str">
            <v>11082-600</v>
          </cell>
          <cell r="J1347" t="str">
            <v>981120771</v>
          </cell>
          <cell r="K1347" t="str">
            <v>974082324</v>
          </cell>
          <cell r="L1347" t="str">
            <v>Masculino</v>
          </cell>
          <cell r="M1347" t="str">
            <v>Parda</v>
          </cell>
          <cell r="N1347">
            <v>28949</v>
          </cell>
          <cell r="O1347" t="str">
            <v>257003575</v>
          </cell>
          <cell r="P1347" t="str">
            <v>SP</v>
          </cell>
          <cell r="Q1347" t="str">
            <v>SSP</v>
          </cell>
          <cell r="R1347" t="str">
            <v>SANTOS</v>
          </cell>
        </row>
        <row r="1348">
          <cell r="A1348" t="str">
            <v>HERBERT VINICIUS MARVEJOL DE CARVALHO</v>
          </cell>
          <cell r="B1348" t="str">
            <v>Casado</v>
          </cell>
          <cell r="C1348" t="str">
            <v>R SATURNINO DE BRITO</v>
          </cell>
          <cell r="D1348" t="str">
            <v>Marapé</v>
          </cell>
          <cell r="E1348" t="str">
            <v>SANTOS</v>
          </cell>
          <cell r="F1348" t="str">
            <v>SP</v>
          </cell>
          <cell r="G1348" t="str">
            <v>319</v>
          </cell>
          <cell r="H1348" t="str">
            <v>APARTAMENTO 014</v>
          </cell>
          <cell r="I1348" t="str">
            <v>11070-001</v>
          </cell>
          <cell r="J1348" t="str">
            <v>981815070</v>
          </cell>
          <cell r="K1348" t="str">
            <v>996569666</v>
          </cell>
          <cell r="L1348" t="str">
            <v>Masculino</v>
          </cell>
          <cell r="M1348" t="str">
            <v>Parda</v>
          </cell>
          <cell r="N1348">
            <v>28288</v>
          </cell>
          <cell r="O1348" t="str">
            <v>33370367</v>
          </cell>
          <cell r="P1348" t="str">
            <v>SP</v>
          </cell>
          <cell r="Q1348" t="str">
            <v>SSP</v>
          </cell>
          <cell r="R1348" t="str">
            <v>SANTOS</v>
          </cell>
        </row>
        <row r="1349">
          <cell r="A1349" t="str">
            <v>JOAO CARLOS MORAES JUNIOR</v>
          </cell>
          <cell r="B1349" t="str">
            <v>Casado</v>
          </cell>
          <cell r="C1349" t="str">
            <v>AV AFONSO SCHIMIDTH</v>
          </cell>
          <cell r="D1349" t="str">
            <v>Jardim Castelo</v>
          </cell>
          <cell r="E1349" t="str">
            <v>SANTOS</v>
          </cell>
          <cell r="F1349" t="str">
            <v>SP</v>
          </cell>
          <cell r="G1349" t="str">
            <v>456</v>
          </cell>
          <cell r="H1349" t="str">
            <v>BLOCO C APARTAMENTO 41</v>
          </cell>
          <cell r="I1349" t="str">
            <v>11087-000</v>
          </cell>
          <cell r="J1349" t="str">
            <v>988314024</v>
          </cell>
          <cell r="K1349" t="str">
            <v>988314024</v>
          </cell>
          <cell r="L1349" t="str">
            <v>Masculino</v>
          </cell>
          <cell r="M1349" t="str">
            <v>Parda</v>
          </cell>
          <cell r="N1349">
            <v>26056</v>
          </cell>
          <cell r="O1349" t="str">
            <v>20323795X</v>
          </cell>
          <cell r="P1349" t="str">
            <v>SP</v>
          </cell>
          <cell r="Q1349" t="str">
            <v>SSP</v>
          </cell>
          <cell r="R1349" t="str">
            <v>SANTOS</v>
          </cell>
        </row>
        <row r="1350">
          <cell r="A1350" t="str">
            <v>ANDRE LUIZ SILVA DA CRUZ</v>
          </cell>
          <cell r="B1350" t="str">
            <v>Casado</v>
          </cell>
          <cell r="C1350" t="str">
            <v>AV Senador Salgado Filho</v>
          </cell>
          <cell r="D1350" t="str">
            <v>Parque São Vicente</v>
          </cell>
          <cell r="E1350" t="str">
            <v>SAO VICENTE</v>
          </cell>
          <cell r="F1350" t="str">
            <v>SP</v>
          </cell>
          <cell r="G1350" t="str">
            <v>1000</v>
          </cell>
          <cell r="H1350" t="str">
            <v>( bloco 2) AP 202</v>
          </cell>
          <cell r="I1350" t="str">
            <v>11360-200</v>
          </cell>
          <cell r="J1350" t="str">
            <v>991109149</v>
          </cell>
          <cell r="K1350" t="str">
            <v>991109149</v>
          </cell>
          <cell r="L1350" t="str">
            <v>Masculino</v>
          </cell>
          <cell r="M1350" t="str">
            <v>Parda</v>
          </cell>
          <cell r="N1350">
            <v>30004</v>
          </cell>
          <cell r="O1350" t="str">
            <v>652232747</v>
          </cell>
          <cell r="P1350" t="str">
            <v>SP</v>
          </cell>
          <cell r="Q1350" t="str">
            <v>SSP</v>
          </cell>
          <cell r="R1350" t="str">
            <v>RIO BRANCO</v>
          </cell>
        </row>
        <row r="1351">
          <cell r="A1351" t="str">
            <v>JOSE LOPES CLARO SOARES JUNIOR</v>
          </cell>
          <cell r="B1351" t="str">
            <v>Solteiro</v>
          </cell>
          <cell r="C1351" t="str">
            <v>R TOMOICHI KOBUCHI</v>
          </cell>
          <cell r="D1351" t="str">
            <v>Areia Branca</v>
          </cell>
          <cell r="E1351" t="str">
            <v>SANTOS</v>
          </cell>
          <cell r="F1351" t="str">
            <v>SP</v>
          </cell>
          <cell r="G1351" t="str">
            <v>52</v>
          </cell>
          <cell r="H1351" t="str">
            <v>FUNDOS</v>
          </cell>
          <cell r="I1351" t="str">
            <v>11086-100</v>
          </cell>
          <cell r="J1351" t="str">
            <v>996460735</v>
          </cell>
          <cell r="K1351" t="str">
            <v>996460735</v>
          </cell>
          <cell r="L1351" t="str">
            <v>Masculino</v>
          </cell>
          <cell r="M1351" t="str">
            <v>Parda</v>
          </cell>
          <cell r="N1351">
            <v>26240</v>
          </cell>
          <cell r="O1351" t="str">
            <v>251860504</v>
          </cell>
          <cell r="P1351" t="str">
            <v>SP</v>
          </cell>
          <cell r="Q1351" t="str">
            <v>SSP</v>
          </cell>
          <cell r="R1351" t="str">
            <v>SANTOS</v>
          </cell>
        </row>
        <row r="1352">
          <cell r="A1352" t="str">
            <v>JEMMERSON GONCALVES FELISBERTO</v>
          </cell>
          <cell r="B1352" t="str">
            <v>Solteiro</v>
          </cell>
          <cell r="C1352" t="str">
            <v>R ALBERTO VEIGA</v>
          </cell>
          <cell r="D1352" t="str">
            <v>Marapé</v>
          </cell>
          <cell r="E1352" t="str">
            <v>SANTOS</v>
          </cell>
          <cell r="F1352" t="str">
            <v>SP</v>
          </cell>
          <cell r="G1352" t="str">
            <v>59</v>
          </cell>
          <cell r="H1352" t="str">
            <v>CASA FUNDOS</v>
          </cell>
          <cell r="I1352" t="str">
            <v>11070-030</v>
          </cell>
          <cell r="J1352" t="str">
            <v>981162873</v>
          </cell>
          <cell r="K1352" t="str">
            <v>981162873</v>
          </cell>
          <cell r="L1352" t="str">
            <v>Masculino</v>
          </cell>
          <cell r="M1352" t="str">
            <v>Parda</v>
          </cell>
          <cell r="N1352">
            <v>26278</v>
          </cell>
          <cell r="O1352" t="str">
            <v>261666617</v>
          </cell>
          <cell r="P1352" t="str">
            <v>SP</v>
          </cell>
          <cell r="Q1352" t="str">
            <v>SSP</v>
          </cell>
          <cell r="R1352" t="str">
            <v>SANTOS</v>
          </cell>
        </row>
        <row r="1353">
          <cell r="A1353" t="str">
            <v>ROGER RILLY DA SILVA</v>
          </cell>
          <cell r="B1353" t="str">
            <v>Casado</v>
          </cell>
          <cell r="C1353" t="str">
            <v>R UM</v>
          </cell>
          <cell r="D1353" t="str">
            <v>Vila Áurea (Vicente</v>
          </cell>
          <cell r="E1353" t="str">
            <v>GUARUJA</v>
          </cell>
          <cell r="F1353" t="str">
            <v>SP</v>
          </cell>
          <cell r="G1353" t="str">
            <v>11</v>
          </cell>
          <cell r="H1353" t="str">
            <v>CASA 1 QD</v>
          </cell>
          <cell r="I1353" t="str">
            <v>11454-395</v>
          </cell>
          <cell r="J1353" t="str">
            <v>996918200</v>
          </cell>
          <cell r="K1353" t="str">
            <v>996918200</v>
          </cell>
          <cell r="L1353" t="str">
            <v>Masculino</v>
          </cell>
          <cell r="M1353" t="str">
            <v>Parda</v>
          </cell>
          <cell r="N1353">
            <v>27284</v>
          </cell>
          <cell r="O1353" t="str">
            <v>248822077</v>
          </cell>
          <cell r="P1353" t="str">
            <v>SP</v>
          </cell>
          <cell r="Q1353" t="str">
            <v>SSP</v>
          </cell>
          <cell r="R1353" t="str">
            <v>GUARUJA</v>
          </cell>
        </row>
        <row r="1354">
          <cell r="A1354" t="str">
            <v>JOSE SILVA QUEIROZ JUNIOR</v>
          </cell>
          <cell r="B1354" t="str">
            <v>Casado</v>
          </cell>
          <cell r="C1354" t="str">
            <v>AV DOUTOR BERNARDINO DE CAMPOS</v>
          </cell>
          <cell r="D1354" t="str">
            <v>Campo Grande</v>
          </cell>
          <cell r="E1354" t="str">
            <v>SANTOS</v>
          </cell>
          <cell r="F1354" t="str">
            <v>SP</v>
          </cell>
          <cell r="G1354" t="str">
            <v>292</v>
          </cell>
          <cell r="H1354" t="str">
            <v>BLOCO C APARTAMENTO 36</v>
          </cell>
          <cell r="I1354" t="str">
            <v>11065-002</v>
          </cell>
          <cell r="J1354" t="str">
            <v>991096349</v>
          </cell>
          <cell r="K1354" t="str">
            <v>991096349</v>
          </cell>
          <cell r="L1354" t="str">
            <v>Masculino</v>
          </cell>
          <cell r="M1354" t="str">
            <v>Parda</v>
          </cell>
          <cell r="N1354">
            <v>27805</v>
          </cell>
          <cell r="O1354" t="str">
            <v>300968309</v>
          </cell>
          <cell r="P1354" t="str">
            <v>SP</v>
          </cell>
          <cell r="Q1354" t="str">
            <v>SSP</v>
          </cell>
          <cell r="R1354" t="str">
            <v>GUARUJA</v>
          </cell>
        </row>
        <row r="1355">
          <cell r="A1355" t="str">
            <v>WALTER EDUARDO DOS SANTOS ARISTIDES</v>
          </cell>
          <cell r="B1355" t="str">
            <v>Solteiro</v>
          </cell>
          <cell r="C1355" t="str">
            <v>R BAHIA</v>
          </cell>
          <cell r="D1355" t="str">
            <v>Gonzaga</v>
          </cell>
          <cell r="E1355" t="str">
            <v>SANTOS</v>
          </cell>
          <cell r="F1355" t="str">
            <v>SP</v>
          </cell>
          <cell r="G1355" t="str">
            <v>111</v>
          </cell>
          <cell r="H1355" t="str">
            <v>144</v>
          </cell>
          <cell r="I1355" t="str">
            <v>11060-450</v>
          </cell>
          <cell r="J1355" t="str">
            <v>991037407</v>
          </cell>
          <cell r="K1355" t="str">
            <v>991037407</v>
          </cell>
          <cell r="L1355" t="str">
            <v>Masculino</v>
          </cell>
          <cell r="M1355" t="str">
            <v>Parda</v>
          </cell>
          <cell r="N1355">
            <v>27256</v>
          </cell>
          <cell r="O1355" t="str">
            <v>291384420</v>
          </cell>
          <cell r="P1355" t="str">
            <v>SP</v>
          </cell>
          <cell r="Q1355" t="str">
            <v>SSP</v>
          </cell>
          <cell r="R1355" t="str">
            <v>SANTOS</v>
          </cell>
        </row>
        <row r="1356">
          <cell r="A1356" t="str">
            <v>MATHEUS DA SILVA</v>
          </cell>
          <cell r="B1356" t="str">
            <v>Solteiro</v>
          </cell>
          <cell r="C1356" t="str">
            <v>PC PAULO FERNANDES GASCON</v>
          </cell>
          <cell r="D1356" t="str">
            <v>Vila Belmiro</v>
          </cell>
          <cell r="E1356" t="str">
            <v>SANTOS</v>
          </cell>
          <cell r="F1356" t="str">
            <v>SP</v>
          </cell>
          <cell r="G1356" t="str">
            <v>20</v>
          </cell>
          <cell r="H1356" t="str">
            <v>APARTAMENTO 31</v>
          </cell>
          <cell r="I1356" t="str">
            <v>11070-250</v>
          </cell>
          <cell r="J1356" t="str">
            <v>981572289</v>
          </cell>
          <cell r="K1356" t="str">
            <v>981572289</v>
          </cell>
          <cell r="L1356" t="str">
            <v>Masculino</v>
          </cell>
          <cell r="M1356" t="str">
            <v>Parda</v>
          </cell>
          <cell r="N1356">
            <v>37139</v>
          </cell>
          <cell r="O1356" t="str">
            <v>605976624</v>
          </cell>
          <cell r="P1356" t="str">
            <v>SP</v>
          </cell>
          <cell r="Q1356" t="str">
            <v>SSP</v>
          </cell>
          <cell r="R1356" t="str">
            <v>SANTOS</v>
          </cell>
        </row>
        <row r="1357">
          <cell r="A1357" t="str">
            <v>SILAS FARIAS DA SILVA</v>
          </cell>
          <cell r="B1357" t="str">
            <v>Casado</v>
          </cell>
          <cell r="C1357" t="str">
            <v>R A</v>
          </cell>
          <cell r="D1357" t="str">
            <v>Jardim Mar e Ceu</v>
          </cell>
          <cell r="E1357" t="str">
            <v>GUARUJA</v>
          </cell>
          <cell r="F1357" t="str">
            <v>SP</v>
          </cell>
          <cell r="G1357" t="str">
            <v>23</v>
          </cell>
          <cell r="H1357" t="str">
            <v>CASA</v>
          </cell>
          <cell r="I1357" t="str">
            <v>11443-770</v>
          </cell>
          <cell r="J1357" t="str">
            <v>988038631</v>
          </cell>
          <cell r="K1357" t="str">
            <v>988038631</v>
          </cell>
          <cell r="L1357" t="str">
            <v>Masculino</v>
          </cell>
          <cell r="M1357" t="str">
            <v>Parda</v>
          </cell>
          <cell r="N1357">
            <v>33018</v>
          </cell>
          <cell r="O1357" t="str">
            <v>331716148</v>
          </cell>
          <cell r="P1357" t="str">
            <v>SP</v>
          </cell>
          <cell r="Q1357" t="str">
            <v>SSP</v>
          </cell>
          <cell r="R1357" t="str">
            <v>GUARUJA</v>
          </cell>
        </row>
        <row r="1358">
          <cell r="A1358" t="str">
            <v>EMANOELLY CRISTINA DOS SANTOS VEIGA RODR</v>
          </cell>
          <cell r="B1358" t="str">
            <v>Solteiro</v>
          </cell>
          <cell r="C1358" t="str">
            <v>R CAMINHO SAO MANOEL</v>
          </cell>
          <cell r="D1358" t="str">
            <v>São Manoel</v>
          </cell>
          <cell r="E1358" t="str">
            <v>SANTOS</v>
          </cell>
          <cell r="F1358" t="str">
            <v>SP</v>
          </cell>
          <cell r="G1358" t="str">
            <v>81</v>
          </cell>
          <cell r="H1358" t="str">
            <v/>
          </cell>
          <cell r="I1358" t="str">
            <v>11095-215</v>
          </cell>
          <cell r="J1358" t="str">
            <v>996697995</v>
          </cell>
          <cell r="K1358" t="str">
            <v>996697995</v>
          </cell>
          <cell r="L1358" t="str">
            <v>Feminino</v>
          </cell>
          <cell r="M1358" t="str">
            <v>Parda</v>
          </cell>
          <cell r="N1358">
            <v>36911</v>
          </cell>
          <cell r="O1358" t="str">
            <v>575036059</v>
          </cell>
          <cell r="P1358" t="str">
            <v>SP</v>
          </cell>
          <cell r="Q1358" t="str">
            <v>SSP</v>
          </cell>
          <cell r="R1358" t="str">
            <v>PRAIA GRANDE</v>
          </cell>
        </row>
        <row r="1359">
          <cell r="A1359" t="str">
            <v>MANOEL MARCOS DA CONCEICAO</v>
          </cell>
          <cell r="B1359" t="str">
            <v>Casado</v>
          </cell>
          <cell r="C1359" t="str">
            <v>R PARAIBA</v>
          </cell>
          <cell r="D1359" t="str">
            <v>Jardim Cunhambebe (V</v>
          </cell>
          <cell r="E1359" t="str">
            <v>GUARUJA</v>
          </cell>
          <cell r="F1359" t="str">
            <v>SP</v>
          </cell>
          <cell r="G1359" t="str">
            <v>92</v>
          </cell>
          <cell r="H1359" t="str">
            <v/>
          </cell>
          <cell r="I1359" t="str">
            <v>11450-150</v>
          </cell>
          <cell r="J1359" t="str">
            <v>997056106</v>
          </cell>
          <cell r="K1359" t="str">
            <v>996056106</v>
          </cell>
          <cell r="L1359" t="str">
            <v>Masculino</v>
          </cell>
          <cell r="M1359" t="str">
            <v>Parda</v>
          </cell>
          <cell r="N1359">
            <v>24721</v>
          </cell>
          <cell r="O1359" t="str">
            <v>176011699</v>
          </cell>
          <cell r="P1359" t="str">
            <v>SP</v>
          </cell>
          <cell r="Q1359" t="str">
            <v>SSP</v>
          </cell>
          <cell r="R1359" t="str">
            <v>GUARUJA</v>
          </cell>
        </row>
        <row r="1360">
          <cell r="A1360" t="str">
            <v>BRUNO SOARES DE BRITO</v>
          </cell>
          <cell r="B1360" t="str">
            <v>Solteiro</v>
          </cell>
          <cell r="C1360" t="str">
            <v>AV SANTA MARIA</v>
          </cell>
          <cell r="D1360" t="str">
            <v>Vila Júlia</v>
          </cell>
          <cell r="E1360" t="str">
            <v>GUARUJA</v>
          </cell>
          <cell r="F1360" t="str">
            <v>SP</v>
          </cell>
          <cell r="G1360" t="str">
            <v>656</v>
          </cell>
          <cell r="H1360" t="str">
            <v>APARTAMENTO 84 T</v>
          </cell>
          <cell r="I1360" t="str">
            <v>11440-110</v>
          </cell>
          <cell r="J1360" t="str">
            <v>988170937</v>
          </cell>
          <cell r="K1360" t="str">
            <v>988170937</v>
          </cell>
          <cell r="L1360" t="str">
            <v>Masculino</v>
          </cell>
          <cell r="M1360" t="str">
            <v>Parda</v>
          </cell>
          <cell r="N1360">
            <v>31881</v>
          </cell>
          <cell r="O1360" t="str">
            <v>438885211</v>
          </cell>
          <cell r="P1360" t="str">
            <v>SP</v>
          </cell>
          <cell r="Q1360" t="str">
            <v>SSP</v>
          </cell>
          <cell r="R1360" t="str">
            <v>GUARUJA</v>
          </cell>
        </row>
        <row r="1361">
          <cell r="A1361" t="str">
            <v>GABRIEL TEODORO SUZANO</v>
          </cell>
          <cell r="B1361" t="str">
            <v>Solteiro</v>
          </cell>
          <cell r="C1361" t="str">
            <v>R COMENDADOR ALFAIA RODRIGUES</v>
          </cell>
          <cell r="D1361" t="str">
            <v>Aparecida</v>
          </cell>
          <cell r="E1361" t="str">
            <v>SANTOS</v>
          </cell>
          <cell r="F1361" t="str">
            <v>SP</v>
          </cell>
          <cell r="G1361" t="str">
            <v>402</v>
          </cell>
          <cell r="H1361" t="str">
            <v>ALTOS</v>
          </cell>
          <cell r="I1361" t="str">
            <v>11025-152</v>
          </cell>
          <cell r="J1361" t="str">
            <v>997044181</v>
          </cell>
          <cell r="K1361" t="str">
            <v>997044181</v>
          </cell>
          <cell r="L1361" t="str">
            <v>Masculino</v>
          </cell>
          <cell r="M1361" t="str">
            <v>Parda</v>
          </cell>
          <cell r="N1361">
            <v>36931</v>
          </cell>
          <cell r="O1361" t="str">
            <v>531976051</v>
          </cell>
          <cell r="P1361" t="str">
            <v>SP</v>
          </cell>
          <cell r="Q1361" t="str">
            <v>SSP</v>
          </cell>
          <cell r="R1361" t="str">
            <v>SANTOS</v>
          </cell>
        </row>
        <row r="1362">
          <cell r="A1362" t="str">
            <v>ERICK LEAO ANDRADE DOS SANTOS</v>
          </cell>
          <cell r="B1362" t="str">
            <v>Solteiro</v>
          </cell>
          <cell r="C1362" t="str">
            <v>R ALFREDO ALBERTINI</v>
          </cell>
          <cell r="D1362" t="str">
            <v>Marapé</v>
          </cell>
          <cell r="E1362" t="str">
            <v>SANTOS</v>
          </cell>
          <cell r="F1362" t="str">
            <v>SP</v>
          </cell>
          <cell r="G1362" t="str">
            <v>273</v>
          </cell>
          <cell r="H1362" t="str">
            <v>APARTAMENTO 11</v>
          </cell>
          <cell r="I1362" t="str">
            <v>11070-011</v>
          </cell>
          <cell r="J1362" t="str">
            <v>991229936</v>
          </cell>
          <cell r="K1362" t="str">
            <v>998373728</v>
          </cell>
          <cell r="L1362" t="str">
            <v>Masculino</v>
          </cell>
          <cell r="M1362" t="str">
            <v>Parda</v>
          </cell>
          <cell r="N1362">
            <v>37813</v>
          </cell>
          <cell r="O1362" t="str">
            <v>559134526</v>
          </cell>
          <cell r="P1362" t="str">
            <v>SP</v>
          </cell>
          <cell r="Q1362" t="str">
            <v>SSP</v>
          </cell>
          <cell r="R1362" t="str">
            <v>SANTOS</v>
          </cell>
        </row>
        <row r="1363">
          <cell r="A1363" t="str">
            <v>BEATRIZ SALES DE LIMA</v>
          </cell>
          <cell r="B1363" t="str">
            <v>Solteiro</v>
          </cell>
          <cell r="C1363" t="str">
            <v>R CERQUILHO</v>
          </cell>
          <cell r="D1363" t="str">
            <v>Vila Áurea (Vicente</v>
          </cell>
          <cell r="E1363" t="str">
            <v>GUARUJA</v>
          </cell>
          <cell r="F1363" t="str">
            <v>SP</v>
          </cell>
          <cell r="G1363" t="str">
            <v>89</v>
          </cell>
          <cell r="H1363" t="str">
            <v>CASA 4</v>
          </cell>
          <cell r="I1363" t="str">
            <v>11454-140</v>
          </cell>
          <cell r="J1363" t="str">
            <v>981001537</v>
          </cell>
          <cell r="K1363" t="str">
            <v>981001537</v>
          </cell>
          <cell r="L1363" t="str">
            <v>Feminino</v>
          </cell>
          <cell r="M1363" t="str">
            <v>Parda</v>
          </cell>
          <cell r="N1363">
            <v>36234</v>
          </cell>
          <cell r="O1363" t="str">
            <v>544118649</v>
          </cell>
          <cell r="P1363" t="str">
            <v>SP</v>
          </cell>
          <cell r="Q1363" t="str">
            <v>SSP</v>
          </cell>
          <cell r="R1363" t="str">
            <v>GUARUJA</v>
          </cell>
        </row>
        <row r="1364">
          <cell r="A1364" t="str">
            <v>ARINE DO NASCIMENTO GUIMARAES BASTOS</v>
          </cell>
          <cell r="B1364" t="str">
            <v>Solteiro</v>
          </cell>
          <cell r="C1364" t="str">
            <v>R DOUTOR OSWALDO CRUZ</v>
          </cell>
          <cell r="D1364" t="str">
            <v>Boqueirão</v>
          </cell>
          <cell r="E1364" t="str">
            <v>SANTOS</v>
          </cell>
          <cell r="F1364" t="str">
            <v>SP</v>
          </cell>
          <cell r="G1364" t="str">
            <v>296</v>
          </cell>
          <cell r="H1364" t="str">
            <v>APARTAMENTO 23</v>
          </cell>
          <cell r="I1364" t="str">
            <v>11045-100</v>
          </cell>
          <cell r="J1364" t="str">
            <v>996862420</v>
          </cell>
          <cell r="K1364" t="str">
            <v>981600635</v>
          </cell>
          <cell r="L1364" t="str">
            <v>Feminino</v>
          </cell>
          <cell r="M1364" t="str">
            <v>Parda</v>
          </cell>
          <cell r="N1364">
            <v>36768</v>
          </cell>
          <cell r="O1364" t="str">
            <v>500786379</v>
          </cell>
          <cell r="P1364" t="str">
            <v>SP</v>
          </cell>
          <cell r="Q1364" t="str">
            <v>SSP</v>
          </cell>
          <cell r="R1364" t="str">
            <v>REGISTRO</v>
          </cell>
        </row>
        <row r="1365">
          <cell r="A1365" t="str">
            <v>VICTORIA CARVALHO VIEGAS DOS SANTOS</v>
          </cell>
          <cell r="B1365" t="str">
            <v>Solteiro</v>
          </cell>
          <cell r="C1365" t="str">
            <v>R MOCOCA</v>
          </cell>
          <cell r="D1365" t="str">
            <v>Boqueirão</v>
          </cell>
          <cell r="E1365" t="str">
            <v>PRAIA GRANDE</v>
          </cell>
          <cell r="F1365" t="str">
            <v>SP</v>
          </cell>
          <cell r="G1365" t="str">
            <v>404</v>
          </cell>
          <cell r="H1365" t="str">
            <v/>
          </cell>
          <cell r="I1365" t="str">
            <v>11701-100</v>
          </cell>
          <cell r="J1365" t="str">
            <v>991063228</v>
          </cell>
          <cell r="K1365" t="str">
            <v>991063228</v>
          </cell>
          <cell r="L1365" t="str">
            <v>Feminino</v>
          </cell>
          <cell r="M1365" t="str">
            <v>Parda</v>
          </cell>
          <cell r="N1365">
            <v>37074</v>
          </cell>
          <cell r="O1365" t="str">
            <v>57338342X</v>
          </cell>
          <cell r="P1365" t="str">
            <v>SP</v>
          </cell>
          <cell r="Q1365" t="str">
            <v>SSP</v>
          </cell>
          <cell r="R1365" t="str">
            <v>SAO VICENTE</v>
          </cell>
        </row>
        <row r="1366">
          <cell r="A1366" t="str">
            <v>ALINE PAIXAO LIMA DE OLIVEIRA</v>
          </cell>
          <cell r="B1366" t="str">
            <v>Casado</v>
          </cell>
          <cell r="C1366" t="str">
            <v>R GODOFREDO FRAGA</v>
          </cell>
          <cell r="D1366" t="str">
            <v>Marapé</v>
          </cell>
          <cell r="E1366" t="str">
            <v>SANTOS</v>
          </cell>
          <cell r="F1366" t="str">
            <v>SP</v>
          </cell>
          <cell r="G1366" t="str">
            <v>10</v>
          </cell>
          <cell r="H1366" t="str">
            <v>ED DALIA APART 228</v>
          </cell>
          <cell r="I1366" t="str">
            <v>11070-400</v>
          </cell>
          <cell r="J1366" t="str">
            <v>981724466</v>
          </cell>
          <cell r="K1366" t="str">
            <v>981724466</v>
          </cell>
          <cell r="L1366" t="str">
            <v>Feminino</v>
          </cell>
          <cell r="M1366" t="str">
            <v>Parda</v>
          </cell>
          <cell r="N1366">
            <v>32067</v>
          </cell>
          <cell r="O1366" t="str">
            <v>268407824</v>
          </cell>
          <cell r="P1366" t="str">
            <v>SP</v>
          </cell>
          <cell r="Q1366" t="str">
            <v>SSP</v>
          </cell>
          <cell r="R1366" t="str">
            <v>SANTOS</v>
          </cell>
        </row>
        <row r="1367">
          <cell r="A1367" t="str">
            <v>ELIZANGELA COSTA MAGALHAES OLIVEIRA</v>
          </cell>
          <cell r="B1367" t="str">
            <v>Casado</v>
          </cell>
          <cell r="C1367" t="str">
            <v>AV PRESIDENTE GETULIO VARGAS</v>
          </cell>
          <cell r="D1367" t="str">
            <v>Centro</v>
          </cell>
          <cell r="E1367" t="str">
            <v>SAO VICENTE</v>
          </cell>
          <cell r="F1367" t="str">
            <v>SP</v>
          </cell>
          <cell r="G1367" t="str">
            <v>235</v>
          </cell>
          <cell r="H1367" t="str">
            <v>AP 1607</v>
          </cell>
          <cell r="I1367" t="str">
            <v>11310-100</v>
          </cell>
          <cell r="J1367" t="str">
            <v>99106-5846</v>
          </cell>
          <cell r="K1367" t="str">
            <v/>
          </cell>
          <cell r="L1367" t="str">
            <v>Feminino</v>
          </cell>
          <cell r="M1367" t="str">
            <v>Parda</v>
          </cell>
          <cell r="N1367">
            <v>30336</v>
          </cell>
          <cell r="O1367" t="str">
            <v>422375019</v>
          </cell>
          <cell r="P1367" t="str">
            <v>SP</v>
          </cell>
          <cell r="Q1367" t="str">
            <v>SSP</v>
          </cell>
          <cell r="R1367" t="str">
            <v>SAO VICENTE</v>
          </cell>
        </row>
        <row r="1368">
          <cell r="A1368" t="str">
            <v>THIAGO DE FREITAS COELHO</v>
          </cell>
          <cell r="B1368" t="str">
            <v>Solteiro</v>
          </cell>
          <cell r="C1368" t="str">
            <v>R ALEXANDRE MARTINS</v>
          </cell>
          <cell r="D1368" t="str">
            <v>Aparecida</v>
          </cell>
          <cell r="E1368" t="str">
            <v>SANTOS</v>
          </cell>
          <cell r="F1368" t="str">
            <v>SP</v>
          </cell>
          <cell r="G1368" t="str">
            <v>172</v>
          </cell>
          <cell r="H1368" t="str">
            <v>AP 532</v>
          </cell>
          <cell r="I1368" t="str">
            <v>11025-200</v>
          </cell>
          <cell r="J1368" t="str">
            <v>991189417</v>
          </cell>
          <cell r="K1368" t="str">
            <v>99672-4101</v>
          </cell>
          <cell r="L1368" t="str">
            <v>Masculino</v>
          </cell>
          <cell r="M1368" t="str">
            <v>Parda</v>
          </cell>
          <cell r="N1368">
            <v>31480</v>
          </cell>
          <cell r="O1368" t="str">
            <v>444697962</v>
          </cell>
          <cell r="P1368" t="str">
            <v>SP</v>
          </cell>
          <cell r="Q1368" t="str">
            <v>SSP</v>
          </cell>
          <cell r="R1368" t="str">
            <v>SANTOS</v>
          </cell>
        </row>
        <row r="1369">
          <cell r="A1369" t="str">
            <v>RICARDO OSORIO TROTTI</v>
          </cell>
          <cell r="B1369" t="str">
            <v>Casado</v>
          </cell>
          <cell r="C1369" t="str">
            <v>R Egídio Alfredo Crispim</v>
          </cell>
          <cell r="D1369" t="str">
            <v>Pioneiros</v>
          </cell>
          <cell r="E1369" t="str">
            <v>BALNEARIO CAMBORIU</v>
          </cell>
          <cell r="F1369" t="str">
            <v>SC</v>
          </cell>
          <cell r="G1369" t="str">
            <v>50</v>
          </cell>
          <cell r="H1369" t="str">
            <v>101</v>
          </cell>
          <cell r="I1369" t="str">
            <v>83310-102</v>
          </cell>
          <cell r="J1369" t="str">
            <v/>
          </cell>
          <cell r="K1369" t="str">
            <v/>
          </cell>
          <cell r="L1369" t="str">
            <v>Masculino</v>
          </cell>
          <cell r="M1369" t="str">
            <v>Parda</v>
          </cell>
          <cell r="N1369">
            <v>23570</v>
          </cell>
          <cell r="O1369" t="str">
            <v>065738544</v>
          </cell>
          <cell r="P1369" t="str">
            <v>RJ</v>
          </cell>
          <cell r="Q1369" t="str">
            <v>SSP</v>
          </cell>
          <cell r="R1369" t="str">
            <v>RIO DE JANEIRO</v>
          </cell>
        </row>
        <row r="1370">
          <cell r="A1370" t="str">
            <v>BEATRIZ CAVALCANTE DA COSTA</v>
          </cell>
          <cell r="B1370" t="str">
            <v>Solteiro</v>
          </cell>
          <cell r="C1370" t="str">
            <v>R PADRE NIVALDO VICENTE DOS SANTOS</v>
          </cell>
          <cell r="D1370" t="str">
            <v>Vila Ema</v>
          </cell>
          <cell r="E1370" t="str">
            <v>SAO VICENTE</v>
          </cell>
          <cell r="F1370" t="str">
            <v>SP</v>
          </cell>
          <cell r="G1370" t="str">
            <v>101</v>
          </cell>
          <cell r="H1370" t="str">
            <v>CASA</v>
          </cell>
          <cell r="I1370" t="str">
            <v>11345-325</v>
          </cell>
          <cell r="J1370" t="str">
            <v>988402512</v>
          </cell>
          <cell r="K1370" t="str">
            <v>988402512</v>
          </cell>
          <cell r="L1370" t="str">
            <v>Feminino</v>
          </cell>
          <cell r="M1370" t="str">
            <v>Branca</v>
          </cell>
          <cell r="N1370">
            <v>36446</v>
          </cell>
          <cell r="O1370" t="str">
            <v>602731537</v>
          </cell>
          <cell r="P1370" t="str">
            <v>SP</v>
          </cell>
          <cell r="Q1370" t="str">
            <v>SSP</v>
          </cell>
          <cell r="R1370" t="str">
            <v>CUBATAO</v>
          </cell>
        </row>
        <row r="1371">
          <cell r="A1371" t="str">
            <v>KELWIN FRANCISCO OLIVEIRA DE SANTANA PIM</v>
          </cell>
          <cell r="B1371" t="str">
            <v>Casado</v>
          </cell>
          <cell r="C1371" t="str">
            <v>R MARIO JORGE DE OLIVEIRA</v>
          </cell>
          <cell r="D1371" t="str">
            <v>Jardim Real</v>
          </cell>
          <cell r="E1371" t="str">
            <v>CUBATAO</v>
          </cell>
          <cell r="F1371" t="str">
            <v>SP</v>
          </cell>
          <cell r="G1371" t="str">
            <v>30</v>
          </cell>
          <cell r="H1371" t="str">
            <v>BLOCO F APARTAMENTO 1</v>
          </cell>
          <cell r="I1371" t="str">
            <v>11534-890</v>
          </cell>
          <cell r="J1371" t="str">
            <v>997245462</v>
          </cell>
          <cell r="K1371" t="str">
            <v>997245462</v>
          </cell>
          <cell r="L1371" t="str">
            <v>Masculino</v>
          </cell>
          <cell r="M1371" t="str">
            <v>Parda</v>
          </cell>
          <cell r="N1371">
            <v>36602</v>
          </cell>
          <cell r="O1371" t="str">
            <v>544099588</v>
          </cell>
          <cell r="P1371" t="str">
            <v>SP</v>
          </cell>
          <cell r="Q1371" t="str">
            <v>SSP</v>
          </cell>
          <cell r="R1371" t="str">
            <v>CUBATAO</v>
          </cell>
        </row>
        <row r="1372">
          <cell r="A1372" t="str">
            <v>ROGERIO AUGUSTO DE ARAUJO</v>
          </cell>
          <cell r="B1372" t="str">
            <v>Casado</v>
          </cell>
          <cell r="C1372" t="str">
            <v>R DOUTOR LOBO VIANA</v>
          </cell>
          <cell r="D1372" t="str">
            <v>Tude Bastos</v>
          </cell>
          <cell r="E1372" t="str">
            <v>PRAIA GRANDE</v>
          </cell>
          <cell r="F1372" t="str">
            <v>SP</v>
          </cell>
          <cell r="G1372" t="str">
            <v>123</v>
          </cell>
          <cell r="H1372" t="str">
            <v>Q22 L 14A</v>
          </cell>
          <cell r="I1372" t="str">
            <v>11725-310</v>
          </cell>
          <cell r="J1372" t="str">
            <v>988087977</v>
          </cell>
          <cell r="K1372" t="str">
            <v>988087977</v>
          </cell>
          <cell r="L1372" t="str">
            <v>Masculino</v>
          </cell>
          <cell r="M1372" t="str">
            <v>Parda</v>
          </cell>
          <cell r="N1372">
            <v>26368</v>
          </cell>
          <cell r="O1372" t="str">
            <v>203244771</v>
          </cell>
          <cell r="P1372" t="str">
            <v>SP</v>
          </cell>
          <cell r="Q1372" t="str">
            <v>SSP</v>
          </cell>
          <cell r="R1372" t="str">
            <v>SANTOS</v>
          </cell>
        </row>
        <row r="1373">
          <cell r="A1373" t="str">
            <v>VINICIUS PINTO DE CASTILHO</v>
          </cell>
          <cell r="B1373" t="str">
            <v>Casado</v>
          </cell>
          <cell r="C1373" t="str">
            <v>R BENIGNO ANTONIO PIMENTA</v>
          </cell>
          <cell r="D1373" t="str">
            <v>Cidade Náutica</v>
          </cell>
          <cell r="E1373" t="str">
            <v>SAO VICENTE</v>
          </cell>
          <cell r="F1373" t="str">
            <v>SP</v>
          </cell>
          <cell r="G1373" t="str">
            <v>421</v>
          </cell>
          <cell r="H1373" t="str">
            <v/>
          </cell>
          <cell r="I1373" t="str">
            <v>11350-250</v>
          </cell>
          <cell r="J1373" t="str">
            <v>981780667</v>
          </cell>
          <cell r="K1373" t="str">
            <v>981780667</v>
          </cell>
          <cell r="L1373" t="str">
            <v>Masculino</v>
          </cell>
          <cell r="M1373" t="str">
            <v>Parda</v>
          </cell>
          <cell r="N1373">
            <v>33124</v>
          </cell>
          <cell r="O1373" t="str">
            <v>46688231</v>
          </cell>
          <cell r="P1373" t="str">
            <v>SP</v>
          </cell>
          <cell r="Q1373" t="str">
            <v>SSP</v>
          </cell>
          <cell r="R1373" t="str">
            <v>SAO VICENTE</v>
          </cell>
        </row>
        <row r="1374">
          <cell r="A1374" t="str">
            <v>EVANDRO PERES DE MENEZES BARROS</v>
          </cell>
          <cell r="B1374" t="str">
            <v>Casado</v>
          </cell>
          <cell r="C1374" t="str">
            <v>R MONSENHOR DOUTOR PRIMO VIEIRA</v>
          </cell>
          <cell r="D1374" t="str">
            <v>Macuco</v>
          </cell>
          <cell r="E1374" t="str">
            <v>SANTOS</v>
          </cell>
          <cell r="F1374" t="str">
            <v>SP</v>
          </cell>
          <cell r="G1374" t="str">
            <v>127</v>
          </cell>
          <cell r="H1374" t="str">
            <v/>
          </cell>
          <cell r="I1374" t="str">
            <v>11020-290</v>
          </cell>
          <cell r="J1374" t="str">
            <v>991218338</v>
          </cell>
          <cell r="K1374" t="str">
            <v>991218338</v>
          </cell>
          <cell r="L1374" t="str">
            <v>Masculino</v>
          </cell>
          <cell r="M1374" t="str">
            <v>Parda</v>
          </cell>
          <cell r="N1374">
            <v>33449</v>
          </cell>
          <cell r="O1374" t="str">
            <v>36195475X</v>
          </cell>
          <cell r="P1374" t="str">
            <v>SP</v>
          </cell>
          <cell r="Q1374" t="str">
            <v>SSP</v>
          </cell>
          <cell r="R1374" t="str">
            <v>SANTOS</v>
          </cell>
        </row>
        <row r="1375">
          <cell r="A1375" t="str">
            <v>PAULO RICARDO DE LIMA COSTA</v>
          </cell>
          <cell r="B1375" t="str">
            <v>Casado</v>
          </cell>
          <cell r="C1375" t="str">
            <v>R TOMOICHI KOBUCHI</v>
          </cell>
          <cell r="D1375" t="str">
            <v>Areia Branca</v>
          </cell>
          <cell r="E1375" t="str">
            <v>SANTOS</v>
          </cell>
          <cell r="F1375" t="str">
            <v>SP</v>
          </cell>
          <cell r="G1375" t="str">
            <v>48</v>
          </cell>
          <cell r="H1375" t="str">
            <v>BA</v>
          </cell>
          <cell r="I1375" t="str">
            <v>11086-100</v>
          </cell>
          <cell r="J1375" t="str">
            <v>997612949</v>
          </cell>
          <cell r="K1375" t="str">
            <v>997612949</v>
          </cell>
          <cell r="L1375" t="str">
            <v>Masculino</v>
          </cell>
          <cell r="M1375" t="str">
            <v>Parda</v>
          </cell>
          <cell r="N1375">
            <v>26644</v>
          </cell>
          <cell r="O1375" t="str">
            <v>251861752</v>
          </cell>
          <cell r="P1375" t="str">
            <v>SP</v>
          </cell>
          <cell r="Q1375" t="str">
            <v>SSP</v>
          </cell>
          <cell r="R1375" t="str">
            <v>SANTOS</v>
          </cell>
        </row>
        <row r="1376">
          <cell r="A1376" t="str">
            <v>FRANCLEIDE NOGUEIRA DA SILVA</v>
          </cell>
          <cell r="B1376" t="str">
            <v>Casado</v>
          </cell>
          <cell r="C1376" t="str">
            <v>R César Augusto de Castro Rios</v>
          </cell>
          <cell r="D1376" t="str">
            <v>Areia Branca</v>
          </cell>
          <cell r="E1376" t="str">
            <v>SANTOS</v>
          </cell>
          <cell r="F1376" t="str">
            <v>SP</v>
          </cell>
          <cell r="G1376" t="str">
            <v>332</v>
          </cell>
          <cell r="H1376" t="str">
            <v>APARTAMENTO 198 Bloco 01</v>
          </cell>
          <cell r="I1376" t="str">
            <v>11086-415</v>
          </cell>
          <cell r="J1376" t="str">
            <v>991563183</v>
          </cell>
          <cell r="K1376" t="str">
            <v>991563183</v>
          </cell>
          <cell r="L1376" t="str">
            <v>Masculino</v>
          </cell>
          <cell r="M1376" t="str">
            <v>Parda</v>
          </cell>
          <cell r="N1376">
            <v>25664</v>
          </cell>
          <cell r="O1376" t="str">
            <v>221134773</v>
          </cell>
          <cell r="P1376" t="str">
            <v>SP</v>
          </cell>
          <cell r="Q1376" t="str">
            <v>SSP</v>
          </cell>
          <cell r="R1376" t="str">
            <v>MACAU</v>
          </cell>
        </row>
        <row r="1377">
          <cell r="A1377" t="str">
            <v>ALEXSANDRE MICHEL SILVEIRA</v>
          </cell>
          <cell r="B1377" t="str">
            <v>Solteiro</v>
          </cell>
          <cell r="C1377" t="str">
            <v>R MAURICIO ONESTI TADDEI</v>
          </cell>
          <cell r="D1377" t="str">
            <v>Jardim Castelo</v>
          </cell>
          <cell r="E1377" t="str">
            <v>SANTOS</v>
          </cell>
          <cell r="F1377" t="str">
            <v>SP</v>
          </cell>
          <cell r="G1377" t="str">
            <v>92</v>
          </cell>
          <cell r="H1377" t="str">
            <v/>
          </cell>
          <cell r="I1377" t="str">
            <v>11087-360</v>
          </cell>
          <cell r="J1377" t="str">
            <v>974184366</v>
          </cell>
          <cell r="K1377" t="str">
            <v>974184366</v>
          </cell>
          <cell r="L1377" t="str">
            <v>Masculino</v>
          </cell>
          <cell r="M1377" t="str">
            <v>Parda</v>
          </cell>
          <cell r="N1377">
            <v>29220</v>
          </cell>
          <cell r="O1377" t="str">
            <v>295315052</v>
          </cell>
          <cell r="P1377" t="str">
            <v>SP</v>
          </cell>
          <cell r="Q1377" t="str">
            <v>SSP</v>
          </cell>
          <cell r="R1377" t="str">
            <v>SANTOS</v>
          </cell>
        </row>
        <row r="1378">
          <cell r="A1378" t="str">
            <v>WALDEMIR CARNEIRO RAMOS</v>
          </cell>
          <cell r="B1378" t="str">
            <v>Casado</v>
          </cell>
          <cell r="C1378" t="str">
            <v>R PARTICULAR VILA AUGUSTA</v>
          </cell>
          <cell r="D1378" t="str">
            <v>Vila Mathias</v>
          </cell>
          <cell r="E1378" t="str">
            <v>SANTOS</v>
          </cell>
          <cell r="F1378" t="str">
            <v>SP</v>
          </cell>
          <cell r="G1378" t="str">
            <v>18</v>
          </cell>
          <cell r="H1378" t="str">
            <v>CASA 2</v>
          </cell>
          <cell r="I1378" t="str">
            <v>11075-205</v>
          </cell>
          <cell r="J1378" t="str">
            <v>991690000</v>
          </cell>
          <cell r="K1378" t="str">
            <v>991690000</v>
          </cell>
          <cell r="L1378" t="str">
            <v>Masculino</v>
          </cell>
          <cell r="M1378" t="str">
            <v>Parda</v>
          </cell>
          <cell r="N1378">
            <v>27825</v>
          </cell>
          <cell r="O1378" t="str">
            <v>309923773</v>
          </cell>
          <cell r="P1378" t="str">
            <v>SP</v>
          </cell>
          <cell r="Q1378" t="str">
            <v>SSP</v>
          </cell>
          <cell r="R1378" t="str">
            <v>PARIQUERA-ACU</v>
          </cell>
        </row>
        <row r="1379">
          <cell r="A1379" t="str">
            <v>FABRICIO FREDERICO VALERI WALKER</v>
          </cell>
          <cell r="B1379" t="str">
            <v>Solteiro</v>
          </cell>
          <cell r="C1379" t="str">
            <v>AV QUINTINO BOCAIUVA</v>
          </cell>
          <cell r="D1379" t="str">
            <v>Centro</v>
          </cell>
          <cell r="E1379" t="str">
            <v>SAO VICENTE</v>
          </cell>
          <cell r="F1379" t="str">
            <v>SP</v>
          </cell>
          <cell r="G1379" t="str">
            <v>432</v>
          </cell>
          <cell r="H1379" t="str">
            <v>APARTAMENTO 9</v>
          </cell>
          <cell r="I1379" t="str">
            <v>11320-010</v>
          </cell>
          <cell r="J1379" t="str">
            <v>982144479</v>
          </cell>
          <cell r="K1379" t="str">
            <v>982144479</v>
          </cell>
          <cell r="L1379" t="str">
            <v>Masculino</v>
          </cell>
          <cell r="M1379" t="str">
            <v>Parda</v>
          </cell>
          <cell r="N1379">
            <v>35888</v>
          </cell>
          <cell r="O1379" t="str">
            <v>430591615</v>
          </cell>
          <cell r="P1379" t="str">
            <v>SP</v>
          </cell>
          <cell r="Q1379" t="str">
            <v>SSP</v>
          </cell>
          <cell r="R1379" t="str">
            <v>SANTOS</v>
          </cell>
        </row>
        <row r="1380">
          <cell r="A1380" t="str">
            <v>KAIQUE KENZI ASSAKURA SANTOS</v>
          </cell>
          <cell r="B1380" t="str">
            <v>Casado</v>
          </cell>
          <cell r="C1380" t="str">
            <v>R Sertanista Francisco Meirelles</v>
          </cell>
          <cell r="D1380" t="str">
            <v>Tupi</v>
          </cell>
          <cell r="E1380" t="str">
            <v>PRAIA GRANDE</v>
          </cell>
          <cell r="F1380" t="str">
            <v>SP</v>
          </cell>
          <cell r="G1380" t="str">
            <v>730</v>
          </cell>
          <cell r="H1380" t="str">
            <v>CASA</v>
          </cell>
          <cell r="I1380" t="str">
            <v>11703-460</v>
          </cell>
          <cell r="J1380" t="str">
            <v>988229050</v>
          </cell>
          <cell r="K1380" t="str">
            <v>988229050</v>
          </cell>
          <cell r="L1380" t="str">
            <v>Masculino</v>
          </cell>
          <cell r="M1380" t="str">
            <v>Parda</v>
          </cell>
          <cell r="N1380">
            <v>35068</v>
          </cell>
          <cell r="O1380" t="str">
            <v>382209394</v>
          </cell>
          <cell r="P1380" t="str">
            <v>SP</v>
          </cell>
          <cell r="Q1380" t="str">
            <v>SSP</v>
          </cell>
          <cell r="R1380" t="str">
            <v>SAO PAULO</v>
          </cell>
        </row>
        <row r="1381">
          <cell r="A1381" t="str">
            <v>RAPHAEL DA SILVA SANTOS</v>
          </cell>
          <cell r="B1381" t="str">
            <v>Solteiro</v>
          </cell>
          <cell r="C1381" t="str">
            <v>R MANOEL VENTURA DA SILVA</v>
          </cell>
          <cell r="D1381" t="str">
            <v>Vale Verde</v>
          </cell>
          <cell r="E1381" t="str">
            <v>CUBATAO</v>
          </cell>
          <cell r="F1381" t="str">
            <v>SP</v>
          </cell>
          <cell r="G1381" t="str">
            <v>92</v>
          </cell>
          <cell r="H1381" t="str">
            <v/>
          </cell>
          <cell r="I1381" t="str">
            <v>11542-160</v>
          </cell>
          <cell r="J1381" t="str">
            <v>988201293</v>
          </cell>
          <cell r="K1381" t="str">
            <v>988201293</v>
          </cell>
          <cell r="L1381" t="str">
            <v>Masculino</v>
          </cell>
          <cell r="M1381" t="str">
            <v>Parda</v>
          </cell>
          <cell r="N1381">
            <v>33487</v>
          </cell>
          <cell r="O1381" t="str">
            <v>288656702</v>
          </cell>
          <cell r="P1381" t="str">
            <v>SP</v>
          </cell>
          <cell r="Q1381" t="str">
            <v>SSP</v>
          </cell>
          <cell r="R1381" t="str">
            <v>CUBATAO</v>
          </cell>
        </row>
        <row r="1382">
          <cell r="A1382" t="str">
            <v>DENIS FRANCISCO ALVES</v>
          </cell>
          <cell r="B1382" t="str">
            <v>Casado</v>
          </cell>
          <cell r="C1382" t="str">
            <v>R NOVE</v>
          </cell>
          <cell r="D1382" t="str">
            <v>Jardim Irmã Dolores</v>
          </cell>
          <cell r="E1382" t="str">
            <v>SAO VICENTE</v>
          </cell>
          <cell r="F1382" t="str">
            <v>SP</v>
          </cell>
          <cell r="G1382" t="str">
            <v>407</v>
          </cell>
          <cell r="H1382" t="str">
            <v>CASA 3</v>
          </cell>
          <cell r="I1382" t="str">
            <v>11347-490</v>
          </cell>
          <cell r="J1382" t="str">
            <v>996172120</v>
          </cell>
          <cell r="K1382" t="str">
            <v>996172120</v>
          </cell>
          <cell r="L1382" t="str">
            <v>Masculino</v>
          </cell>
          <cell r="M1382" t="str">
            <v>Parda</v>
          </cell>
          <cell r="N1382">
            <v>31529</v>
          </cell>
          <cell r="O1382" t="str">
            <v>421853438</v>
          </cell>
          <cell r="P1382" t="str">
            <v>SP</v>
          </cell>
          <cell r="Q1382" t="str">
            <v>SSP</v>
          </cell>
          <cell r="R1382" t="str">
            <v>SAO VICENTE</v>
          </cell>
        </row>
        <row r="1383">
          <cell r="A1383" t="str">
            <v>ARIANE SOUSA SANTOS</v>
          </cell>
          <cell r="B1383" t="str">
            <v>Divorciado</v>
          </cell>
          <cell r="C1383" t="str">
            <v>V VEREADOR LYDIO MARTINS CORREA</v>
          </cell>
          <cell r="D1383" t="str">
            <v>VILA ZILDA</v>
          </cell>
          <cell r="E1383" t="str">
            <v>GUARUJA</v>
          </cell>
          <cell r="F1383" t="str">
            <v>SP</v>
          </cell>
          <cell r="G1383" t="str">
            <v>25</v>
          </cell>
          <cell r="H1383" t="str">
            <v/>
          </cell>
          <cell r="I1383" t="str">
            <v>11436-010</v>
          </cell>
          <cell r="J1383" t="str">
            <v>988687416</v>
          </cell>
          <cell r="K1383" t="str">
            <v>988687416</v>
          </cell>
          <cell r="L1383" t="str">
            <v>Feminino</v>
          </cell>
          <cell r="M1383" t="str">
            <v>Parda</v>
          </cell>
          <cell r="N1383">
            <v>32957</v>
          </cell>
          <cell r="O1383" t="str">
            <v>464532875</v>
          </cell>
          <cell r="P1383" t="str">
            <v>SP</v>
          </cell>
          <cell r="Q1383" t="str">
            <v>SSP</v>
          </cell>
          <cell r="R1383" t="str">
            <v>IBICARAI</v>
          </cell>
        </row>
        <row r="1384">
          <cell r="A1384" t="str">
            <v>MARCELO NERES PIRES DA SILVA</v>
          </cell>
          <cell r="B1384" t="str">
            <v>Casado</v>
          </cell>
          <cell r="C1384" t="str">
            <v>R DAS MAGNOLIAS</v>
          </cell>
          <cell r="D1384" t="str">
            <v>Jardim Primavera</v>
          </cell>
          <cell r="E1384" t="str">
            <v>GUARUJA</v>
          </cell>
          <cell r="F1384" t="str">
            <v>SP</v>
          </cell>
          <cell r="G1384" t="str">
            <v>138</v>
          </cell>
          <cell r="H1384" t="str">
            <v>APARTAMENTO 11 BLOCO A</v>
          </cell>
          <cell r="I1384" t="str">
            <v>11432-320</v>
          </cell>
          <cell r="J1384" t="str">
            <v>974106445</v>
          </cell>
          <cell r="K1384" t="str">
            <v>974106445</v>
          </cell>
          <cell r="L1384" t="str">
            <v>Masculino</v>
          </cell>
          <cell r="M1384" t="str">
            <v>Parda</v>
          </cell>
          <cell r="N1384">
            <v>29371</v>
          </cell>
          <cell r="O1384" t="str">
            <v>336731012</v>
          </cell>
          <cell r="P1384" t="str">
            <v>SP</v>
          </cell>
          <cell r="Q1384" t="str">
            <v>SSP</v>
          </cell>
          <cell r="R1384" t="str">
            <v>GUARUJA</v>
          </cell>
        </row>
        <row r="1385">
          <cell r="A1385" t="str">
            <v>AYRTON SENNA SOUZA SILVA</v>
          </cell>
          <cell r="B1385" t="str">
            <v>Casado</v>
          </cell>
          <cell r="C1385" t="str">
            <v>R ANTONIO VICTOR LOPES</v>
          </cell>
          <cell r="D1385" t="str">
            <v>Vila Matias</v>
          </cell>
          <cell r="E1385" t="str">
            <v>SAO VICENTE</v>
          </cell>
          <cell r="F1385" t="str">
            <v>SP</v>
          </cell>
          <cell r="G1385" t="str">
            <v>573</v>
          </cell>
          <cell r="H1385" t="str">
            <v>BLOCO 16 APARTAMENTO 23</v>
          </cell>
          <cell r="I1385" t="str">
            <v>11345-390</v>
          </cell>
          <cell r="J1385" t="str">
            <v>988263598</v>
          </cell>
          <cell r="K1385" t="str">
            <v>988263598</v>
          </cell>
          <cell r="L1385" t="str">
            <v>Masculino</v>
          </cell>
          <cell r="M1385" t="str">
            <v>Parda</v>
          </cell>
          <cell r="N1385">
            <v>34542</v>
          </cell>
          <cell r="O1385" t="str">
            <v>496546375</v>
          </cell>
          <cell r="P1385" t="str">
            <v>SP</v>
          </cell>
          <cell r="Q1385" t="str">
            <v>SSP</v>
          </cell>
          <cell r="R1385" t="str">
            <v>SANTOS</v>
          </cell>
        </row>
        <row r="1386">
          <cell r="A1386" t="str">
            <v>ALESSANDRO PRESTES GELSLOICHTER GONCALVE</v>
          </cell>
          <cell r="B1386" t="str">
            <v>Solteiro</v>
          </cell>
          <cell r="C1386" t="str">
            <v>R SANTA CRUZ</v>
          </cell>
          <cell r="D1386" t="str">
            <v>Parque Bitaru</v>
          </cell>
          <cell r="E1386" t="str">
            <v>SAO VICENTE</v>
          </cell>
          <cell r="F1386" t="str">
            <v>SP</v>
          </cell>
          <cell r="G1386" t="str">
            <v>499</v>
          </cell>
          <cell r="H1386" t="str">
            <v>APARTAMENTO 14</v>
          </cell>
          <cell r="I1386" t="str">
            <v>11330-295</v>
          </cell>
          <cell r="J1386" t="str">
            <v>997245459</v>
          </cell>
          <cell r="K1386" t="str">
            <v>997245459</v>
          </cell>
          <cell r="L1386" t="str">
            <v>Masculino</v>
          </cell>
          <cell r="M1386" t="str">
            <v>Parda</v>
          </cell>
          <cell r="N1386">
            <v>35495</v>
          </cell>
          <cell r="O1386" t="str">
            <v>38956686X</v>
          </cell>
          <cell r="P1386" t="str">
            <v>SP</v>
          </cell>
          <cell r="Q1386" t="str">
            <v>SSP</v>
          </cell>
          <cell r="R1386" t="str">
            <v>SAO VICENTE</v>
          </cell>
        </row>
        <row r="1387">
          <cell r="A1387" t="str">
            <v>ARIANE SANTOS DE OLIVEIRA</v>
          </cell>
          <cell r="B1387" t="str">
            <v>Solteiro</v>
          </cell>
          <cell r="C1387" t="str">
            <v>R DOUTOR ROBERTO CATUNDA</v>
          </cell>
          <cell r="D1387" t="str">
            <v>Areia Branca</v>
          </cell>
          <cell r="E1387" t="str">
            <v>SANTOS</v>
          </cell>
          <cell r="F1387" t="str">
            <v>SP</v>
          </cell>
          <cell r="G1387" t="str">
            <v>48</v>
          </cell>
          <cell r="H1387" t="str">
            <v/>
          </cell>
          <cell r="I1387" t="str">
            <v>11086-110</v>
          </cell>
          <cell r="J1387" t="str">
            <v>991664706</v>
          </cell>
          <cell r="K1387" t="str">
            <v>991664706</v>
          </cell>
          <cell r="L1387" t="str">
            <v>Feminino</v>
          </cell>
          <cell r="M1387" t="str">
            <v>Parda</v>
          </cell>
          <cell r="N1387">
            <v>33821</v>
          </cell>
          <cell r="O1387" t="str">
            <v>493151904</v>
          </cell>
          <cell r="P1387" t="str">
            <v>SP</v>
          </cell>
          <cell r="Q1387" t="str">
            <v>SSP</v>
          </cell>
          <cell r="R1387" t="str">
            <v>SANTOS</v>
          </cell>
        </row>
        <row r="1388">
          <cell r="A1388" t="str">
            <v>LAURA RAFAELA APARECIDA OLIVEIRA</v>
          </cell>
          <cell r="B1388" t="str">
            <v>Solteiro</v>
          </cell>
          <cell r="C1388" t="str">
            <v>R AMARO MANOEL DOS SANTOS</v>
          </cell>
          <cell r="D1388" t="str">
            <v>Jardim Nova República</v>
          </cell>
          <cell r="E1388" t="str">
            <v>CUBATAO</v>
          </cell>
          <cell r="F1388" t="str">
            <v>SP</v>
          </cell>
          <cell r="G1388" t="str">
            <v>85</v>
          </cell>
          <cell r="H1388" t="str">
            <v>CASA</v>
          </cell>
          <cell r="I1388" t="str">
            <v>11534-310</v>
          </cell>
          <cell r="J1388" t="str">
            <v>996067731</v>
          </cell>
          <cell r="K1388" t="str">
            <v>997283943</v>
          </cell>
          <cell r="L1388" t="str">
            <v>Feminino</v>
          </cell>
          <cell r="M1388" t="str">
            <v>Parda</v>
          </cell>
          <cell r="N1388">
            <v>33801</v>
          </cell>
          <cell r="O1388" t="str">
            <v>48241800X</v>
          </cell>
          <cell r="P1388" t="str">
            <v>SP</v>
          </cell>
          <cell r="Q1388" t="str">
            <v>SSP</v>
          </cell>
          <cell r="R1388" t="str">
            <v>JACAREI</v>
          </cell>
        </row>
        <row r="1389">
          <cell r="A1389" t="str">
            <v>CAIO VINICIUS DOS SANTOS SODRE</v>
          </cell>
          <cell r="B1389" t="str">
            <v>Solteiro</v>
          </cell>
          <cell r="C1389" t="str">
            <v>R CARLOS JOSE ANGELO BERTI</v>
          </cell>
          <cell r="D1389" t="str">
            <v>Tupi</v>
          </cell>
          <cell r="E1389" t="str">
            <v>PRAIA GRANDE</v>
          </cell>
          <cell r="F1389" t="str">
            <v>SP</v>
          </cell>
          <cell r="G1389" t="str">
            <v>154</v>
          </cell>
          <cell r="H1389" t="str">
            <v/>
          </cell>
          <cell r="I1389" t="str">
            <v>11719-110</v>
          </cell>
          <cell r="J1389" t="str">
            <v>974203694</v>
          </cell>
          <cell r="K1389" t="str">
            <v>974203694</v>
          </cell>
          <cell r="L1389" t="str">
            <v>Masculino</v>
          </cell>
          <cell r="M1389" t="str">
            <v>Parda</v>
          </cell>
          <cell r="N1389">
            <v>33927</v>
          </cell>
          <cell r="O1389" t="str">
            <v>488633199</v>
          </cell>
          <cell r="P1389" t="str">
            <v>SP</v>
          </cell>
          <cell r="Q1389" t="str">
            <v>SSP</v>
          </cell>
          <cell r="R1389" t="str">
            <v>SANTOS</v>
          </cell>
        </row>
        <row r="1390">
          <cell r="A1390" t="str">
            <v>DENILSON SANTOS DE MOURA</v>
          </cell>
          <cell r="B1390" t="str">
            <v>União Estável</v>
          </cell>
          <cell r="C1390" t="str">
            <v>R JUREIA</v>
          </cell>
          <cell r="D1390" t="str">
            <v>Sítio Paecara (Vicen</v>
          </cell>
          <cell r="E1390" t="str">
            <v>GUARUJA</v>
          </cell>
          <cell r="F1390" t="str">
            <v>SP</v>
          </cell>
          <cell r="G1390" t="str">
            <v>212</v>
          </cell>
          <cell r="H1390" t="str">
            <v>FUNDOS</v>
          </cell>
          <cell r="I1390" t="str">
            <v>11460-060</v>
          </cell>
          <cell r="J1390" t="str">
            <v>991679233</v>
          </cell>
          <cell r="K1390" t="str">
            <v>991679233</v>
          </cell>
          <cell r="L1390" t="str">
            <v>Masculino</v>
          </cell>
          <cell r="M1390" t="str">
            <v>Parda</v>
          </cell>
          <cell r="N1390">
            <v>30953</v>
          </cell>
          <cell r="O1390" t="str">
            <v>334950314</v>
          </cell>
          <cell r="P1390" t="str">
            <v>SP</v>
          </cell>
          <cell r="Q1390" t="str">
            <v>SSP</v>
          </cell>
          <cell r="R1390" t="str">
            <v>GUARUJA</v>
          </cell>
        </row>
        <row r="1391">
          <cell r="A1391" t="str">
            <v>DIOGO BARBOSA BONIFACIO</v>
          </cell>
          <cell r="B1391" t="str">
            <v>Casado</v>
          </cell>
          <cell r="C1391" t="str">
            <v>R GUARANY</v>
          </cell>
          <cell r="D1391" t="str">
            <v>Parque Sao Vicente</v>
          </cell>
          <cell r="E1391" t="str">
            <v>SAO VICENTE</v>
          </cell>
          <cell r="F1391" t="str">
            <v>SP</v>
          </cell>
          <cell r="G1391" t="str">
            <v>525</v>
          </cell>
          <cell r="H1391" t="str">
            <v>CASA 2</v>
          </cell>
          <cell r="I1391" t="str">
            <v>11360-000</v>
          </cell>
          <cell r="J1391" t="str">
            <v>988760140</v>
          </cell>
          <cell r="K1391" t="str">
            <v>974230423</v>
          </cell>
          <cell r="L1391" t="str">
            <v>Masculino</v>
          </cell>
          <cell r="M1391" t="str">
            <v>Parda</v>
          </cell>
          <cell r="N1391">
            <v>29490</v>
          </cell>
          <cell r="O1391" t="str">
            <v>296447377</v>
          </cell>
          <cell r="P1391" t="str">
            <v>SP</v>
          </cell>
          <cell r="Q1391" t="str">
            <v>SSP</v>
          </cell>
          <cell r="R1391" t="str">
            <v>SANTOS</v>
          </cell>
        </row>
        <row r="1392">
          <cell r="A1392" t="str">
            <v>VALDINEI FERREIRA DOS SANTOS</v>
          </cell>
          <cell r="B1392" t="str">
            <v>Casado</v>
          </cell>
          <cell r="C1392" t="str">
            <v>R ERNANDES XAVIER DE SOUZA</v>
          </cell>
          <cell r="D1392" t="str">
            <v>Parque das Bandeiras</v>
          </cell>
          <cell r="E1392" t="str">
            <v>SAO VICENTE</v>
          </cell>
          <cell r="F1392" t="str">
            <v>SP</v>
          </cell>
          <cell r="G1392" t="str">
            <v>269</v>
          </cell>
          <cell r="H1392" t="str">
            <v/>
          </cell>
          <cell r="I1392" t="str">
            <v>11346-010</v>
          </cell>
          <cell r="J1392" t="str">
            <v>988367667</v>
          </cell>
          <cell r="K1392" t="str">
            <v>988367667</v>
          </cell>
          <cell r="L1392" t="str">
            <v>Masculino</v>
          </cell>
          <cell r="M1392" t="str">
            <v>Parda</v>
          </cell>
          <cell r="N1392">
            <v>27652</v>
          </cell>
          <cell r="O1392" t="str">
            <v>245452229</v>
          </cell>
          <cell r="P1392" t="str">
            <v>SP</v>
          </cell>
          <cell r="Q1392" t="str">
            <v>SSP</v>
          </cell>
          <cell r="R1392" t="str">
            <v>CUBATAO</v>
          </cell>
        </row>
        <row r="1393">
          <cell r="A1393" t="str">
            <v>WALLACE FERREIRA BRAZ</v>
          </cell>
          <cell r="B1393" t="str">
            <v>Casado</v>
          </cell>
          <cell r="C1393" t="str">
            <v>R MARINA LOURENCO DE OLIVEIRA</v>
          </cell>
          <cell r="D1393" t="str">
            <v>Jardim Nova República</v>
          </cell>
          <cell r="E1393" t="str">
            <v>CUBATAO</v>
          </cell>
          <cell r="F1393" t="str">
            <v>SP</v>
          </cell>
          <cell r="G1393" t="str">
            <v>93</v>
          </cell>
          <cell r="H1393" t="str">
            <v/>
          </cell>
          <cell r="I1393" t="str">
            <v>11534-530</v>
          </cell>
          <cell r="J1393" t="str">
            <v>997580950</v>
          </cell>
          <cell r="K1393" t="str">
            <v>997580950</v>
          </cell>
          <cell r="L1393" t="str">
            <v>Masculino</v>
          </cell>
          <cell r="M1393" t="str">
            <v>Parda</v>
          </cell>
          <cell r="N1393">
            <v>33526</v>
          </cell>
          <cell r="O1393" t="str">
            <v>485831557</v>
          </cell>
          <cell r="P1393" t="str">
            <v>SP</v>
          </cell>
          <cell r="Q1393" t="str">
            <v>SSP</v>
          </cell>
          <cell r="R1393" t="str">
            <v>CUBATAO</v>
          </cell>
        </row>
        <row r="1394">
          <cell r="A1394" t="str">
            <v>NILTON SANTOS DE SANTANA</v>
          </cell>
          <cell r="B1394" t="str">
            <v>Solteiro</v>
          </cell>
          <cell r="C1394" t="str">
            <v>R BELO HORIZONTE</v>
          </cell>
          <cell r="D1394" t="str">
            <v>Vila Ponte Nova</v>
          </cell>
          <cell r="E1394" t="str">
            <v>SAO VICENTE</v>
          </cell>
          <cell r="F1394" t="str">
            <v>SP</v>
          </cell>
          <cell r="G1394" t="str">
            <v>620</v>
          </cell>
          <cell r="H1394" t="str">
            <v>CASA 2</v>
          </cell>
          <cell r="I1394" t="str">
            <v>11347-750</v>
          </cell>
          <cell r="J1394" t="str">
            <v>997114673</v>
          </cell>
          <cell r="K1394" t="str">
            <v>997114673</v>
          </cell>
          <cell r="L1394" t="str">
            <v>Masculino</v>
          </cell>
          <cell r="M1394" t="str">
            <v>Parda</v>
          </cell>
          <cell r="N1394">
            <v>31423</v>
          </cell>
          <cell r="O1394" t="str">
            <v>424278893</v>
          </cell>
          <cell r="P1394" t="str">
            <v>SP</v>
          </cell>
          <cell r="Q1394" t="str">
            <v>SSP</v>
          </cell>
          <cell r="R1394" t="str">
            <v>SANTOS</v>
          </cell>
        </row>
        <row r="1395">
          <cell r="A1395" t="str">
            <v>VALDECI PALUCCI</v>
          </cell>
          <cell r="B1395" t="str">
            <v>Solteiro</v>
          </cell>
          <cell r="C1395" t="str">
            <v>R PADRE BARTOLOMEU DE GUSMAO</v>
          </cell>
          <cell r="D1395" t="str">
            <v>Parque Fernando Jorg</v>
          </cell>
          <cell r="E1395" t="str">
            <v>CUBATAO</v>
          </cell>
          <cell r="F1395" t="str">
            <v>SP</v>
          </cell>
          <cell r="G1395" t="str">
            <v>322</v>
          </cell>
          <cell r="H1395" t="str">
            <v>CASA</v>
          </cell>
          <cell r="I1395" t="str">
            <v>11500-290</v>
          </cell>
          <cell r="J1395" t="str">
            <v>996748729</v>
          </cell>
          <cell r="K1395" t="str">
            <v>996748729</v>
          </cell>
          <cell r="L1395" t="str">
            <v>Masculino</v>
          </cell>
          <cell r="M1395" t="str">
            <v>Parda</v>
          </cell>
          <cell r="N1395">
            <v>25584</v>
          </cell>
          <cell r="O1395" t="str">
            <v>199031587</v>
          </cell>
          <cell r="P1395" t="str">
            <v>SP</v>
          </cell>
          <cell r="Q1395" t="str">
            <v>SSP</v>
          </cell>
          <cell r="R1395" t="str">
            <v>CUBATAO</v>
          </cell>
        </row>
        <row r="1396">
          <cell r="A1396" t="str">
            <v>MARCOS JERONIMO DOS SANTOS</v>
          </cell>
          <cell r="B1396" t="str">
            <v>Solteiro</v>
          </cell>
          <cell r="C1396" t="str">
            <v>CAM SAO JOSE</v>
          </cell>
          <cell r="D1396" t="str">
            <v>Rádio Clube</v>
          </cell>
          <cell r="E1396" t="str">
            <v>SANTOS</v>
          </cell>
          <cell r="F1396" t="str">
            <v>SP</v>
          </cell>
          <cell r="G1396" t="str">
            <v>528</v>
          </cell>
          <cell r="H1396" t="str">
            <v>CASA 2</v>
          </cell>
          <cell r="I1396" t="str">
            <v>11088-500</v>
          </cell>
          <cell r="J1396" t="str">
            <v>981189363</v>
          </cell>
          <cell r="K1396" t="str">
            <v>981189363</v>
          </cell>
          <cell r="L1396" t="str">
            <v>Masculino</v>
          </cell>
          <cell r="M1396" t="str">
            <v>Parda</v>
          </cell>
          <cell r="N1396">
            <v>34246</v>
          </cell>
          <cell r="O1396" t="str">
            <v>493429220</v>
          </cell>
          <cell r="P1396" t="str">
            <v>SP</v>
          </cell>
          <cell r="Q1396" t="str">
            <v>SSP</v>
          </cell>
          <cell r="R1396" t="str">
            <v>CUBATAO</v>
          </cell>
        </row>
        <row r="1397">
          <cell r="A1397" t="str">
            <v>SERGIO ROGERIO CAMPOS CORREIA</v>
          </cell>
          <cell r="B1397" t="str">
            <v>Solteiro</v>
          </cell>
          <cell r="C1397" t="str">
            <v>AV CONSELHEIRO NEBIAS</v>
          </cell>
          <cell r="D1397" t="str">
            <v>Boqueirão</v>
          </cell>
          <cell r="E1397" t="str">
            <v>SANTOS</v>
          </cell>
          <cell r="F1397" t="str">
            <v>SP</v>
          </cell>
          <cell r="G1397" t="str">
            <v>842</v>
          </cell>
          <cell r="H1397" t="str">
            <v>APARTAMENTO 709</v>
          </cell>
          <cell r="I1397" t="str">
            <v>11045-002</v>
          </cell>
          <cell r="J1397" t="str">
            <v>996022135</v>
          </cell>
          <cell r="K1397" t="str">
            <v>996022135</v>
          </cell>
          <cell r="L1397" t="str">
            <v>Masculino</v>
          </cell>
          <cell r="M1397" t="str">
            <v>Parda</v>
          </cell>
          <cell r="N1397">
            <v>34415</v>
          </cell>
          <cell r="O1397" t="str">
            <v>35146718X</v>
          </cell>
          <cell r="P1397" t="str">
            <v>SP</v>
          </cell>
          <cell r="Q1397" t="str">
            <v>SSP</v>
          </cell>
          <cell r="R1397" t="str">
            <v>SANTOS</v>
          </cell>
        </row>
        <row r="1398">
          <cell r="A1398" t="str">
            <v>RENAN ROBERTO FERNANDES</v>
          </cell>
          <cell r="B1398" t="str">
            <v>Solteiro</v>
          </cell>
          <cell r="C1398" t="str">
            <v>R ADELINO FRANCISCO</v>
          </cell>
          <cell r="D1398" t="str">
            <v>Parque São Luis</v>
          </cell>
          <cell r="E1398" t="str">
            <v>CUBATAO</v>
          </cell>
          <cell r="F1398" t="str">
            <v>SP</v>
          </cell>
          <cell r="G1398" t="str">
            <v>40</v>
          </cell>
          <cell r="H1398" t="str">
            <v>BLOCO 8 CASA 1</v>
          </cell>
          <cell r="I1398" t="str">
            <v>15330-520</v>
          </cell>
          <cell r="J1398" t="str">
            <v>996341710</v>
          </cell>
          <cell r="K1398" t="str">
            <v>996341710</v>
          </cell>
          <cell r="L1398" t="str">
            <v>Masculino</v>
          </cell>
          <cell r="M1398" t="str">
            <v>Parda</v>
          </cell>
          <cell r="N1398">
            <v>30719</v>
          </cell>
          <cell r="O1398" t="str">
            <v>453480615</v>
          </cell>
          <cell r="P1398" t="str">
            <v>SP</v>
          </cell>
          <cell r="Q1398" t="str">
            <v>SSP</v>
          </cell>
          <cell r="R1398" t="str">
            <v>SANTOS</v>
          </cell>
        </row>
        <row r="1399">
          <cell r="A1399" t="str">
            <v>LEANDRO GOMES DE SOUZA</v>
          </cell>
          <cell r="B1399" t="str">
            <v>União Estável</v>
          </cell>
          <cell r="C1399" t="str">
            <v>R RONEY GOCHI</v>
          </cell>
          <cell r="D1399" t="str">
            <v>Jardim Real</v>
          </cell>
          <cell r="E1399" t="str">
            <v>CUBATAO</v>
          </cell>
          <cell r="F1399" t="str">
            <v>SP</v>
          </cell>
          <cell r="G1399" t="str">
            <v>250</v>
          </cell>
          <cell r="H1399" t="str">
            <v>BLOCO O APARTAMENTO 11</v>
          </cell>
          <cell r="I1399" t="str">
            <v>11534-885</v>
          </cell>
          <cell r="J1399" t="str">
            <v>981120158</v>
          </cell>
          <cell r="K1399" t="str">
            <v>981120158</v>
          </cell>
          <cell r="L1399" t="str">
            <v>Masculino</v>
          </cell>
          <cell r="M1399" t="str">
            <v>Parda</v>
          </cell>
          <cell r="N1399">
            <v>33405</v>
          </cell>
          <cell r="O1399" t="str">
            <v>356350137</v>
          </cell>
          <cell r="P1399" t="str">
            <v>SP</v>
          </cell>
          <cell r="Q1399" t="str">
            <v>SSP</v>
          </cell>
          <cell r="R1399" t="str">
            <v>CUBATAO</v>
          </cell>
        </row>
        <row r="1400">
          <cell r="A1400" t="str">
            <v>MATHEUS SANTOS DE CARVALHO</v>
          </cell>
          <cell r="B1400" t="str">
            <v>Solteiro</v>
          </cell>
          <cell r="C1400" t="str">
            <v>AV ENGENHEIRO MANOEL FERRAMENTA JUNIOR</v>
          </cell>
          <cell r="D1400" t="str">
            <v>Areia Branca</v>
          </cell>
          <cell r="E1400" t="str">
            <v>SANTOS</v>
          </cell>
          <cell r="F1400" t="str">
            <v>SP</v>
          </cell>
          <cell r="G1400" t="str">
            <v>505</v>
          </cell>
          <cell r="H1400" t="str">
            <v>BLOCO D AP 54</v>
          </cell>
          <cell r="I1400" t="str">
            <v>11086-400</v>
          </cell>
          <cell r="J1400" t="str">
            <v>991671603</v>
          </cell>
          <cell r="K1400" t="str">
            <v>991671603</v>
          </cell>
          <cell r="L1400" t="str">
            <v>Masculino</v>
          </cell>
          <cell r="M1400" t="str">
            <v>Parda</v>
          </cell>
          <cell r="N1400">
            <v>34897</v>
          </cell>
          <cell r="O1400" t="str">
            <v>412018834</v>
          </cell>
          <cell r="P1400" t="str">
            <v>SP</v>
          </cell>
          <cell r="Q1400" t="str">
            <v>SSP</v>
          </cell>
          <cell r="R1400" t="str">
            <v>SANTOS</v>
          </cell>
        </row>
        <row r="1401">
          <cell r="A1401" t="str">
            <v>JOAO MARCOS BRUNETTO OLIVEIRA</v>
          </cell>
          <cell r="B1401" t="str">
            <v>Solteiro</v>
          </cell>
          <cell r="C1401" t="str">
            <v>R JOSE LOBO VIANA</v>
          </cell>
          <cell r="D1401" t="str">
            <v>Rádio Clube</v>
          </cell>
          <cell r="E1401" t="str">
            <v>SANTOS</v>
          </cell>
          <cell r="F1401" t="str">
            <v>SP</v>
          </cell>
          <cell r="G1401" t="str">
            <v>173</v>
          </cell>
          <cell r="H1401" t="str">
            <v/>
          </cell>
          <cell r="I1401" t="str">
            <v>11088-160</v>
          </cell>
          <cell r="J1401" t="str">
            <v>992013320</v>
          </cell>
          <cell r="K1401" t="str">
            <v>992013320</v>
          </cell>
          <cell r="L1401" t="str">
            <v>Masculino</v>
          </cell>
          <cell r="M1401" t="str">
            <v>Parda</v>
          </cell>
          <cell r="N1401">
            <v>36542</v>
          </cell>
          <cell r="O1401" t="str">
            <v>392271515</v>
          </cell>
          <cell r="P1401" t="str">
            <v>SP</v>
          </cell>
          <cell r="Q1401" t="str">
            <v>SSP</v>
          </cell>
          <cell r="R1401" t="str">
            <v>SANTOS</v>
          </cell>
        </row>
        <row r="1402">
          <cell r="A1402" t="str">
            <v>CAROLINA ROSA DA SILVA</v>
          </cell>
          <cell r="B1402" t="str">
            <v>Solteiro</v>
          </cell>
          <cell r="C1402" t="str">
            <v>R DOUTOR GASPAR RICARDO</v>
          </cell>
          <cell r="D1402" t="str">
            <v>Marapé</v>
          </cell>
          <cell r="E1402" t="str">
            <v>SANTOS</v>
          </cell>
          <cell r="F1402" t="str">
            <v>SP</v>
          </cell>
          <cell r="G1402" t="str">
            <v>220</v>
          </cell>
          <cell r="H1402" t="str">
            <v/>
          </cell>
          <cell r="I1402" t="str">
            <v>11070-350</v>
          </cell>
          <cell r="J1402" t="str">
            <v>988322322</v>
          </cell>
          <cell r="K1402" t="str">
            <v>988322322</v>
          </cell>
          <cell r="L1402" t="str">
            <v>Feminino</v>
          </cell>
          <cell r="M1402" t="str">
            <v>Parda</v>
          </cell>
          <cell r="N1402">
            <v>35066</v>
          </cell>
          <cell r="O1402" t="str">
            <v>54738919X</v>
          </cell>
          <cell r="P1402" t="str">
            <v>SP</v>
          </cell>
          <cell r="Q1402" t="str">
            <v>SSP</v>
          </cell>
          <cell r="R1402" t="str">
            <v>SANTOS</v>
          </cell>
        </row>
        <row r="1403">
          <cell r="A1403" t="str">
            <v>LUIS ALEX DA COSTA MACHADO</v>
          </cell>
          <cell r="B1403" t="str">
            <v>Solteiro</v>
          </cell>
          <cell r="C1403" t="str">
            <v>R VEREADOR LOURIVAL MOREIRA DO AMARAL</v>
          </cell>
          <cell r="D1403" t="str">
            <v>Vila Jockei Clube</v>
          </cell>
          <cell r="E1403" t="str">
            <v>SAO VICENTE</v>
          </cell>
          <cell r="F1403" t="str">
            <v>SP</v>
          </cell>
          <cell r="G1403" t="str">
            <v>2271</v>
          </cell>
          <cell r="H1403" t="str">
            <v/>
          </cell>
          <cell r="I1403" t="str">
            <v>11365-100</v>
          </cell>
          <cell r="J1403" t="str">
            <v>974069583</v>
          </cell>
          <cell r="K1403" t="str">
            <v/>
          </cell>
          <cell r="L1403" t="str">
            <v>Masculino</v>
          </cell>
          <cell r="M1403" t="str">
            <v>Parda</v>
          </cell>
          <cell r="N1403">
            <v>29490</v>
          </cell>
          <cell r="O1403" t="str">
            <v>283015159</v>
          </cell>
          <cell r="P1403" t="str">
            <v>SP</v>
          </cell>
          <cell r="Q1403" t="str">
            <v>SSP</v>
          </cell>
          <cell r="R1403" t="str">
            <v>SANTOS</v>
          </cell>
        </row>
        <row r="1404">
          <cell r="A1404" t="str">
            <v>ALEX SANDRO DE SOUZA RESENDE VIEIRA</v>
          </cell>
          <cell r="B1404" t="str">
            <v>Casado</v>
          </cell>
          <cell r="C1404" t="str">
            <v>CAM DO AMOR</v>
          </cell>
          <cell r="D1404" t="str">
            <v>VILA ESPERANÇA</v>
          </cell>
          <cell r="E1404" t="str">
            <v>CUBATAO</v>
          </cell>
          <cell r="F1404" t="str">
            <v>SP</v>
          </cell>
          <cell r="G1404" t="str">
            <v>809</v>
          </cell>
          <cell r="H1404" t="str">
            <v/>
          </cell>
          <cell r="I1404" t="str">
            <v>11500-000</v>
          </cell>
          <cell r="J1404" t="str">
            <v>981450762</v>
          </cell>
          <cell r="K1404" t="str">
            <v/>
          </cell>
          <cell r="L1404" t="str">
            <v>Masculino</v>
          </cell>
          <cell r="M1404" t="str">
            <v>Parda</v>
          </cell>
          <cell r="N1404">
            <v>32776</v>
          </cell>
          <cell r="O1404" t="str">
            <v>485764180</v>
          </cell>
          <cell r="P1404" t="str">
            <v>SP</v>
          </cell>
          <cell r="Q1404" t="str">
            <v>SSP</v>
          </cell>
          <cell r="R1404" t="str">
            <v>CUBATAO</v>
          </cell>
        </row>
        <row r="1405">
          <cell r="A1405" t="str">
            <v>EDERSON DE MELO SOARES</v>
          </cell>
          <cell r="B1405" t="str">
            <v>Casado</v>
          </cell>
          <cell r="C1405" t="str">
            <v>R FRANCA</v>
          </cell>
          <cell r="D1405" t="str">
            <v>Vila Áurea (Vicente de Carvalho)</v>
          </cell>
          <cell r="E1405" t="str">
            <v>GUARUJA</v>
          </cell>
          <cell r="F1405" t="str">
            <v>SP</v>
          </cell>
          <cell r="G1405" t="str">
            <v>107</v>
          </cell>
          <cell r="H1405" t="str">
            <v/>
          </cell>
          <cell r="I1405" t="str">
            <v>11454-380</v>
          </cell>
          <cell r="J1405" t="str">
            <v>988047130</v>
          </cell>
          <cell r="K1405" t="str">
            <v/>
          </cell>
          <cell r="L1405" t="str">
            <v>Masculino</v>
          </cell>
          <cell r="M1405" t="str">
            <v>Parda</v>
          </cell>
          <cell r="N1405">
            <v>31507</v>
          </cell>
          <cell r="O1405" t="str">
            <v>442682268</v>
          </cell>
          <cell r="P1405" t="str">
            <v>SP</v>
          </cell>
          <cell r="Q1405" t="str">
            <v>SSP</v>
          </cell>
          <cell r="R1405" t="str">
            <v>GUARUJA</v>
          </cell>
        </row>
        <row r="1406">
          <cell r="A1406" t="str">
            <v>MURILO DOS SANTOS PUPO</v>
          </cell>
          <cell r="B1406" t="str">
            <v>União Estável</v>
          </cell>
          <cell r="C1406" t="str">
            <v>R ATALIBA LEONEL</v>
          </cell>
          <cell r="D1406" t="str">
            <v>Catiapoa</v>
          </cell>
          <cell r="E1406" t="str">
            <v>SAO VICENTE</v>
          </cell>
          <cell r="F1406" t="str">
            <v>SP</v>
          </cell>
          <cell r="G1406" t="str">
            <v>530</v>
          </cell>
          <cell r="H1406" t="str">
            <v/>
          </cell>
          <cell r="I1406" t="str">
            <v>11370-450</v>
          </cell>
          <cell r="J1406" t="str">
            <v>974069582</v>
          </cell>
          <cell r="K1406" t="str">
            <v/>
          </cell>
          <cell r="L1406" t="str">
            <v>Masculino</v>
          </cell>
          <cell r="M1406" t="str">
            <v>Parda</v>
          </cell>
          <cell r="N1406">
            <v>32496</v>
          </cell>
          <cell r="O1406" t="str">
            <v>458468927</v>
          </cell>
          <cell r="P1406" t="str">
            <v>SP</v>
          </cell>
          <cell r="Q1406" t="str">
            <v>SSP</v>
          </cell>
          <cell r="R1406" t="str">
            <v>SAO VICENTE</v>
          </cell>
        </row>
        <row r="1407">
          <cell r="A1407" t="str">
            <v>ALEXANDRE SOARES VIEIRA DA SILVA</v>
          </cell>
          <cell r="B1407" t="str">
            <v>Solteiro</v>
          </cell>
          <cell r="C1407" t="str">
            <v>R E</v>
          </cell>
          <cell r="D1407" t="str">
            <v>Vila Santa Clara</v>
          </cell>
          <cell r="E1407" t="str">
            <v>GUARUJA</v>
          </cell>
          <cell r="F1407" t="str">
            <v>SP</v>
          </cell>
          <cell r="G1407" t="str">
            <v>399</v>
          </cell>
          <cell r="H1407" t="str">
            <v>FUNDOS</v>
          </cell>
          <cell r="I1407" t="str">
            <v>11435-080</v>
          </cell>
          <cell r="J1407" t="str">
            <v>991220110</v>
          </cell>
          <cell r="K1407" t="str">
            <v/>
          </cell>
          <cell r="L1407" t="str">
            <v>Masculino</v>
          </cell>
          <cell r="M1407" t="str">
            <v>Branca</v>
          </cell>
          <cell r="N1407">
            <v>34325</v>
          </cell>
          <cell r="O1407" t="str">
            <v>439110038</v>
          </cell>
          <cell r="P1407" t="str">
            <v>SP</v>
          </cell>
          <cell r="Q1407" t="str">
            <v>SSP</v>
          </cell>
          <cell r="R1407" t="str">
            <v>GUARUJA</v>
          </cell>
        </row>
        <row r="1408">
          <cell r="A1408" t="str">
            <v>GUILHERME TORRES TEIXEIRA</v>
          </cell>
          <cell r="B1408" t="str">
            <v>União Estável</v>
          </cell>
          <cell r="C1408" t="str">
            <v>R FRANCISCO SA</v>
          </cell>
          <cell r="D1408" t="str">
            <v>Vila Sao Jorge</v>
          </cell>
          <cell r="E1408" t="str">
            <v>SAO VICENTE</v>
          </cell>
          <cell r="F1408" t="str">
            <v>SP</v>
          </cell>
          <cell r="G1408" t="str">
            <v>83</v>
          </cell>
          <cell r="H1408" t="str">
            <v>ALTOS</v>
          </cell>
          <cell r="I1408" t="str">
            <v>11380-030</v>
          </cell>
          <cell r="J1408" t="str">
            <v>991911219</v>
          </cell>
          <cell r="K1408" t="str">
            <v/>
          </cell>
          <cell r="L1408" t="str">
            <v>Masculino</v>
          </cell>
          <cell r="M1408" t="str">
            <v>Parda</v>
          </cell>
          <cell r="N1408">
            <v>30005</v>
          </cell>
          <cell r="O1408" t="str">
            <v>442150994</v>
          </cell>
          <cell r="P1408" t="str">
            <v>SP</v>
          </cell>
          <cell r="Q1408" t="str">
            <v>SSP</v>
          </cell>
          <cell r="R1408" t="str">
            <v>SANTOS</v>
          </cell>
        </row>
        <row r="1409">
          <cell r="A1409" t="str">
            <v>ROBSTANE DE SOUZA</v>
          </cell>
          <cell r="B1409" t="str">
            <v>Casado</v>
          </cell>
          <cell r="C1409" t="str">
            <v>R BRASILIA</v>
          </cell>
          <cell r="D1409" t="str">
            <v>VILA ZILDA</v>
          </cell>
          <cell r="E1409" t="str">
            <v>GUARUJA</v>
          </cell>
          <cell r="F1409" t="str">
            <v>SP</v>
          </cell>
          <cell r="G1409" t="str">
            <v>40</v>
          </cell>
          <cell r="H1409" t="str">
            <v>CASA</v>
          </cell>
          <cell r="I1409" t="str">
            <v>11436-120</v>
          </cell>
          <cell r="J1409" t="str">
            <v>988637692</v>
          </cell>
          <cell r="K1409" t="str">
            <v/>
          </cell>
          <cell r="L1409" t="str">
            <v>Masculino</v>
          </cell>
          <cell r="M1409" t="str">
            <v>Preta/Negra</v>
          </cell>
          <cell r="N1409">
            <v>34830</v>
          </cell>
          <cell r="O1409" t="str">
            <v>465644156</v>
          </cell>
          <cell r="P1409" t="str">
            <v>SP</v>
          </cell>
          <cell r="Q1409" t="str">
            <v>SSP</v>
          </cell>
          <cell r="R1409" t="str">
            <v>GUARUJA</v>
          </cell>
        </row>
        <row r="1410">
          <cell r="A1410" t="str">
            <v>DOUGLAS FERREIRA FELIPE</v>
          </cell>
          <cell r="B1410" t="str">
            <v>União Estável</v>
          </cell>
          <cell r="C1410" t="str">
            <v>R QUARTA</v>
          </cell>
          <cell r="D1410" t="str">
            <v>Sítio Paecara (Vicente carvalho</v>
          </cell>
          <cell r="E1410" t="str">
            <v>GUARUJA</v>
          </cell>
          <cell r="F1410" t="str">
            <v>SP</v>
          </cell>
          <cell r="G1410" t="str">
            <v>09</v>
          </cell>
          <cell r="H1410" t="str">
            <v/>
          </cell>
          <cell r="I1410" t="str">
            <v>11450-470</v>
          </cell>
          <cell r="J1410" t="str">
            <v>974064814</v>
          </cell>
          <cell r="K1410" t="str">
            <v/>
          </cell>
          <cell r="L1410" t="str">
            <v>Masculino</v>
          </cell>
          <cell r="M1410" t="str">
            <v>Branca</v>
          </cell>
          <cell r="N1410">
            <v>29149</v>
          </cell>
          <cell r="O1410" t="str">
            <v>258176672</v>
          </cell>
          <cell r="P1410" t="str">
            <v>SP</v>
          </cell>
          <cell r="Q1410" t="str">
            <v>SSP</v>
          </cell>
          <cell r="R1410" t="str">
            <v>OSASCO</v>
          </cell>
        </row>
        <row r="1411">
          <cell r="A1411" t="str">
            <v>EDNILSON ALVES DO CARMO</v>
          </cell>
          <cell r="B1411" t="str">
            <v>Casado</v>
          </cell>
          <cell r="C1411" t="str">
            <v>AV ACRE</v>
          </cell>
          <cell r="D1411" t="str">
            <v>Jardim Virgínia</v>
          </cell>
          <cell r="E1411" t="str">
            <v>GUARUJA</v>
          </cell>
          <cell r="F1411" t="str">
            <v>SP</v>
          </cell>
          <cell r="G1411" t="str">
            <v>1962</v>
          </cell>
          <cell r="H1411" t="str">
            <v/>
          </cell>
          <cell r="I1411" t="str">
            <v>11463-210</v>
          </cell>
          <cell r="J1411" t="str">
            <v>981683081</v>
          </cell>
          <cell r="K1411" t="str">
            <v/>
          </cell>
          <cell r="L1411" t="str">
            <v>Masculino</v>
          </cell>
          <cell r="M1411" t="str">
            <v>Parda</v>
          </cell>
          <cell r="N1411">
            <v>32377</v>
          </cell>
          <cell r="O1411" t="str">
            <v>410949942</v>
          </cell>
          <cell r="P1411" t="str">
            <v>SP</v>
          </cell>
          <cell r="Q1411" t="str">
            <v>SSP</v>
          </cell>
          <cell r="R1411" t="str">
            <v>GUARUJA</v>
          </cell>
        </row>
        <row r="1412">
          <cell r="A1412" t="str">
            <v>HELIO RUBENS DE SOUZA SILVA</v>
          </cell>
          <cell r="B1412" t="str">
            <v>União Estável</v>
          </cell>
          <cell r="C1412" t="str">
            <v>R SAO SERGIO</v>
          </cell>
          <cell r="D1412" t="str">
            <v>Morro Sao Bento</v>
          </cell>
          <cell r="E1412" t="str">
            <v>SANTOS</v>
          </cell>
          <cell r="F1412" t="str">
            <v>SP</v>
          </cell>
          <cell r="G1412" t="str">
            <v>681</v>
          </cell>
          <cell r="H1412" t="str">
            <v>CASA 2</v>
          </cell>
          <cell r="I1412" t="str">
            <v>11081-080</v>
          </cell>
          <cell r="J1412" t="str">
            <v>991079349</v>
          </cell>
          <cell r="K1412" t="str">
            <v/>
          </cell>
          <cell r="L1412" t="str">
            <v>Masculino</v>
          </cell>
          <cell r="M1412" t="str">
            <v>Parda</v>
          </cell>
          <cell r="N1412">
            <v>29288</v>
          </cell>
          <cell r="O1412" t="str">
            <v>287434023</v>
          </cell>
          <cell r="P1412" t="str">
            <v>SP</v>
          </cell>
          <cell r="Q1412" t="str">
            <v>SSP</v>
          </cell>
          <cell r="R1412" t="str">
            <v>SANTOS</v>
          </cell>
        </row>
        <row r="1413">
          <cell r="A1413" t="str">
            <v>EDSON REIS MENDONCA</v>
          </cell>
          <cell r="B1413" t="str">
            <v>Casado</v>
          </cell>
          <cell r="C1413" t="str">
            <v>R CARIJOS</v>
          </cell>
          <cell r="D1413" t="str">
            <v>Parque Sao Vicente</v>
          </cell>
          <cell r="E1413" t="str">
            <v>SAO VICENTE</v>
          </cell>
          <cell r="F1413" t="str">
            <v>SP</v>
          </cell>
          <cell r="G1413" t="str">
            <v>603</v>
          </cell>
          <cell r="H1413" t="str">
            <v>CASA 4</v>
          </cell>
          <cell r="I1413" t="str">
            <v>11360-100</v>
          </cell>
          <cell r="J1413" t="str">
            <v>991670905</v>
          </cell>
          <cell r="K1413" t="str">
            <v/>
          </cell>
          <cell r="L1413" t="str">
            <v>Masculino</v>
          </cell>
          <cell r="M1413" t="str">
            <v>Parda</v>
          </cell>
          <cell r="N1413">
            <v>32451</v>
          </cell>
          <cell r="O1413" t="str">
            <v>449166946</v>
          </cell>
          <cell r="P1413" t="str">
            <v>SP</v>
          </cell>
          <cell r="Q1413" t="str">
            <v>SSP</v>
          </cell>
          <cell r="R1413" t="str">
            <v>SANTOS</v>
          </cell>
        </row>
        <row r="1414">
          <cell r="A1414" t="str">
            <v>DOUGLAS ROCHA DE SOUZA</v>
          </cell>
          <cell r="B1414" t="str">
            <v>Casado</v>
          </cell>
          <cell r="C1414" t="str">
            <v>R BEIRA MAR</v>
          </cell>
          <cell r="D1414" t="str">
            <v>Sítio Paecara (Vicente de Carvalho)</v>
          </cell>
          <cell r="E1414" t="str">
            <v>GUARUJA</v>
          </cell>
          <cell r="F1414" t="str">
            <v>SP</v>
          </cell>
          <cell r="G1414" t="str">
            <v>186</v>
          </cell>
          <cell r="H1414" t="str">
            <v/>
          </cell>
          <cell r="I1414" t="str">
            <v>11450-490</v>
          </cell>
          <cell r="J1414" t="str">
            <v>991910123</v>
          </cell>
          <cell r="K1414" t="str">
            <v/>
          </cell>
          <cell r="L1414" t="str">
            <v>Masculino</v>
          </cell>
          <cell r="M1414" t="str">
            <v>Parda</v>
          </cell>
          <cell r="N1414">
            <v>31251</v>
          </cell>
          <cell r="O1414" t="str">
            <v>430799421</v>
          </cell>
          <cell r="P1414" t="str">
            <v>SP</v>
          </cell>
          <cell r="Q1414" t="str">
            <v>SSP</v>
          </cell>
          <cell r="R1414" t="str">
            <v>SANTOS</v>
          </cell>
        </row>
        <row r="1415">
          <cell r="A1415" t="str">
            <v>CASSIANA NONATO OLIVEIRA DOS SANTOS</v>
          </cell>
          <cell r="B1415" t="str">
            <v>Casado</v>
          </cell>
          <cell r="C1415" t="str">
            <v>R BASSIN NAGIB TRABULSI</v>
          </cell>
          <cell r="D1415" t="str">
            <v>Ponta da Praia</v>
          </cell>
          <cell r="E1415" t="str">
            <v>SANTOS</v>
          </cell>
          <cell r="F1415" t="str">
            <v>SP</v>
          </cell>
          <cell r="G1415" t="str">
            <v>87</v>
          </cell>
          <cell r="H1415" t="str">
            <v>AP 46</v>
          </cell>
          <cell r="I1415" t="str">
            <v>11030-540</v>
          </cell>
          <cell r="J1415" t="str">
            <v>991255856</v>
          </cell>
          <cell r="K1415" t="str">
            <v/>
          </cell>
          <cell r="L1415" t="str">
            <v>Feminino</v>
          </cell>
          <cell r="M1415" t="str">
            <v>Parda</v>
          </cell>
          <cell r="N1415">
            <v>30092</v>
          </cell>
          <cell r="O1415" t="str">
            <v>326153810</v>
          </cell>
          <cell r="P1415" t="str">
            <v>SP</v>
          </cell>
          <cell r="Q1415" t="str">
            <v>SSP</v>
          </cell>
          <cell r="R1415" t="str">
            <v>SAO VICENTE</v>
          </cell>
        </row>
        <row r="1416">
          <cell r="A1416" t="str">
            <v>CRISTIAN ALBERTO</v>
          </cell>
          <cell r="B1416" t="str">
            <v>Casado</v>
          </cell>
          <cell r="C1416" t="str">
            <v>R DOM PEDRO I</v>
          </cell>
          <cell r="D1416" t="str">
            <v>Vila Nova</v>
          </cell>
          <cell r="E1416" t="str">
            <v>CUBATAO</v>
          </cell>
          <cell r="F1416" t="str">
            <v>SP</v>
          </cell>
          <cell r="G1416" t="str">
            <v>103</v>
          </cell>
          <cell r="H1416" t="str">
            <v>CASA 2</v>
          </cell>
          <cell r="I1416" t="str">
            <v>11520-030</v>
          </cell>
          <cell r="J1416" t="str">
            <v>997412605</v>
          </cell>
          <cell r="K1416" t="str">
            <v/>
          </cell>
          <cell r="L1416" t="str">
            <v>Masculino</v>
          </cell>
          <cell r="M1416" t="str">
            <v>Parda</v>
          </cell>
          <cell r="N1416">
            <v>27876</v>
          </cell>
          <cell r="O1416" t="str">
            <v>257604984</v>
          </cell>
          <cell r="P1416" t="str">
            <v>SP</v>
          </cell>
          <cell r="Q1416" t="str">
            <v>SSP</v>
          </cell>
          <cell r="R1416" t="str">
            <v>CUBATAO</v>
          </cell>
        </row>
        <row r="1417">
          <cell r="A1417" t="str">
            <v>THIAGO VASCONCELOS SANTOS NERES</v>
          </cell>
          <cell r="B1417" t="str">
            <v>Casado</v>
          </cell>
          <cell r="C1417" t="str">
            <v>R Francisco Conrado dos Santos</v>
          </cell>
          <cell r="D1417" t="str">
            <v>Anhanguera</v>
          </cell>
          <cell r="E1417" t="str">
            <v>PRAIA GRANDE</v>
          </cell>
          <cell r="F1417" t="str">
            <v>SP</v>
          </cell>
          <cell r="G1417" t="str">
            <v>531</v>
          </cell>
          <cell r="H1417" t="str">
            <v>Casa 2</v>
          </cell>
          <cell r="I1417" t="str">
            <v>11718-050</v>
          </cell>
          <cell r="J1417" t="str">
            <v>988327153</v>
          </cell>
          <cell r="K1417" t="str">
            <v/>
          </cell>
          <cell r="L1417" t="str">
            <v>Masculino</v>
          </cell>
          <cell r="M1417" t="str">
            <v>Parda</v>
          </cell>
          <cell r="N1417">
            <v>33650</v>
          </cell>
          <cell r="O1417" t="str">
            <v>327659774</v>
          </cell>
          <cell r="P1417" t="str">
            <v>SP</v>
          </cell>
          <cell r="Q1417" t="str">
            <v>SSP</v>
          </cell>
          <cell r="R1417" t="str">
            <v>SANTOS</v>
          </cell>
        </row>
        <row r="1418">
          <cell r="A1418" t="str">
            <v>EDINALDO GOMES FRANCISCO</v>
          </cell>
          <cell r="B1418" t="str">
            <v>Casado</v>
          </cell>
          <cell r="C1418" t="str">
            <v>R ERICO VERISSIMO</v>
          </cell>
          <cell r="D1418" t="str">
            <v>Vila Jockei Clube</v>
          </cell>
          <cell r="E1418" t="str">
            <v>SAO VICENTE</v>
          </cell>
          <cell r="F1418" t="str">
            <v>SP</v>
          </cell>
          <cell r="G1418" t="str">
            <v>219</v>
          </cell>
          <cell r="H1418" t="str">
            <v>FUNDOS</v>
          </cell>
          <cell r="I1418" t="str">
            <v>11360-380</v>
          </cell>
          <cell r="J1418" t="str">
            <v>997419852</v>
          </cell>
          <cell r="K1418" t="str">
            <v/>
          </cell>
          <cell r="L1418" t="str">
            <v>Masculino</v>
          </cell>
          <cell r="M1418" t="str">
            <v>Parda</v>
          </cell>
          <cell r="N1418">
            <v>23070</v>
          </cell>
          <cell r="O1418" t="str">
            <v>164192578</v>
          </cell>
          <cell r="P1418" t="str">
            <v>SP</v>
          </cell>
          <cell r="Q1418" t="str">
            <v>SSP</v>
          </cell>
          <cell r="R1418" t="str">
            <v>CUBATAO</v>
          </cell>
        </row>
        <row r="1419">
          <cell r="A1419" t="str">
            <v>AMILTON BARBOZA CHAVES</v>
          </cell>
          <cell r="B1419" t="str">
            <v>Casado</v>
          </cell>
          <cell r="C1419" t="str">
            <v>R QUARTA</v>
          </cell>
          <cell r="D1419" t="str">
            <v>Sítio Paecara (Vicente de Carvalho)</v>
          </cell>
          <cell r="E1419" t="str">
            <v>GUARUJA</v>
          </cell>
          <cell r="F1419" t="str">
            <v>SP</v>
          </cell>
          <cell r="G1419" t="str">
            <v>142</v>
          </cell>
          <cell r="H1419" t="str">
            <v/>
          </cell>
          <cell r="I1419" t="str">
            <v>11450-470</v>
          </cell>
          <cell r="J1419" t="str">
            <v>988737387</v>
          </cell>
          <cell r="K1419" t="str">
            <v/>
          </cell>
          <cell r="L1419" t="str">
            <v>Masculino</v>
          </cell>
          <cell r="M1419" t="str">
            <v>Parda</v>
          </cell>
          <cell r="N1419">
            <v>22709</v>
          </cell>
          <cell r="O1419" t="str">
            <v>03612183893</v>
          </cell>
          <cell r="P1419" t="str">
            <v>SP</v>
          </cell>
          <cell r="Q1419" t="str">
            <v>SSP</v>
          </cell>
          <cell r="R1419" t="str">
            <v>AREIA BRANCA</v>
          </cell>
        </row>
        <row r="1420">
          <cell r="A1420" t="str">
            <v>DIOGO JOSE NOVAES</v>
          </cell>
          <cell r="B1420" t="str">
            <v>União Estável</v>
          </cell>
          <cell r="C1420" t="str">
            <v>R GENERAL MARCONDES SALGADO</v>
          </cell>
          <cell r="D1420" t="str">
            <v>Vila Cascatinha</v>
          </cell>
          <cell r="E1420" t="str">
            <v>SAO VICENTE</v>
          </cell>
          <cell r="F1420" t="str">
            <v>SP</v>
          </cell>
          <cell r="G1420" t="str">
            <v>183</v>
          </cell>
          <cell r="H1420" t="str">
            <v/>
          </cell>
          <cell r="I1420" t="str">
            <v>11370-070</v>
          </cell>
          <cell r="J1420" t="str">
            <v>991298676</v>
          </cell>
          <cell r="K1420" t="str">
            <v/>
          </cell>
          <cell r="L1420" t="str">
            <v>Masculino</v>
          </cell>
          <cell r="M1420" t="str">
            <v>Parda</v>
          </cell>
          <cell r="N1420">
            <v>29536</v>
          </cell>
          <cell r="O1420" t="str">
            <v>336722291</v>
          </cell>
          <cell r="P1420" t="str">
            <v>SP</v>
          </cell>
          <cell r="Q1420" t="str">
            <v>SSP</v>
          </cell>
          <cell r="R1420" t="str">
            <v>SAO VICENTE</v>
          </cell>
        </row>
        <row r="1421">
          <cell r="A1421" t="str">
            <v>SAMUEL DA SILVA ALVES</v>
          </cell>
          <cell r="B1421" t="str">
            <v>Casado</v>
          </cell>
          <cell r="C1421" t="str">
            <v>R BERTIOGA</v>
          </cell>
          <cell r="D1421" t="str">
            <v>Sítio Paecara (Vicente de Carvalho)</v>
          </cell>
          <cell r="E1421" t="str">
            <v>GUARUJA</v>
          </cell>
          <cell r="F1421" t="str">
            <v>SP</v>
          </cell>
          <cell r="G1421" t="str">
            <v>102</v>
          </cell>
          <cell r="H1421" t="str">
            <v/>
          </cell>
          <cell r="I1421" t="str">
            <v>11460-230</v>
          </cell>
          <cell r="J1421" t="str">
            <v>991027828</v>
          </cell>
          <cell r="K1421" t="str">
            <v/>
          </cell>
          <cell r="L1421" t="str">
            <v>Masculino</v>
          </cell>
          <cell r="M1421" t="str">
            <v>Parda</v>
          </cell>
          <cell r="N1421">
            <v>32196</v>
          </cell>
          <cell r="O1421" t="str">
            <v>407739890</v>
          </cell>
          <cell r="P1421" t="str">
            <v>SP</v>
          </cell>
          <cell r="Q1421" t="str">
            <v>SSP</v>
          </cell>
          <cell r="R1421" t="str">
            <v>MACEIO</v>
          </cell>
        </row>
        <row r="1422">
          <cell r="A1422" t="str">
            <v>EMERSON VIEIRA FAGUNDES</v>
          </cell>
          <cell r="B1422" t="str">
            <v>Casado</v>
          </cell>
          <cell r="C1422" t="str">
            <v>R FUNCHAL</v>
          </cell>
          <cell r="D1422" t="str">
            <v>Jardim Santa Maria</v>
          </cell>
          <cell r="E1422" t="str">
            <v>GUARUJA</v>
          </cell>
          <cell r="F1422" t="str">
            <v>SP</v>
          </cell>
          <cell r="G1422" t="str">
            <v>961</v>
          </cell>
          <cell r="H1422" t="str">
            <v>Casa 1</v>
          </cell>
          <cell r="I1422" t="str">
            <v>11432-000</v>
          </cell>
          <cell r="J1422" t="str">
            <v>996558569</v>
          </cell>
          <cell r="K1422" t="str">
            <v/>
          </cell>
          <cell r="L1422" t="str">
            <v>Masculino</v>
          </cell>
          <cell r="M1422" t="str">
            <v>Parda</v>
          </cell>
          <cell r="N1422">
            <v>30495</v>
          </cell>
          <cell r="O1422" t="str">
            <v>562284709</v>
          </cell>
          <cell r="P1422" t="str">
            <v>SP</v>
          </cell>
          <cell r="Q1422" t="str">
            <v>SSP</v>
          </cell>
          <cell r="R1422" t="str">
            <v>GOUVEIA</v>
          </cell>
        </row>
        <row r="1423">
          <cell r="A1423" t="str">
            <v>RITA OLIVEIRA DE SANTANA PIMENTEL EVO</v>
          </cell>
          <cell r="B1423" t="str">
            <v>Casado</v>
          </cell>
          <cell r="C1423" t="str">
            <v>R MARIO JORGE DE OLIVEIRA</v>
          </cell>
          <cell r="D1423" t="str">
            <v>Jardim Real</v>
          </cell>
          <cell r="E1423" t="str">
            <v>CUBATAO</v>
          </cell>
          <cell r="F1423" t="str">
            <v>SP</v>
          </cell>
          <cell r="G1423" t="str">
            <v>30</v>
          </cell>
          <cell r="H1423" t="str">
            <v>BL F AP 1</v>
          </cell>
          <cell r="I1423" t="str">
            <v>11534-890</v>
          </cell>
          <cell r="J1423" t="str">
            <v>998033799</v>
          </cell>
          <cell r="K1423" t="str">
            <v>991666204</v>
          </cell>
          <cell r="L1423" t="str">
            <v>Feminino</v>
          </cell>
          <cell r="M1423" t="str">
            <v>Parda</v>
          </cell>
          <cell r="N1423">
            <v>29252</v>
          </cell>
          <cell r="O1423" t="str">
            <v>304589172</v>
          </cell>
          <cell r="P1423" t="str">
            <v>SP</v>
          </cell>
          <cell r="Q1423" t="str">
            <v>SSP</v>
          </cell>
          <cell r="R1423" t="str">
            <v>GUARUJA</v>
          </cell>
        </row>
        <row r="1424">
          <cell r="A1424" t="str">
            <v>PAULA BERTELLI CHAVES DOS SANTOS</v>
          </cell>
          <cell r="B1424" t="str">
            <v>Casado</v>
          </cell>
          <cell r="C1424" t="str">
            <v>R MONSENHOR PAULA RODRIGUES</v>
          </cell>
          <cell r="D1424" t="str">
            <v>Vila Belmiro</v>
          </cell>
          <cell r="E1424" t="str">
            <v>SANTOS</v>
          </cell>
          <cell r="F1424" t="str">
            <v>SP</v>
          </cell>
          <cell r="G1424" t="str">
            <v>129</v>
          </cell>
          <cell r="H1424" t="str">
            <v>AP 52 BL A</v>
          </cell>
          <cell r="I1424" t="str">
            <v>11075-350</v>
          </cell>
          <cell r="J1424" t="str">
            <v>991530063</v>
          </cell>
          <cell r="K1424" t="str">
            <v/>
          </cell>
          <cell r="L1424" t="str">
            <v>Feminino</v>
          </cell>
          <cell r="M1424" t="str">
            <v>Parda</v>
          </cell>
          <cell r="N1424">
            <v>30022</v>
          </cell>
          <cell r="O1424" t="str">
            <v>345070604</v>
          </cell>
          <cell r="P1424" t="str">
            <v>SP</v>
          </cell>
          <cell r="Q1424" t="str">
            <v>SSP</v>
          </cell>
          <cell r="R1424" t="str">
            <v>SANTOS</v>
          </cell>
        </row>
        <row r="1425">
          <cell r="A1425" t="str">
            <v>EDUARDO GUILHERME DE ALMEIDA</v>
          </cell>
          <cell r="B1425" t="str">
            <v>Solteiro</v>
          </cell>
          <cell r="C1425" t="str">
            <v>R DICKSON RODRIGUES</v>
          </cell>
          <cell r="D1425" t="str">
            <v>Jardim Progresso (Vi</v>
          </cell>
          <cell r="E1425" t="str">
            <v>GUARUJA</v>
          </cell>
          <cell r="F1425" t="str">
            <v>SP</v>
          </cell>
          <cell r="G1425" t="str">
            <v>39</v>
          </cell>
          <cell r="H1425" t="str">
            <v>CASA</v>
          </cell>
          <cell r="I1425" t="str">
            <v>11453-140</v>
          </cell>
          <cell r="J1425" t="str">
            <v>974217939</v>
          </cell>
          <cell r="K1425" t="str">
            <v/>
          </cell>
          <cell r="L1425" t="str">
            <v>Masculino</v>
          </cell>
          <cell r="M1425" t="str">
            <v>Parda</v>
          </cell>
          <cell r="N1425">
            <v>32455</v>
          </cell>
          <cell r="O1425" t="str">
            <v>460136690</v>
          </cell>
          <cell r="P1425" t="str">
            <v>SP</v>
          </cell>
          <cell r="Q1425" t="str">
            <v>SSP</v>
          </cell>
          <cell r="R1425" t="str">
            <v>GUARUJA</v>
          </cell>
        </row>
        <row r="1426">
          <cell r="A1426" t="str">
            <v>EDIVAM SILVA DE ARAUJO</v>
          </cell>
          <cell r="B1426" t="str">
            <v>Casado</v>
          </cell>
          <cell r="C1426" t="str">
            <v>R VINTE E OITO DE SETEMBRO</v>
          </cell>
          <cell r="D1426" t="str">
            <v>Macuco</v>
          </cell>
          <cell r="E1426" t="str">
            <v>SANTOS</v>
          </cell>
          <cell r="F1426" t="str">
            <v>SP</v>
          </cell>
          <cell r="G1426" t="str">
            <v>69</v>
          </cell>
          <cell r="H1426" t="str">
            <v>CASA 2</v>
          </cell>
          <cell r="I1426" t="str">
            <v>11015-110</v>
          </cell>
          <cell r="J1426" t="str">
            <v>981490028</v>
          </cell>
          <cell r="K1426" t="str">
            <v/>
          </cell>
          <cell r="L1426" t="str">
            <v>Masculino</v>
          </cell>
          <cell r="M1426" t="str">
            <v>Parda</v>
          </cell>
          <cell r="N1426">
            <v>29476</v>
          </cell>
          <cell r="O1426" t="str">
            <v>41590058X</v>
          </cell>
          <cell r="P1426" t="str">
            <v>SP</v>
          </cell>
          <cell r="Q1426" t="str">
            <v>SSP</v>
          </cell>
          <cell r="R1426" t="str">
            <v>SANTOS</v>
          </cell>
        </row>
        <row r="1427">
          <cell r="A1427" t="str">
            <v>ALEXANDRE DOS SANTOS</v>
          </cell>
          <cell r="B1427" t="str">
            <v>Casado</v>
          </cell>
          <cell r="C1427" t="str">
            <v>R BRASILIA</v>
          </cell>
          <cell r="D1427" t="str">
            <v>Sítio Paecara (Vicente de Carvalho)</v>
          </cell>
          <cell r="E1427" t="str">
            <v>GUARUJA</v>
          </cell>
          <cell r="F1427" t="str">
            <v>SP</v>
          </cell>
          <cell r="G1427" t="str">
            <v>31</v>
          </cell>
          <cell r="H1427" t="str">
            <v/>
          </cell>
          <cell r="I1427" t="str">
            <v>11451-340</v>
          </cell>
          <cell r="J1427" t="str">
            <v>981887865</v>
          </cell>
          <cell r="K1427" t="str">
            <v/>
          </cell>
          <cell r="L1427" t="str">
            <v>Masculino</v>
          </cell>
          <cell r="M1427" t="str">
            <v>Parda</v>
          </cell>
          <cell r="N1427">
            <v>26782</v>
          </cell>
          <cell r="O1427" t="str">
            <v>249587622</v>
          </cell>
          <cell r="P1427" t="str">
            <v>SP</v>
          </cell>
          <cell r="Q1427" t="str">
            <v>SSP</v>
          </cell>
          <cell r="R1427" t="str">
            <v>GUARUJA</v>
          </cell>
        </row>
        <row r="1428">
          <cell r="A1428" t="str">
            <v>JOSE MARIO DOS SANTOS JUNIOR</v>
          </cell>
          <cell r="B1428" t="str">
            <v>Solteiro</v>
          </cell>
          <cell r="C1428" t="str">
            <v>AV DR ALCIDES DE ARAUJO</v>
          </cell>
          <cell r="D1428" t="str">
            <v>Vila Cascatinha</v>
          </cell>
          <cell r="E1428" t="str">
            <v>SAO VICENTE</v>
          </cell>
          <cell r="F1428" t="str">
            <v>SP</v>
          </cell>
          <cell r="G1428" t="str">
            <v>17</v>
          </cell>
          <cell r="H1428" t="str">
            <v/>
          </cell>
          <cell r="I1428" t="str">
            <v>11370-201</v>
          </cell>
          <cell r="J1428" t="str">
            <v>991394711</v>
          </cell>
          <cell r="K1428" t="str">
            <v/>
          </cell>
          <cell r="L1428" t="str">
            <v>Masculino</v>
          </cell>
          <cell r="M1428" t="str">
            <v>Parda</v>
          </cell>
          <cell r="N1428">
            <v>25991</v>
          </cell>
          <cell r="O1428" t="str">
            <v>253380303</v>
          </cell>
          <cell r="P1428" t="str">
            <v>SP</v>
          </cell>
          <cell r="Q1428" t="str">
            <v>SSP</v>
          </cell>
          <cell r="R1428" t="str">
            <v>SAO VICENTE</v>
          </cell>
        </row>
        <row r="1429">
          <cell r="A1429" t="str">
            <v>MARCOS VINICIO DA SILVA BRANDAO</v>
          </cell>
          <cell r="B1429" t="str">
            <v>Casado</v>
          </cell>
          <cell r="C1429" t="str">
            <v>R GUARULHOS</v>
          </cell>
          <cell r="D1429" t="str">
            <v>Jardim Irmã Dolores</v>
          </cell>
          <cell r="E1429" t="str">
            <v>SAO VICENTE</v>
          </cell>
          <cell r="F1429" t="str">
            <v>SP</v>
          </cell>
          <cell r="G1429" t="str">
            <v>541</v>
          </cell>
          <cell r="H1429" t="str">
            <v/>
          </cell>
          <cell r="I1429" t="str">
            <v>11347-580</v>
          </cell>
          <cell r="J1429" t="str">
            <v>997979971</v>
          </cell>
          <cell r="K1429" t="str">
            <v/>
          </cell>
          <cell r="L1429" t="str">
            <v>Masculino</v>
          </cell>
          <cell r="M1429" t="str">
            <v>Parda</v>
          </cell>
          <cell r="N1429">
            <v>33391</v>
          </cell>
          <cell r="O1429" t="str">
            <v>486064104</v>
          </cell>
          <cell r="P1429" t="str">
            <v>SP</v>
          </cell>
          <cell r="Q1429" t="str">
            <v>SSP</v>
          </cell>
          <cell r="R1429" t="str">
            <v>SANTOS</v>
          </cell>
        </row>
        <row r="1430">
          <cell r="A1430" t="str">
            <v>MARCELLO AUGUSTO GODOY PEREZ</v>
          </cell>
          <cell r="B1430" t="str">
            <v>Solteiro</v>
          </cell>
          <cell r="C1430" t="str">
            <v>AV AFFONSO PENNA</v>
          </cell>
          <cell r="D1430" t="str">
            <v>Aparecida</v>
          </cell>
          <cell r="E1430" t="str">
            <v>SANTOS</v>
          </cell>
          <cell r="F1430" t="str">
            <v>SP</v>
          </cell>
          <cell r="G1430" t="str">
            <v>468</v>
          </cell>
          <cell r="H1430" t="str">
            <v>AP 17 BL B</v>
          </cell>
          <cell r="I1430" t="str">
            <v>11020-002</v>
          </cell>
          <cell r="J1430" t="str">
            <v>32719870</v>
          </cell>
          <cell r="K1430" t="str">
            <v>974064176</v>
          </cell>
          <cell r="L1430" t="str">
            <v>Masculino</v>
          </cell>
          <cell r="M1430" t="str">
            <v>Parda</v>
          </cell>
          <cell r="N1430">
            <v>27535</v>
          </cell>
          <cell r="O1430" t="str">
            <v>266359449</v>
          </cell>
          <cell r="P1430" t="str">
            <v>SP</v>
          </cell>
          <cell r="Q1430" t="str">
            <v>SSP</v>
          </cell>
          <cell r="R1430" t="str">
            <v>SANTOS</v>
          </cell>
        </row>
        <row r="1431">
          <cell r="A1431" t="str">
            <v>PRISCILA FABIOLA NIETO CATANIA CARVALHO</v>
          </cell>
          <cell r="B1431" t="str">
            <v>Casado</v>
          </cell>
          <cell r="C1431" t="str">
            <v>AV REI ALBERTO I</v>
          </cell>
          <cell r="D1431" t="str">
            <v>Ponta da Praia</v>
          </cell>
          <cell r="E1431" t="str">
            <v>SANTOS</v>
          </cell>
          <cell r="F1431" t="str">
            <v>SP</v>
          </cell>
          <cell r="G1431" t="str">
            <v>341</v>
          </cell>
          <cell r="H1431" t="str">
            <v/>
          </cell>
          <cell r="I1431" t="str">
            <v>11030-381</v>
          </cell>
          <cell r="J1431" t="str">
            <v>974046506</v>
          </cell>
          <cell r="K1431" t="str">
            <v/>
          </cell>
          <cell r="L1431" t="str">
            <v>Feminino</v>
          </cell>
          <cell r="M1431" t="str">
            <v>Parda</v>
          </cell>
          <cell r="N1431">
            <v>27886</v>
          </cell>
          <cell r="O1431" t="str">
            <v>259421637</v>
          </cell>
          <cell r="P1431" t="str">
            <v>SP</v>
          </cell>
          <cell r="Q1431" t="str">
            <v>SSP</v>
          </cell>
          <cell r="R1431" t="str">
            <v>SAO CAETANO DO SUL</v>
          </cell>
        </row>
        <row r="1432">
          <cell r="A1432" t="str">
            <v>ALEXANDRE GONCALVES</v>
          </cell>
          <cell r="B1432" t="str">
            <v>Casado</v>
          </cell>
          <cell r="C1432" t="str">
            <v>R CONSELHEIRO JOAO ALFREDO</v>
          </cell>
          <cell r="D1432" t="str">
            <v>Macuco</v>
          </cell>
          <cell r="E1432" t="str">
            <v>SANTOS</v>
          </cell>
          <cell r="F1432" t="str">
            <v>SP</v>
          </cell>
          <cell r="G1432" t="str">
            <v>141</v>
          </cell>
          <cell r="H1432" t="str">
            <v>FUNDOS</v>
          </cell>
          <cell r="I1432" t="str">
            <v>11015-220</v>
          </cell>
          <cell r="J1432" t="str">
            <v>991617716</v>
          </cell>
          <cell r="K1432" t="str">
            <v/>
          </cell>
          <cell r="L1432" t="str">
            <v>Masculino</v>
          </cell>
          <cell r="M1432" t="str">
            <v>Parda</v>
          </cell>
          <cell r="N1432">
            <v>23897</v>
          </cell>
          <cell r="O1432" t="str">
            <v>145492874</v>
          </cell>
          <cell r="P1432" t="str">
            <v>BA</v>
          </cell>
          <cell r="Q1432" t="str">
            <v>SSP</v>
          </cell>
          <cell r="R1432" t="str">
            <v>CARAVELAS</v>
          </cell>
        </row>
        <row r="1433">
          <cell r="A1433" t="str">
            <v>EDIVALDO VIEIRA DA CRUZ</v>
          </cell>
          <cell r="B1433" t="str">
            <v>Casado</v>
          </cell>
          <cell r="C1433" t="str">
            <v>AV MARTINS FONTES</v>
          </cell>
          <cell r="D1433" t="str">
            <v>Saboo</v>
          </cell>
          <cell r="E1433" t="str">
            <v>SANTOS</v>
          </cell>
          <cell r="F1433" t="str">
            <v>SP</v>
          </cell>
          <cell r="G1433" t="str">
            <v>1115</v>
          </cell>
          <cell r="H1433" t="str">
            <v>BL L AP 43</v>
          </cell>
          <cell r="I1433" t="str">
            <v>11085-001</v>
          </cell>
          <cell r="J1433" t="str">
            <v>974135566</v>
          </cell>
          <cell r="K1433" t="str">
            <v/>
          </cell>
          <cell r="L1433" t="str">
            <v>Masculino</v>
          </cell>
          <cell r="M1433" t="str">
            <v>Parda</v>
          </cell>
          <cell r="N1433">
            <v>24127</v>
          </cell>
          <cell r="O1433" t="str">
            <v>23035709X</v>
          </cell>
          <cell r="P1433" t="str">
            <v>SP</v>
          </cell>
          <cell r="Q1433" t="str">
            <v>SSP</v>
          </cell>
          <cell r="R1433" t="str">
            <v>JEREMOABO</v>
          </cell>
        </row>
        <row r="1434">
          <cell r="A1434" t="str">
            <v>HENRIQUE AUGUSTO ALMEIDA SOARES</v>
          </cell>
          <cell r="B1434" t="str">
            <v>Casado</v>
          </cell>
          <cell r="C1434" t="str">
            <v>AV JORNALISTA PAULO MATOS</v>
          </cell>
          <cell r="D1434" t="str">
            <v>Areia Branca</v>
          </cell>
          <cell r="E1434" t="str">
            <v>SANTOS</v>
          </cell>
          <cell r="F1434" t="str">
            <v>SP</v>
          </cell>
          <cell r="G1434" t="str">
            <v>239</v>
          </cell>
          <cell r="H1434" t="str">
            <v>BL 1 AP 35</v>
          </cell>
          <cell r="I1434" t="str">
            <v>11086-495</v>
          </cell>
          <cell r="J1434" t="str">
            <v>982228585</v>
          </cell>
          <cell r="K1434" t="str">
            <v/>
          </cell>
          <cell r="L1434" t="str">
            <v>Masculino</v>
          </cell>
          <cell r="M1434" t="str">
            <v>Parda</v>
          </cell>
          <cell r="N1434">
            <v>33940</v>
          </cell>
          <cell r="O1434" t="str">
            <v>48901253X</v>
          </cell>
          <cell r="P1434" t="str">
            <v>SP</v>
          </cell>
          <cell r="Q1434" t="str">
            <v>SSP</v>
          </cell>
          <cell r="R1434" t="str">
            <v>SANTOS</v>
          </cell>
        </row>
        <row r="1435">
          <cell r="A1435" t="str">
            <v>RODRIGO BATISTA DOS REIS</v>
          </cell>
          <cell r="B1435" t="str">
            <v>Solteiro</v>
          </cell>
          <cell r="C1435" t="str">
            <v>AV DOM PEDRO II</v>
          </cell>
          <cell r="D1435" t="str">
            <v>Cidade Nautica</v>
          </cell>
          <cell r="E1435" t="str">
            <v>SAO VICENTE</v>
          </cell>
          <cell r="F1435" t="str">
            <v>SP</v>
          </cell>
          <cell r="G1435" t="str">
            <v>719</v>
          </cell>
          <cell r="H1435" t="str">
            <v>CASA 4</v>
          </cell>
          <cell r="I1435" t="str">
            <v>11350-100</v>
          </cell>
          <cell r="J1435" t="str">
            <v>991167648</v>
          </cell>
          <cell r="K1435" t="str">
            <v/>
          </cell>
          <cell r="L1435" t="str">
            <v>Masculino</v>
          </cell>
          <cell r="M1435" t="str">
            <v>Parda</v>
          </cell>
          <cell r="N1435">
            <v>31070</v>
          </cell>
          <cell r="O1435" t="str">
            <v>414471635</v>
          </cell>
          <cell r="P1435" t="str">
            <v>SP</v>
          </cell>
          <cell r="Q1435" t="str">
            <v>SSP</v>
          </cell>
          <cell r="R1435" t="str">
            <v>SAO VICENTE</v>
          </cell>
        </row>
        <row r="1436">
          <cell r="A1436" t="str">
            <v>ROGERIO RUFINO DA SILVA</v>
          </cell>
          <cell r="B1436" t="str">
            <v>Casado</v>
          </cell>
          <cell r="C1436" t="str">
            <v>R MAURINO IGNACIO DE OLIVEIRA</v>
          </cell>
          <cell r="D1436" t="str">
            <v>Cachoeira</v>
          </cell>
          <cell r="E1436" t="str">
            <v>GUARUJA</v>
          </cell>
          <cell r="F1436" t="str">
            <v>SP</v>
          </cell>
          <cell r="G1436" t="str">
            <v>50</v>
          </cell>
          <cell r="H1436" t="str">
            <v/>
          </cell>
          <cell r="I1436" t="str">
            <v>11435-010</v>
          </cell>
          <cell r="J1436" t="str">
            <v>988823092</v>
          </cell>
          <cell r="K1436" t="str">
            <v/>
          </cell>
          <cell r="L1436" t="str">
            <v>Masculino</v>
          </cell>
          <cell r="M1436" t="str">
            <v>Parda</v>
          </cell>
          <cell r="N1436">
            <v>26545</v>
          </cell>
          <cell r="O1436" t="str">
            <v>228405634</v>
          </cell>
          <cell r="P1436" t="str">
            <v>SP</v>
          </cell>
          <cell r="Q1436" t="str">
            <v>SSP</v>
          </cell>
          <cell r="R1436" t="str">
            <v>GUARUJA</v>
          </cell>
        </row>
        <row r="1437">
          <cell r="A1437" t="str">
            <v>VALDENILSON JULIO DA SILVA</v>
          </cell>
          <cell r="B1437" t="str">
            <v>Solteiro</v>
          </cell>
          <cell r="C1437" t="str">
            <v>R RENATA CAMARA AGONDE</v>
          </cell>
          <cell r="D1437" t="str">
            <v>Saboo</v>
          </cell>
          <cell r="E1437" t="str">
            <v>SANTOS</v>
          </cell>
          <cell r="F1437" t="str">
            <v>SP</v>
          </cell>
          <cell r="G1437" t="str">
            <v>93</v>
          </cell>
          <cell r="H1437" t="str">
            <v>BLOCO 15 APTO 32</v>
          </cell>
          <cell r="I1437" t="str">
            <v>11085-070</v>
          </cell>
          <cell r="J1437" t="str">
            <v>988624900</v>
          </cell>
          <cell r="K1437" t="str">
            <v/>
          </cell>
          <cell r="L1437" t="str">
            <v>Masculino</v>
          </cell>
          <cell r="M1437" t="str">
            <v>Parda</v>
          </cell>
          <cell r="N1437">
            <v>33550</v>
          </cell>
          <cell r="O1437" t="str">
            <v>486557364</v>
          </cell>
          <cell r="P1437" t="str">
            <v>SP</v>
          </cell>
          <cell r="Q1437" t="str">
            <v>SSP</v>
          </cell>
          <cell r="R1437" t="str">
            <v>SANTOS</v>
          </cell>
        </row>
        <row r="1438">
          <cell r="A1438" t="str">
            <v>FRANCISCO ANTONIO GUEDES</v>
          </cell>
          <cell r="B1438" t="str">
            <v>Viúvo</v>
          </cell>
          <cell r="C1438" t="str">
            <v>R PAULA ERNESTA DE SANTANA</v>
          </cell>
          <cell r="D1438" t="str">
            <v>Sítio Paecara (Vicente de Carvalho)</v>
          </cell>
          <cell r="E1438" t="str">
            <v>GUARUJA</v>
          </cell>
          <cell r="F1438" t="str">
            <v>SP</v>
          </cell>
          <cell r="G1438" t="str">
            <v>52</v>
          </cell>
          <cell r="H1438" t="str">
            <v/>
          </cell>
          <cell r="I1438" t="str">
            <v>11460-070</v>
          </cell>
          <cell r="J1438" t="str">
            <v>974161899</v>
          </cell>
          <cell r="K1438" t="str">
            <v/>
          </cell>
          <cell r="L1438" t="str">
            <v>Masculino</v>
          </cell>
          <cell r="M1438" t="str">
            <v>Parda</v>
          </cell>
          <cell r="N1438">
            <v>23622</v>
          </cell>
          <cell r="O1438" t="str">
            <v>159529311</v>
          </cell>
          <cell r="P1438" t="str">
            <v>SP</v>
          </cell>
          <cell r="Q1438" t="str">
            <v>SSP</v>
          </cell>
          <cell r="R1438" t="str">
            <v>AREIA BRANCA</v>
          </cell>
        </row>
        <row r="1439">
          <cell r="A1439" t="str">
            <v>EMERSON DA COSTA NASCIMENTO</v>
          </cell>
          <cell r="B1439" t="str">
            <v>Solteiro</v>
          </cell>
          <cell r="C1439" t="str">
            <v>R PADRE DONIZETE</v>
          </cell>
          <cell r="D1439" t="str">
            <v>Vila Ligya</v>
          </cell>
          <cell r="E1439" t="str">
            <v>GUARUJA</v>
          </cell>
          <cell r="F1439" t="str">
            <v>SP</v>
          </cell>
          <cell r="G1439" t="str">
            <v>851</v>
          </cell>
          <cell r="H1439" t="str">
            <v>CASA</v>
          </cell>
          <cell r="I1439" t="str">
            <v>11430-160</v>
          </cell>
          <cell r="J1439" t="str">
            <v>997573117</v>
          </cell>
          <cell r="K1439" t="str">
            <v/>
          </cell>
          <cell r="L1439" t="str">
            <v>Masculino</v>
          </cell>
          <cell r="M1439" t="str">
            <v>Parda</v>
          </cell>
          <cell r="N1439">
            <v>27969</v>
          </cell>
          <cell r="O1439" t="str">
            <v>27345142X</v>
          </cell>
          <cell r="P1439" t="str">
            <v>SP</v>
          </cell>
          <cell r="Q1439" t="str">
            <v>SSP</v>
          </cell>
          <cell r="R1439" t="str">
            <v>NATAL</v>
          </cell>
        </row>
        <row r="1440">
          <cell r="A1440" t="str">
            <v>MARCO ANTONIO GUIMARAES</v>
          </cell>
          <cell r="B1440" t="str">
            <v>Casado</v>
          </cell>
          <cell r="C1440" t="str">
            <v>R OSWALDO CRUZ</v>
          </cell>
          <cell r="D1440" t="str">
            <v>Boqueirao</v>
          </cell>
          <cell r="E1440" t="str">
            <v>SANTOS</v>
          </cell>
          <cell r="F1440" t="str">
            <v>SP</v>
          </cell>
          <cell r="G1440" t="str">
            <v>84</v>
          </cell>
          <cell r="H1440" t="str">
            <v>APTO 13</v>
          </cell>
          <cell r="I1440" t="str">
            <v>11045-100</v>
          </cell>
          <cell r="J1440" t="str">
            <v>996234351</v>
          </cell>
          <cell r="K1440" t="str">
            <v/>
          </cell>
          <cell r="L1440" t="str">
            <v>Masculino</v>
          </cell>
          <cell r="M1440" t="str">
            <v>Parda</v>
          </cell>
          <cell r="N1440">
            <v>26099</v>
          </cell>
          <cell r="O1440" t="str">
            <v>248202467</v>
          </cell>
          <cell r="P1440" t="str">
            <v>SP</v>
          </cell>
          <cell r="Q1440" t="str">
            <v>SSP</v>
          </cell>
          <cell r="R1440" t="str">
            <v>SANTOS</v>
          </cell>
        </row>
        <row r="1441">
          <cell r="A1441" t="str">
            <v>MARCELO DE SOUSA SANTOS</v>
          </cell>
          <cell r="B1441" t="str">
            <v>Solteiro</v>
          </cell>
          <cell r="C1441" t="str">
            <v>R DUQUE DE CAXIAS</v>
          </cell>
          <cell r="D1441" t="str">
            <v>Campo Grande</v>
          </cell>
          <cell r="E1441" t="str">
            <v>SANTOS</v>
          </cell>
          <cell r="F1441" t="str">
            <v>SP</v>
          </cell>
          <cell r="G1441" t="str">
            <v>140</v>
          </cell>
          <cell r="H1441" t="str">
            <v/>
          </cell>
          <cell r="I1441" t="str">
            <v>11075-680</v>
          </cell>
          <cell r="J1441" t="str">
            <v>997141187</v>
          </cell>
          <cell r="K1441" t="str">
            <v/>
          </cell>
          <cell r="L1441" t="str">
            <v>Masculino</v>
          </cell>
          <cell r="M1441" t="str">
            <v>Parda</v>
          </cell>
          <cell r="N1441">
            <v>27244</v>
          </cell>
          <cell r="O1441" t="str">
            <v>295312531</v>
          </cell>
          <cell r="P1441" t="str">
            <v>SP</v>
          </cell>
          <cell r="Q1441" t="str">
            <v>SSP</v>
          </cell>
          <cell r="R1441" t="str">
            <v>RIO DE JANEIRO</v>
          </cell>
        </row>
        <row r="1442">
          <cell r="A1442" t="str">
            <v>FELIPE GOES NAZARIO</v>
          </cell>
          <cell r="B1442" t="str">
            <v>Solteiro</v>
          </cell>
          <cell r="C1442" t="str">
            <v>R DOIS (ILHEUS ALTO)</v>
          </cell>
          <cell r="D1442" t="str">
            <v>Bom Retiro</v>
          </cell>
          <cell r="E1442" t="str">
            <v>SANTOS</v>
          </cell>
          <cell r="F1442" t="str">
            <v>SP</v>
          </cell>
          <cell r="G1442" t="str">
            <v>2</v>
          </cell>
          <cell r="H1442" t="str">
            <v>PREDIO 17 APTO 2</v>
          </cell>
          <cell r="I1442" t="str">
            <v>11090-300</v>
          </cell>
          <cell r="J1442" t="str">
            <v>981433594</v>
          </cell>
          <cell r="K1442" t="str">
            <v/>
          </cell>
          <cell r="L1442" t="str">
            <v>Masculino</v>
          </cell>
          <cell r="M1442" t="str">
            <v>Parda</v>
          </cell>
          <cell r="N1442">
            <v>33345</v>
          </cell>
          <cell r="O1442" t="str">
            <v>473648994</v>
          </cell>
          <cell r="P1442" t="str">
            <v>SP</v>
          </cell>
          <cell r="Q1442" t="str">
            <v>SSP</v>
          </cell>
          <cell r="R1442" t="str">
            <v>GUARUJA</v>
          </cell>
        </row>
        <row r="1443">
          <cell r="A1443" t="str">
            <v>ANDRE LUIZ FLORIPPI GONCALVES</v>
          </cell>
          <cell r="B1443" t="str">
            <v>Casado</v>
          </cell>
          <cell r="C1443" t="str">
            <v>AV DOUTOR MOURA RIBEIRO</v>
          </cell>
          <cell r="D1443" t="str">
            <v>Marapé</v>
          </cell>
          <cell r="E1443" t="str">
            <v>SANTOS</v>
          </cell>
          <cell r="F1443" t="str">
            <v>SP</v>
          </cell>
          <cell r="G1443" t="str">
            <v>125</v>
          </cell>
          <cell r="H1443" t="str">
            <v>BL G AP 158</v>
          </cell>
          <cell r="I1443" t="str">
            <v>11070-060</v>
          </cell>
          <cell r="J1443" t="str">
            <v>34697673</v>
          </cell>
          <cell r="K1443" t="str">
            <v/>
          </cell>
          <cell r="L1443" t="str">
            <v>Masculino</v>
          </cell>
          <cell r="M1443" t="str">
            <v>Parda</v>
          </cell>
          <cell r="N1443">
            <v>25384</v>
          </cell>
          <cell r="O1443" t="str">
            <v>22464502X</v>
          </cell>
          <cell r="P1443" t="str">
            <v>SP</v>
          </cell>
          <cell r="Q1443" t="str">
            <v>SSP</v>
          </cell>
          <cell r="R1443" t="str">
            <v>SANTOS</v>
          </cell>
        </row>
        <row r="1444">
          <cell r="A1444" t="str">
            <v>BRUNO FLORES BIO</v>
          </cell>
          <cell r="B1444" t="str">
            <v>Solteiro</v>
          </cell>
          <cell r="C1444" t="str">
            <v>R DONA MARIA MAXIMO</v>
          </cell>
          <cell r="D1444" t="str">
            <v>Ponta da Praia</v>
          </cell>
          <cell r="E1444" t="str">
            <v>SANTOS</v>
          </cell>
          <cell r="F1444" t="str">
            <v>SP</v>
          </cell>
          <cell r="G1444" t="str">
            <v>153</v>
          </cell>
          <cell r="H1444" t="str">
            <v>BL D AP 261</v>
          </cell>
          <cell r="I1444" t="str">
            <v>11030-101</v>
          </cell>
          <cell r="J1444" t="str">
            <v>991658531</v>
          </cell>
          <cell r="K1444" t="str">
            <v/>
          </cell>
          <cell r="L1444" t="str">
            <v>Masculino</v>
          </cell>
          <cell r="M1444" t="str">
            <v>Parda</v>
          </cell>
          <cell r="N1444">
            <v>35475</v>
          </cell>
          <cell r="O1444" t="str">
            <v>501715563</v>
          </cell>
          <cell r="P1444" t="str">
            <v>SP</v>
          </cell>
          <cell r="Q1444" t="str">
            <v>SSP</v>
          </cell>
          <cell r="R1444" t="str">
            <v>SANTOS</v>
          </cell>
        </row>
        <row r="1445">
          <cell r="A1445" t="str">
            <v>DOUGLAS SILVA MIRANDA</v>
          </cell>
          <cell r="B1445" t="str">
            <v>Casado</v>
          </cell>
          <cell r="C1445" t="str">
            <v>R ALEXANDRE FIGUEIREDO E CUNHA</v>
          </cell>
          <cell r="D1445" t="str">
            <v>Cidade Nautica</v>
          </cell>
          <cell r="E1445" t="str">
            <v>SAO VICENTE</v>
          </cell>
          <cell r="F1445" t="str">
            <v>SP</v>
          </cell>
          <cell r="G1445" t="str">
            <v>100</v>
          </cell>
          <cell r="H1445" t="str">
            <v/>
          </cell>
          <cell r="I1445" t="str">
            <v>11350-580</v>
          </cell>
          <cell r="J1445" t="str">
            <v>974049666</v>
          </cell>
          <cell r="K1445" t="str">
            <v/>
          </cell>
          <cell r="L1445" t="str">
            <v>Masculino</v>
          </cell>
          <cell r="M1445" t="str">
            <v>Parda</v>
          </cell>
          <cell r="N1445">
            <v>32456</v>
          </cell>
          <cell r="O1445" t="str">
            <v>448452868</v>
          </cell>
          <cell r="P1445" t="str">
            <v>SP</v>
          </cell>
          <cell r="Q1445" t="str">
            <v>SSP</v>
          </cell>
          <cell r="R1445" t="str">
            <v>SAO VICENTE</v>
          </cell>
        </row>
        <row r="1446">
          <cell r="A1446" t="str">
            <v>EDER SANTOS SANTANA</v>
          </cell>
          <cell r="B1446" t="str">
            <v>Solteiro</v>
          </cell>
          <cell r="C1446" t="str">
            <v>R INDEPENDENCIA</v>
          </cell>
          <cell r="D1446" t="str">
            <v>Sítio Paecara (Vicente de Carvalho)</v>
          </cell>
          <cell r="E1446" t="str">
            <v>GUARUJA</v>
          </cell>
          <cell r="F1446" t="str">
            <v>SP</v>
          </cell>
          <cell r="G1446" t="str">
            <v>24</v>
          </cell>
          <cell r="H1446" t="str">
            <v/>
          </cell>
          <cell r="I1446" t="str">
            <v>11463-160</v>
          </cell>
          <cell r="J1446" t="str">
            <v>974089775</v>
          </cell>
          <cell r="K1446" t="str">
            <v/>
          </cell>
          <cell r="L1446" t="str">
            <v>Masculino</v>
          </cell>
          <cell r="M1446" t="str">
            <v>Parda</v>
          </cell>
          <cell r="N1446">
            <v>29788</v>
          </cell>
          <cell r="O1446" t="str">
            <v>35268544X</v>
          </cell>
          <cell r="P1446" t="str">
            <v>SP</v>
          </cell>
          <cell r="Q1446" t="str">
            <v>SSP</v>
          </cell>
          <cell r="R1446" t="str">
            <v>SANTOS</v>
          </cell>
        </row>
        <row r="1447">
          <cell r="A1447" t="str">
            <v>ELADIO DE MIRANDA ROCHA</v>
          </cell>
          <cell r="B1447" t="str">
            <v>Casado</v>
          </cell>
          <cell r="C1447" t="str">
            <v>R LUIZ FERREIRA SATURNINO</v>
          </cell>
          <cell r="D1447" t="str">
            <v>Samaritá</v>
          </cell>
          <cell r="E1447" t="str">
            <v>SAO VICENTE</v>
          </cell>
          <cell r="F1447" t="str">
            <v>SP</v>
          </cell>
          <cell r="G1447" t="str">
            <v>130</v>
          </cell>
          <cell r="H1447" t="str">
            <v>BL 3</v>
          </cell>
          <cell r="I1447" t="str">
            <v>11345-405</v>
          </cell>
          <cell r="J1447" t="str">
            <v>974027865</v>
          </cell>
          <cell r="K1447" t="str">
            <v/>
          </cell>
          <cell r="L1447" t="str">
            <v>Masculino</v>
          </cell>
          <cell r="M1447" t="str">
            <v>Parda</v>
          </cell>
          <cell r="N1447">
            <v>31104</v>
          </cell>
          <cell r="O1447" t="str">
            <v>321030734</v>
          </cell>
          <cell r="P1447" t="str">
            <v>SP</v>
          </cell>
          <cell r="Q1447" t="str">
            <v>SSP</v>
          </cell>
          <cell r="R1447" t="str">
            <v>SANTOS</v>
          </cell>
        </row>
        <row r="1448">
          <cell r="A1448" t="str">
            <v>EDSON FLAVIO MEDEIROS DE FIGUEIREDO</v>
          </cell>
          <cell r="B1448" t="str">
            <v>Casado</v>
          </cell>
          <cell r="C1448" t="str">
            <v>AV ALMIRANTE TAMANDARE</v>
          </cell>
          <cell r="D1448" t="str">
            <v>Jardim Três Marias</v>
          </cell>
          <cell r="E1448" t="str">
            <v>GUARUJA</v>
          </cell>
          <cell r="F1448" t="str">
            <v>SP</v>
          </cell>
          <cell r="G1448" t="str">
            <v>293</v>
          </cell>
          <cell r="H1448" t="str">
            <v/>
          </cell>
          <cell r="I1448" t="str">
            <v>11440-470</v>
          </cell>
          <cell r="J1448" t="str">
            <v>996813316</v>
          </cell>
          <cell r="K1448" t="str">
            <v/>
          </cell>
          <cell r="L1448" t="str">
            <v>Masculino</v>
          </cell>
          <cell r="M1448" t="str">
            <v>Parda</v>
          </cell>
          <cell r="N1448">
            <v>31363</v>
          </cell>
          <cell r="O1448" t="str">
            <v>415499987</v>
          </cell>
          <cell r="P1448" t="str">
            <v>SP</v>
          </cell>
          <cell r="Q1448" t="str">
            <v>SSP</v>
          </cell>
          <cell r="R1448" t="str">
            <v>BOM JESUS</v>
          </cell>
        </row>
        <row r="1449">
          <cell r="A1449" t="str">
            <v>SERGIO RICARDO MENEZES DA SILVA</v>
          </cell>
          <cell r="B1449" t="str">
            <v>Casado</v>
          </cell>
          <cell r="C1449" t="str">
            <v>R CAPITAO ALBERTO MENDES JUNIOR</v>
          </cell>
          <cell r="D1449" t="str">
            <v>Macuco</v>
          </cell>
          <cell r="E1449" t="str">
            <v>SANTOS</v>
          </cell>
          <cell r="F1449" t="str">
            <v>SP</v>
          </cell>
          <cell r="G1449" t="str">
            <v>165</v>
          </cell>
          <cell r="H1449" t="str">
            <v>CASA 3</v>
          </cell>
          <cell r="I1449" t="str">
            <v>11015-290</v>
          </cell>
          <cell r="J1449" t="str">
            <v>991059514</v>
          </cell>
          <cell r="K1449" t="str">
            <v/>
          </cell>
          <cell r="L1449" t="str">
            <v>Masculino</v>
          </cell>
          <cell r="M1449" t="str">
            <v>Parda</v>
          </cell>
          <cell r="N1449">
            <v>26660</v>
          </cell>
          <cell r="O1449" t="str">
            <v>234629770</v>
          </cell>
          <cell r="P1449" t="str">
            <v>SP</v>
          </cell>
          <cell r="Q1449" t="str">
            <v>SSP</v>
          </cell>
          <cell r="R1449" t="str">
            <v>SANTOS</v>
          </cell>
        </row>
        <row r="1450">
          <cell r="A1450" t="str">
            <v>LEONARDO VIEIRA MARTINS</v>
          </cell>
          <cell r="B1450" t="str">
            <v>Casado</v>
          </cell>
          <cell r="C1450" t="str">
            <v>R MATO GROSSO</v>
          </cell>
          <cell r="D1450" t="str">
            <v>Boqueirão</v>
          </cell>
          <cell r="E1450" t="str">
            <v>SANTOS</v>
          </cell>
          <cell r="F1450" t="str">
            <v>SP</v>
          </cell>
          <cell r="G1450" t="str">
            <v>232</v>
          </cell>
          <cell r="H1450" t="str">
            <v>APTO 32</v>
          </cell>
          <cell r="I1450" t="str">
            <v>11055-010</v>
          </cell>
          <cell r="J1450" t="str">
            <v>997700000</v>
          </cell>
          <cell r="K1450" t="str">
            <v/>
          </cell>
          <cell r="L1450" t="str">
            <v>Masculino</v>
          </cell>
          <cell r="M1450" t="str">
            <v>Parda</v>
          </cell>
          <cell r="N1450">
            <v>30482</v>
          </cell>
          <cell r="O1450" t="str">
            <v>350410756</v>
          </cell>
          <cell r="P1450" t="str">
            <v>SP</v>
          </cell>
          <cell r="Q1450" t="str">
            <v>SSP</v>
          </cell>
          <cell r="R1450" t="str">
            <v>SANTOS</v>
          </cell>
        </row>
        <row r="1451">
          <cell r="A1451" t="str">
            <v>CARLOS ANTONIO BARBOSA DA SILVA</v>
          </cell>
          <cell r="B1451" t="str">
            <v>Solteiro</v>
          </cell>
          <cell r="C1451" t="str">
            <v>R PAULO MOUTINHO</v>
          </cell>
          <cell r="D1451" t="str">
            <v>Vila Mathias</v>
          </cell>
          <cell r="E1451" t="str">
            <v>SANTOS</v>
          </cell>
          <cell r="F1451" t="str">
            <v>SP</v>
          </cell>
          <cell r="G1451" t="str">
            <v>14</v>
          </cell>
          <cell r="H1451" t="str">
            <v/>
          </cell>
          <cell r="I1451" t="str">
            <v>11013-480</v>
          </cell>
          <cell r="J1451" t="str">
            <v>981537828</v>
          </cell>
          <cell r="K1451" t="str">
            <v/>
          </cell>
          <cell r="L1451" t="str">
            <v>Masculino</v>
          </cell>
          <cell r="M1451" t="str">
            <v>Parda</v>
          </cell>
          <cell r="N1451">
            <v>25059</v>
          </cell>
          <cell r="O1451" t="str">
            <v>214361913</v>
          </cell>
          <cell r="P1451" t="str">
            <v>SP</v>
          </cell>
          <cell r="Q1451" t="str">
            <v>SSP</v>
          </cell>
          <cell r="R1451" t="str">
            <v>MACAU</v>
          </cell>
        </row>
        <row r="1452">
          <cell r="A1452" t="str">
            <v>WESLLEY CANUTO PEREIRA</v>
          </cell>
          <cell r="B1452" t="str">
            <v>Solteiro</v>
          </cell>
          <cell r="C1452" t="str">
            <v>R MEM DE SA</v>
          </cell>
          <cell r="D1452" t="str">
            <v>Aviação</v>
          </cell>
          <cell r="E1452" t="str">
            <v>PRAIA GRANDE</v>
          </cell>
          <cell r="F1452" t="str">
            <v>SP</v>
          </cell>
          <cell r="G1452" t="str">
            <v>309</v>
          </cell>
          <cell r="H1452" t="str">
            <v/>
          </cell>
          <cell r="I1452" t="str">
            <v>11702-570</v>
          </cell>
          <cell r="J1452" t="str">
            <v>991238259</v>
          </cell>
          <cell r="K1452" t="str">
            <v>985998995</v>
          </cell>
          <cell r="L1452" t="str">
            <v>Masculino</v>
          </cell>
          <cell r="M1452" t="str">
            <v>Parda</v>
          </cell>
          <cell r="N1452">
            <v>34853</v>
          </cell>
          <cell r="O1452" t="str">
            <v>415128407</v>
          </cell>
          <cell r="P1452" t="str">
            <v>SP</v>
          </cell>
          <cell r="Q1452" t="str">
            <v>SSP</v>
          </cell>
          <cell r="R1452" t="str">
            <v>SANTOS</v>
          </cell>
        </row>
        <row r="1453">
          <cell r="A1453" t="str">
            <v>RUTINALDO MESSIAS DE OLIVEIRA</v>
          </cell>
          <cell r="B1453" t="str">
            <v>Casado</v>
          </cell>
          <cell r="C1453" t="str">
            <v>AV MARECHAL FLORIANO PEIXOTO</v>
          </cell>
          <cell r="D1453" t="str">
            <v>Gonzaga</v>
          </cell>
          <cell r="E1453" t="str">
            <v>SANTOS</v>
          </cell>
          <cell r="F1453" t="str">
            <v>SP</v>
          </cell>
          <cell r="G1453" t="str">
            <v>406</v>
          </cell>
          <cell r="H1453" t="str">
            <v>APTO 120</v>
          </cell>
          <cell r="I1453" t="str">
            <v>11060-300</v>
          </cell>
          <cell r="J1453" t="str">
            <v>996236457</v>
          </cell>
          <cell r="K1453" t="str">
            <v/>
          </cell>
          <cell r="L1453" t="str">
            <v>Masculino</v>
          </cell>
          <cell r="M1453" t="str">
            <v>Parda</v>
          </cell>
          <cell r="N1453">
            <v>24846</v>
          </cell>
          <cell r="O1453" t="str">
            <v>205865380</v>
          </cell>
          <cell r="P1453" t="str">
            <v>SP</v>
          </cell>
          <cell r="Q1453" t="str">
            <v>SSP</v>
          </cell>
          <cell r="R1453" t="str">
            <v>TOMAR DO GERU</v>
          </cell>
        </row>
        <row r="1454">
          <cell r="A1454" t="str">
            <v>GABRIEL DE OLIVEIRA GONCALVES PINILHA</v>
          </cell>
          <cell r="B1454" t="str">
            <v>Solteiro</v>
          </cell>
          <cell r="C1454" t="str">
            <v>R FLORIDA</v>
          </cell>
          <cell r="D1454" t="str">
            <v>Vila Sônia</v>
          </cell>
          <cell r="E1454" t="str">
            <v>PRAIA GRANDE</v>
          </cell>
          <cell r="F1454" t="str">
            <v>SP</v>
          </cell>
          <cell r="G1454" t="str">
            <v>518</v>
          </cell>
          <cell r="H1454" t="str">
            <v>APTO 117</v>
          </cell>
          <cell r="I1454" t="str">
            <v>11708-040</v>
          </cell>
          <cell r="J1454" t="str">
            <v>996081701</v>
          </cell>
          <cell r="K1454" t="str">
            <v/>
          </cell>
          <cell r="L1454" t="str">
            <v>Masculino</v>
          </cell>
          <cell r="M1454" t="str">
            <v>Parda</v>
          </cell>
          <cell r="N1454">
            <v>33315</v>
          </cell>
          <cell r="O1454" t="str">
            <v>473427540</v>
          </cell>
          <cell r="P1454" t="str">
            <v>SP</v>
          </cell>
          <cell r="Q1454" t="str">
            <v>SSP</v>
          </cell>
          <cell r="R1454" t="str">
            <v>SAO VICENTE</v>
          </cell>
        </row>
        <row r="1455">
          <cell r="A1455" t="str">
            <v>MARCOS FERREIRA DA CONCEICAO</v>
          </cell>
          <cell r="B1455" t="str">
            <v>Solteiro</v>
          </cell>
          <cell r="C1455" t="str">
            <v>R JOSE ADRIANO MARREY JUNIOR</v>
          </cell>
          <cell r="D1455" t="str">
            <v>Esplanada dos Barreiros</v>
          </cell>
          <cell r="E1455" t="str">
            <v>SAO VICENTE</v>
          </cell>
          <cell r="F1455" t="str">
            <v>SP</v>
          </cell>
          <cell r="G1455" t="str">
            <v>388</v>
          </cell>
          <cell r="H1455" t="str">
            <v/>
          </cell>
          <cell r="I1455" t="str">
            <v>11340-310</v>
          </cell>
          <cell r="J1455" t="str">
            <v>974274404</v>
          </cell>
          <cell r="K1455" t="str">
            <v/>
          </cell>
          <cell r="L1455" t="str">
            <v>Masculino</v>
          </cell>
          <cell r="M1455" t="str">
            <v>Parda</v>
          </cell>
          <cell r="N1455">
            <v>29034</v>
          </cell>
          <cell r="O1455" t="str">
            <v>305896192</v>
          </cell>
          <cell r="P1455" t="str">
            <v>SP</v>
          </cell>
          <cell r="Q1455" t="str">
            <v>SSP</v>
          </cell>
          <cell r="R1455" t="str">
            <v>SANTOS</v>
          </cell>
        </row>
        <row r="1456">
          <cell r="A1456" t="str">
            <v>ROMERITO DA SILVA CRUZ</v>
          </cell>
          <cell r="B1456" t="str">
            <v>Casado</v>
          </cell>
          <cell r="C1456" t="str">
            <v>R SOARES DE CAMARGO</v>
          </cell>
          <cell r="D1456" t="str">
            <v>Boqueirao</v>
          </cell>
          <cell r="E1456" t="str">
            <v>SANTOS</v>
          </cell>
          <cell r="F1456" t="str">
            <v>SP</v>
          </cell>
          <cell r="G1456" t="str">
            <v>117</v>
          </cell>
          <cell r="H1456" t="str">
            <v>APTO 302</v>
          </cell>
          <cell r="I1456" t="str">
            <v>11045-050</v>
          </cell>
          <cell r="J1456" t="str">
            <v>974188668</v>
          </cell>
          <cell r="K1456" t="str">
            <v/>
          </cell>
          <cell r="L1456" t="str">
            <v>Masculino</v>
          </cell>
          <cell r="M1456" t="str">
            <v>Parda</v>
          </cell>
          <cell r="N1456">
            <v>31813</v>
          </cell>
          <cell r="O1456" t="str">
            <v>324690940</v>
          </cell>
          <cell r="P1456" t="str">
            <v>SP</v>
          </cell>
          <cell r="Q1456" t="str">
            <v>SSP</v>
          </cell>
          <cell r="R1456" t="str">
            <v>GUARUJA</v>
          </cell>
        </row>
        <row r="1457">
          <cell r="A1457" t="str">
            <v>CLAUDIA ALMEIDA XAVIER DOS SANTOS</v>
          </cell>
          <cell r="B1457" t="str">
            <v>Divorciado</v>
          </cell>
          <cell r="C1457" t="str">
            <v>R SAO MARCOS</v>
          </cell>
          <cell r="D1457" t="str">
            <v>Morro Sao Bento</v>
          </cell>
          <cell r="E1457" t="str">
            <v>SANTOS</v>
          </cell>
          <cell r="F1457" t="str">
            <v>SP</v>
          </cell>
          <cell r="G1457" t="str">
            <v>2087</v>
          </cell>
          <cell r="H1457" t="str">
            <v>CASA</v>
          </cell>
          <cell r="I1457" t="str">
            <v>11082-500</v>
          </cell>
          <cell r="J1457" t="str">
            <v>992051295</v>
          </cell>
          <cell r="K1457" t="str">
            <v/>
          </cell>
          <cell r="L1457" t="str">
            <v>Feminino</v>
          </cell>
          <cell r="M1457" t="str">
            <v>Parda</v>
          </cell>
          <cell r="N1457">
            <v>29300</v>
          </cell>
          <cell r="O1457" t="str">
            <v>290086668</v>
          </cell>
          <cell r="P1457" t="str">
            <v>SP</v>
          </cell>
          <cell r="Q1457" t="str">
            <v>SSP</v>
          </cell>
          <cell r="R1457" t="str">
            <v>SANTOS</v>
          </cell>
        </row>
        <row r="1458">
          <cell r="A1458" t="str">
            <v>HUMBERTO FRANCISCO SANTOS</v>
          </cell>
          <cell r="B1458" t="str">
            <v>Casado</v>
          </cell>
          <cell r="C1458" t="str">
            <v>R PROF HERENICE RODRIGUES DO NASCIMENTO</v>
          </cell>
          <cell r="D1458" t="str">
            <v>Samarita</v>
          </cell>
          <cell r="E1458" t="str">
            <v>SAO VICENTE</v>
          </cell>
          <cell r="F1458" t="str">
            <v>SP</v>
          </cell>
          <cell r="G1458" t="str">
            <v>150</v>
          </cell>
          <cell r="H1458" t="str">
            <v>BL 01 APT 03</v>
          </cell>
          <cell r="I1458" t="str">
            <v>11345-510</v>
          </cell>
          <cell r="J1458" t="str">
            <v>974056180</v>
          </cell>
          <cell r="K1458" t="str">
            <v/>
          </cell>
          <cell r="L1458" t="str">
            <v>Masculino</v>
          </cell>
          <cell r="M1458" t="str">
            <v>Parda</v>
          </cell>
          <cell r="N1458">
            <v>27092</v>
          </cell>
          <cell r="O1458" t="str">
            <v>225443399</v>
          </cell>
          <cell r="P1458" t="str">
            <v>SP</v>
          </cell>
          <cell r="Q1458" t="str">
            <v>SSP</v>
          </cell>
          <cell r="R1458" t="str">
            <v>SANTOS</v>
          </cell>
        </row>
        <row r="1459">
          <cell r="A1459" t="str">
            <v>ALESSANDRA IRIA DE ASSIS</v>
          </cell>
          <cell r="B1459" t="str">
            <v>Divorciado</v>
          </cell>
          <cell r="C1459" t="str">
            <v>R General San Martin</v>
          </cell>
          <cell r="D1459" t="str">
            <v>Jardim Independencia</v>
          </cell>
          <cell r="E1459" t="str">
            <v>SAO VICENTE</v>
          </cell>
          <cell r="F1459" t="str">
            <v>SP</v>
          </cell>
          <cell r="G1459" t="str">
            <v>20</v>
          </cell>
          <cell r="H1459" t="str">
            <v>AP 23</v>
          </cell>
          <cell r="I1459" t="str">
            <v>11380-480</v>
          </cell>
          <cell r="J1459" t="str">
            <v>991824043</v>
          </cell>
          <cell r="K1459" t="str">
            <v/>
          </cell>
          <cell r="L1459" t="str">
            <v>Feminino</v>
          </cell>
          <cell r="M1459" t="str">
            <v>Parda</v>
          </cell>
          <cell r="N1459">
            <v>26780</v>
          </cell>
          <cell r="O1459" t="str">
            <v>238687624</v>
          </cell>
          <cell r="P1459" t="str">
            <v>SP</v>
          </cell>
          <cell r="Q1459" t="str">
            <v>SSP</v>
          </cell>
          <cell r="R1459" t="str">
            <v>SANTOS</v>
          </cell>
        </row>
        <row r="1460">
          <cell r="A1460" t="str">
            <v>CARLOS ALBERTO ALEXANDRINO JUNIOR</v>
          </cell>
          <cell r="B1460" t="str">
            <v>Casado</v>
          </cell>
          <cell r="C1460" t="str">
            <v>R PAULA NEY</v>
          </cell>
          <cell r="D1460" t="str">
            <v>Ocian</v>
          </cell>
          <cell r="E1460" t="str">
            <v>PRAIA GRANDE</v>
          </cell>
          <cell r="F1460" t="str">
            <v>SP</v>
          </cell>
          <cell r="G1460" t="str">
            <v>179</v>
          </cell>
          <cell r="H1460" t="str">
            <v/>
          </cell>
          <cell r="I1460" t="str">
            <v>11704-180</v>
          </cell>
          <cell r="J1460" t="str">
            <v>991267586</v>
          </cell>
          <cell r="K1460" t="str">
            <v/>
          </cell>
          <cell r="L1460" t="str">
            <v>Masculino</v>
          </cell>
          <cell r="M1460" t="str">
            <v>Parda</v>
          </cell>
          <cell r="N1460">
            <v>26463</v>
          </cell>
          <cell r="O1460" t="str">
            <v>24822380X</v>
          </cell>
          <cell r="P1460" t="str">
            <v>SP</v>
          </cell>
          <cell r="Q1460" t="str">
            <v>SSP</v>
          </cell>
          <cell r="R1460" t="str">
            <v>GUARUJA</v>
          </cell>
        </row>
        <row r="1461">
          <cell r="A1461" t="str">
            <v>ANA PAULA DE FREITAS ALMEIDA</v>
          </cell>
          <cell r="B1461" t="str">
            <v>Solteiro</v>
          </cell>
          <cell r="C1461" t="str">
            <v>R ALVARO ALVIN</v>
          </cell>
          <cell r="D1461" t="str">
            <v>Embare</v>
          </cell>
          <cell r="E1461" t="str">
            <v>SANTOS</v>
          </cell>
          <cell r="F1461" t="str">
            <v>SP</v>
          </cell>
          <cell r="G1461" t="str">
            <v>79</v>
          </cell>
          <cell r="H1461" t="str">
            <v>BL AURORA APTO 13</v>
          </cell>
          <cell r="I1461" t="str">
            <v>11040-131</v>
          </cell>
          <cell r="J1461" t="str">
            <v>981579214</v>
          </cell>
          <cell r="K1461" t="str">
            <v/>
          </cell>
          <cell r="L1461" t="str">
            <v>Feminino</v>
          </cell>
          <cell r="M1461" t="str">
            <v>Parda</v>
          </cell>
          <cell r="N1461">
            <v>29110</v>
          </cell>
          <cell r="O1461" t="str">
            <v>33084572X</v>
          </cell>
          <cell r="P1461" t="str">
            <v>BA</v>
          </cell>
          <cell r="Q1461" t="str">
            <v>SSP</v>
          </cell>
          <cell r="R1461" t="str">
            <v>CAMPO FORMOSO</v>
          </cell>
        </row>
        <row r="1462">
          <cell r="A1462" t="str">
            <v>NILTON CESAR RODRIGUES NUNES</v>
          </cell>
          <cell r="B1462" t="str">
            <v>União Estável</v>
          </cell>
          <cell r="C1462" t="str">
            <v>R MONTE NEGRO</v>
          </cell>
          <cell r="D1462" t="str">
            <v>SANTO ANTONIO</v>
          </cell>
          <cell r="E1462" t="str">
            <v>OSASCO</v>
          </cell>
          <cell r="F1462" t="str">
            <v>SP</v>
          </cell>
          <cell r="G1462" t="str">
            <v>14</v>
          </cell>
          <cell r="H1462" t="str">
            <v>CS 2</v>
          </cell>
          <cell r="I1462" t="str">
            <v>06126-030</v>
          </cell>
          <cell r="J1462" t="str">
            <v>983697779</v>
          </cell>
          <cell r="K1462" t="str">
            <v/>
          </cell>
          <cell r="L1462" t="str">
            <v>Masculino</v>
          </cell>
          <cell r="M1462" t="str">
            <v>Parda</v>
          </cell>
          <cell r="N1462">
            <v>26168</v>
          </cell>
          <cell r="O1462" t="str">
            <v>202697136</v>
          </cell>
          <cell r="P1462" t="str">
            <v>SP</v>
          </cell>
          <cell r="Q1462" t="str">
            <v>SSP</v>
          </cell>
          <cell r="R1462" t="str">
            <v>OSASCO</v>
          </cell>
        </row>
        <row r="1463">
          <cell r="A1463" t="str">
            <v>TADEU DIOGENES NUNES RODRIGUES</v>
          </cell>
          <cell r="B1463" t="str">
            <v>União Estável</v>
          </cell>
          <cell r="C1463" t="str">
            <v>R MANOEL DE CHAVES</v>
          </cell>
          <cell r="D1463" t="str">
            <v>Cidade Náutica</v>
          </cell>
          <cell r="E1463" t="str">
            <v>SAO VICENTE</v>
          </cell>
          <cell r="F1463" t="str">
            <v>SP</v>
          </cell>
          <cell r="G1463" t="str">
            <v>80</v>
          </cell>
          <cell r="H1463" t="str">
            <v/>
          </cell>
          <cell r="I1463" t="str">
            <v>11350-340</v>
          </cell>
          <cell r="J1463" t="str">
            <v>947587232</v>
          </cell>
          <cell r="K1463" t="str">
            <v/>
          </cell>
          <cell r="L1463" t="str">
            <v>Masculino</v>
          </cell>
          <cell r="M1463" t="str">
            <v>Parda</v>
          </cell>
          <cell r="N1463">
            <v>31577</v>
          </cell>
          <cell r="O1463" t="str">
            <v>437994855</v>
          </cell>
          <cell r="P1463" t="str">
            <v>PE</v>
          </cell>
          <cell r="Q1463" t="str">
            <v>SSP</v>
          </cell>
          <cell r="R1463" t="str">
            <v>AFOGADOS DA INGAZEIRA</v>
          </cell>
        </row>
        <row r="1464">
          <cell r="A1464" t="str">
            <v>PAULO ROBERTO DOS SANTOS</v>
          </cell>
          <cell r="B1464" t="str">
            <v>Casado</v>
          </cell>
          <cell r="C1464" t="str">
            <v>AV AUREA GONZALES CONDE</v>
          </cell>
          <cell r="D1464" t="str">
            <v>Vila Aurea</v>
          </cell>
          <cell r="E1464" t="str">
            <v>GUARUJA</v>
          </cell>
          <cell r="F1464" t="str">
            <v>SP</v>
          </cell>
          <cell r="G1464" t="str">
            <v>541</v>
          </cell>
          <cell r="H1464" t="str">
            <v>CA 39</v>
          </cell>
          <cell r="I1464" t="str">
            <v>11454-540</v>
          </cell>
          <cell r="J1464" t="str">
            <v>974207035</v>
          </cell>
          <cell r="K1464" t="str">
            <v/>
          </cell>
          <cell r="L1464" t="str">
            <v>Masculino</v>
          </cell>
          <cell r="M1464" t="str">
            <v>Parda</v>
          </cell>
          <cell r="N1464">
            <v>25852</v>
          </cell>
          <cell r="O1464" t="str">
            <v>245466472</v>
          </cell>
          <cell r="P1464" t="str">
            <v>SP</v>
          </cell>
          <cell r="Q1464" t="str">
            <v>SSP</v>
          </cell>
          <cell r="R1464" t="str">
            <v>GUARUJA</v>
          </cell>
        </row>
        <row r="1465">
          <cell r="A1465" t="str">
            <v>LUANA CAMPOS CARNEVALI</v>
          </cell>
          <cell r="B1465" t="str">
            <v>Solteiro</v>
          </cell>
          <cell r="C1465" t="str">
            <v>R TOLENTINO FILGUEIRAS</v>
          </cell>
          <cell r="D1465" t="str">
            <v>Gonzaga</v>
          </cell>
          <cell r="E1465" t="str">
            <v>SANTOS</v>
          </cell>
          <cell r="F1465" t="str">
            <v>SP</v>
          </cell>
          <cell r="G1465" t="str">
            <v>153</v>
          </cell>
          <cell r="H1465" t="str">
            <v>APTO 32</v>
          </cell>
          <cell r="I1465" t="str">
            <v>11060-471</v>
          </cell>
          <cell r="J1465" t="str">
            <v>997341919</v>
          </cell>
          <cell r="K1465" t="str">
            <v/>
          </cell>
          <cell r="L1465" t="str">
            <v>Feminino</v>
          </cell>
          <cell r="M1465" t="str">
            <v>Parda</v>
          </cell>
          <cell r="N1465">
            <v>32008</v>
          </cell>
          <cell r="O1465" t="str">
            <v>444242326</v>
          </cell>
          <cell r="P1465" t="str">
            <v>SP</v>
          </cell>
          <cell r="Q1465" t="str">
            <v>SSP</v>
          </cell>
          <cell r="R1465" t="str">
            <v>SANTOS</v>
          </cell>
        </row>
        <row r="1466">
          <cell r="A1466" t="str">
            <v>MATHEUS RITTER RUAS</v>
          </cell>
          <cell r="B1466" t="str">
            <v>Solteiro</v>
          </cell>
          <cell r="C1466" t="str">
            <v>AV ALMIRANTE COCHRANE</v>
          </cell>
          <cell r="D1466" t="str">
            <v>Aparecida</v>
          </cell>
          <cell r="E1466" t="str">
            <v>SANTOS</v>
          </cell>
          <cell r="F1466" t="str">
            <v>SP</v>
          </cell>
          <cell r="G1466" t="str">
            <v>6</v>
          </cell>
          <cell r="H1466" t="str">
            <v>BLOCO E APTO 13</v>
          </cell>
          <cell r="I1466" t="str">
            <v>11040-000</v>
          </cell>
          <cell r="J1466" t="str">
            <v>997971667</v>
          </cell>
          <cell r="K1466" t="str">
            <v/>
          </cell>
          <cell r="L1466" t="str">
            <v>Masculino</v>
          </cell>
          <cell r="M1466" t="str">
            <v>Parda</v>
          </cell>
          <cell r="N1466">
            <v>35965</v>
          </cell>
          <cell r="O1466" t="str">
            <v>382164428</v>
          </cell>
          <cell r="P1466" t="str">
            <v>SP</v>
          </cell>
          <cell r="Q1466" t="str">
            <v>SSP</v>
          </cell>
          <cell r="R1466" t="str">
            <v>SANTOS</v>
          </cell>
        </row>
        <row r="1467">
          <cell r="A1467" t="str">
            <v>LARISSA COELHO LOPEZ</v>
          </cell>
          <cell r="B1467" t="str">
            <v>Casado</v>
          </cell>
          <cell r="C1467" t="str">
            <v>R DOUTOR CARVALHO DE MENDONCA</v>
          </cell>
          <cell r="D1467" t="str">
            <v>Marapé</v>
          </cell>
          <cell r="E1467" t="str">
            <v>SANTOS</v>
          </cell>
          <cell r="F1467" t="str">
            <v>SP</v>
          </cell>
          <cell r="G1467" t="str">
            <v>727</v>
          </cell>
          <cell r="H1467" t="str">
            <v>APTO 22</v>
          </cell>
          <cell r="I1467" t="str">
            <v>11070-103</v>
          </cell>
          <cell r="J1467" t="str">
            <v>991184602</v>
          </cell>
          <cell r="K1467" t="str">
            <v/>
          </cell>
          <cell r="L1467" t="str">
            <v>Feminino</v>
          </cell>
          <cell r="M1467" t="str">
            <v>Parda</v>
          </cell>
          <cell r="N1467">
            <v>32024</v>
          </cell>
          <cell r="O1467" t="str">
            <v>342478424</v>
          </cell>
          <cell r="P1467" t="str">
            <v>SP</v>
          </cell>
          <cell r="Q1467" t="str">
            <v>SSP</v>
          </cell>
          <cell r="R1467" t="str">
            <v>SANTOS</v>
          </cell>
        </row>
        <row r="1468">
          <cell r="A1468" t="str">
            <v>ANDERSON CORREA JOAQUIM</v>
          </cell>
          <cell r="B1468" t="str">
            <v>União Estável</v>
          </cell>
          <cell r="C1468" t="str">
            <v>R VIVALDO DE ALMEIDA NERY</v>
          </cell>
          <cell r="D1468" t="str">
            <v>Saboo</v>
          </cell>
          <cell r="E1468" t="str">
            <v>SANTOS</v>
          </cell>
          <cell r="F1468" t="str">
            <v>SP</v>
          </cell>
          <cell r="G1468" t="str">
            <v>78</v>
          </cell>
          <cell r="H1468" t="str">
            <v>APTO 24</v>
          </cell>
          <cell r="I1468" t="str">
            <v>11085-090</v>
          </cell>
          <cell r="J1468" t="str">
            <v>991059282</v>
          </cell>
          <cell r="K1468" t="str">
            <v/>
          </cell>
          <cell r="L1468" t="str">
            <v>Masculino</v>
          </cell>
          <cell r="M1468" t="str">
            <v>Parda</v>
          </cell>
          <cell r="N1468">
            <v>26092</v>
          </cell>
          <cell r="O1468" t="str">
            <v>189933707</v>
          </cell>
          <cell r="P1468" t="str">
            <v>SP</v>
          </cell>
          <cell r="Q1468" t="str">
            <v>SSP</v>
          </cell>
          <cell r="R1468" t="str">
            <v>SANTOS</v>
          </cell>
        </row>
        <row r="1469">
          <cell r="A1469" t="str">
            <v>WALTER ARAUJO DE SANTANA</v>
          </cell>
          <cell r="B1469" t="str">
            <v>Casado</v>
          </cell>
          <cell r="C1469" t="str">
            <v>R EDIVALDO PIRES</v>
          </cell>
          <cell r="D1469" t="str">
            <v>Jardim Boa Esperança (Vicente de Carvalh</v>
          </cell>
          <cell r="E1469" t="str">
            <v>GUARUJA</v>
          </cell>
          <cell r="F1469" t="str">
            <v>SP</v>
          </cell>
          <cell r="G1469" t="str">
            <v>416</v>
          </cell>
          <cell r="H1469" t="str">
            <v>CASA 01</v>
          </cell>
          <cell r="I1469" t="str">
            <v>11471-090</v>
          </cell>
          <cell r="J1469" t="str">
            <v>988023561</v>
          </cell>
          <cell r="K1469" t="str">
            <v/>
          </cell>
          <cell r="L1469" t="str">
            <v>Masculino</v>
          </cell>
          <cell r="M1469" t="str">
            <v>Parda</v>
          </cell>
          <cell r="N1469">
            <v>25003</v>
          </cell>
          <cell r="O1469" t="str">
            <v>187414609</v>
          </cell>
          <cell r="P1469" t="str">
            <v>SP</v>
          </cell>
          <cell r="Q1469" t="str">
            <v>SSP</v>
          </cell>
          <cell r="R1469" t="str">
            <v>GUARUJA</v>
          </cell>
        </row>
        <row r="1470">
          <cell r="A1470" t="str">
            <v>ANDERSON CLEITON FERREIRA GALDINO</v>
          </cell>
          <cell r="B1470" t="str">
            <v>Solteiro</v>
          </cell>
          <cell r="C1470" t="str">
            <v>R CARLOS CHIARONI</v>
          </cell>
          <cell r="D1470" t="str">
            <v>Antártica</v>
          </cell>
          <cell r="E1470" t="str">
            <v>PRAIA GRANDE</v>
          </cell>
          <cell r="F1470" t="str">
            <v>SP</v>
          </cell>
          <cell r="G1470" t="str">
            <v>110</v>
          </cell>
          <cell r="H1470" t="str">
            <v/>
          </cell>
          <cell r="I1470" t="str">
            <v>11720-085</v>
          </cell>
          <cell r="J1470" t="str">
            <v>34816516</v>
          </cell>
          <cell r="K1470" t="str">
            <v/>
          </cell>
          <cell r="L1470" t="str">
            <v>Masculino</v>
          </cell>
          <cell r="M1470" t="str">
            <v>Parda</v>
          </cell>
          <cell r="N1470">
            <v>34233</v>
          </cell>
          <cell r="O1470" t="str">
            <v>495583595</v>
          </cell>
          <cell r="P1470" t="str">
            <v>SP</v>
          </cell>
          <cell r="Q1470" t="str">
            <v>SSP</v>
          </cell>
          <cell r="R1470" t="str">
            <v>PRAIA GRANDE</v>
          </cell>
        </row>
        <row r="1471">
          <cell r="A1471" t="str">
            <v>ANDERSON SALES RAMOS</v>
          </cell>
          <cell r="B1471" t="str">
            <v>Casado</v>
          </cell>
          <cell r="C1471" t="str">
            <v>R PROFESSORA HERMINIA I. S. LAQUA</v>
          </cell>
          <cell r="D1471" t="str">
            <v>Conjunto Residencial Humaitá</v>
          </cell>
          <cell r="E1471" t="str">
            <v>SAO VICENTE</v>
          </cell>
          <cell r="F1471" t="str">
            <v>SP</v>
          </cell>
          <cell r="G1471" t="str">
            <v>1284</v>
          </cell>
          <cell r="H1471" t="str">
            <v/>
          </cell>
          <cell r="I1471" t="str">
            <v>11349-250</v>
          </cell>
          <cell r="J1471" t="str">
            <v>997883392</v>
          </cell>
          <cell r="K1471" t="str">
            <v/>
          </cell>
          <cell r="L1471" t="str">
            <v>Masculino</v>
          </cell>
          <cell r="M1471" t="str">
            <v>Parda</v>
          </cell>
          <cell r="N1471">
            <v>32465</v>
          </cell>
          <cell r="O1471" t="str">
            <v>448456072</v>
          </cell>
          <cell r="P1471" t="str">
            <v>SP</v>
          </cell>
          <cell r="Q1471" t="str">
            <v>SSP</v>
          </cell>
          <cell r="R1471" t="str">
            <v>CUBATAO</v>
          </cell>
        </row>
        <row r="1472">
          <cell r="A1472" t="str">
            <v>VICTOR HENRIQUE CORREA DOS SANTOS</v>
          </cell>
          <cell r="B1472" t="str">
            <v>Solteiro</v>
          </cell>
          <cell r="C1472" t="str">
            <v>R AMAZONAS</v>
          </cell>
          <cell r="D1472" t="str">
            <v>Campo Grande</v>
          </cell>
          <cell r="E1472" t="str">
            <v>SANTOS</v>
          </cell>
          <cell r="F1472" t="str">
            <v>SP</v>
          </cell>
          <cell r="G1472" t="str">
            <v>104</v>
          </cell>
          <cell r="H1472" t="str">
            <v>APTO 25</v>
          </cell>
          <cell r="I1472" t="str">
            <v>11075-420</v>
          </cell>
          <cell r="J1472" t="str">
            <v>981906067</v>
          </cell>
          <cell r="K1472" t="str">
            <v/>
          </cell>
          <cell r="L1472" t="str">
            <v>Masculino</v>
          </cell>
          <cell r="M1472" t="str">
            <v>Parda</v>
          </cell>
          <cell r="N1472">
            <v>37355</v>
          </cell>
          <cell r="O1472" t="str">
            <v>535325642</v>
          </cell>
          <cell r="P1472" t="str">
            <v>SP</v>
          </cell>
          <cell r="Q1472" t="str">
            <v>SSP</v>
          </cell>
          <cell r="R1472" t="str">
            <v>SANTOS</v>
          </cell>
        </row>
        <row r="1473">
          <cell r="A1473" t="str">
            <v>LUIZ FELIPE DE ALMEIDA GUGLIELMI JORGE</v>
          </cell>
          <cell r="B1473" t="str">
            <v>Solteiro</v>
          </cell>
          <cell r="C1473" t="str">
            <v>R ALMIRANTE BARROSO</v>
          </cell>
          <cell r="D1473" t="str">
            <v>Campo Grande</v>
          </cell>
          <cell r="E1473" t="str">
            <v>SANTOS</v>
          </cell>
          <cell r="F1473" t="str">
            <v>SP</v>
          </cell>
          <cell r="G1473" t="str">
            <v>169</v>
          </cell>
          <cell r="H1473" t="str">
            <v>APTO 55</v>
          </cell>
          <cell r="I1473" t="str">
            <v>11075-440</v>
          </cell>
          <cell r="J1473" t="str">
            <v>981684700</v>
          </cell>
          <cell r="K1473" t="str">
            <v/>
          </cell>
          <cell r="L1473" t="str">
            <v>Masculino</v>
          </cell>
          <cell r="M1473" t="str">
            <v>Parda</v>
          </cell>
          <cell r="N1473">
            <v>36592</v>
          </cell>
          <cell r="O1473" t="str">
            <v>588563067</v>
          </cell>
          <cell r="P1473" t="str">
            <v>SP</v>
          </cell>
          <cell r="Q1473" t="str">
            <v>SSP</v>
          </cell>
          <cell r="R1473" t="str">
            <v>SANTOS</v>
          </cell>
        </row>
        <row r="1474">
          <cell r="A1474" t="str">
            <v>ALEXANDRE MENDONCA LUTA</v>
          </cell>
          <cell r="B1474" t="str">
            <v>Casado</v>
          </cell>
          <cell r="C1474" t="str">
            <v>AV AUREA GONZALES CONDE</v>
          </cell>
          <cell r="D1474" t="str">
            <v>Vila Aurea</v>
          </cell>
          <cell r="E1474" t="str">
            <v>GUARUJA</v>
          </cell>
          <cell r="F1474" t="str">
            <v>SP</v>
          </cell>
          <cell r="G1474" t="str">
            <v>541</v>
          </cell>
          <cell r="H1474" t="str">
            <v>CASA 21</v>
          </cell>
          <cell r="I1474" t="str">
            <v>11454-540</v>
          </cell>
          <cell r="J1474" t="str">
            <v>974086179</v>
          </cell>
          <cell r="K1474" t="str">
            <v/>
          </cell>
          <cell r="L1474" t="str">
            <v>Masculino</v>
          </cell>
          <cell r="M1474" t="str">
            <v>Parda</v>
          </cell>
          <cell r="N1474">
            <v>33960</v>
          </cell>
          <cell r="O1474" t="str">
            <v>490969355</v>
          </cell>
          <cell r="P1474" t="str">
            <v>SP</v>
          </cell>
          <cell r="Q1474" t="str">
            <v>SSP</v>
          </cell>
          <cell r="R1474" t="str">
            <v>GUARUJA</v>
          </cell>
        </row>
        <row r="1475">
          <cell r="A1475" t="str">
            <v>ANDRE FERNANDO SILVA DE ANDRADE</v>
          </cell>
          <cell r="B1475" t="str">
            <v>União Estável</v>
          </cell>
          <cell r="C1475" t="str">
            <v>R JOAO MARION</v>
          </cell>
          <cell r="D1475" t="str">
            <v>Jardim Casqueiro</v>
          </cell>
          <cell r="E1475" t="str">
            <v>CUBATAO</v>
          </cell>
          <cell r="F1475" t="str">
            <v>SP</v>
          </cell>
          <cell r="G1475" t="str">
            <v>135</v>
          </cell>
          <cell r="H1475" t="str">
            <v/>
          </cell>
          <cell r="I1475" t="str">
            <v>11533-220</v>
          </cell>
          <cell r="J1475" t="str">
            <v>997138536</v>
          </cell>
          <cell r="K1475" t="str">
            <v/>
          </cell>
          <cell r="L1475" t="str">
            <v>Masculino</v>
          </cell>
          <cell r="M1475" t="str">
            <v>Parda</v>
          </cell>
          <cell r="N1475">
            <v>26321</v>
          </cell>
          <cell r="O1475" t="str">
            <v>162465178</v>
          </cell>
          <cell r="P1475" t="str">
            <v>SP</v>
          </cell>
          <cell r="Q1475" t="str">
            <v>SSP</v>
          </cell>
          <cell r="R1475" t="str">
            <v>BAURU</v>
          </cell>
        </row>
        <row r="1476">
          <cell r="A1476" t="str">
            <v>VAGNER AMORIM DOS SANTOS</v>
          </cell>
          <cell r="B1476" t="str">
            <v>Casado</v>
          </cell>
          <cell r="C1476" t="str">
            <v>AV JOAO FIRMINO</v>
          </cell>
          <cell r="D1476" t="str">
            <v>ASSUNCAO</v>
          </cell>
          <cell r="E1476" t="str">
            <v>SAO BERNARDO DO CAMPO</v>
          </cell>
          <cell r="F1476" t="str">
            <v>SP</v>
          </cell>
          <cell r="G1476" t="str">
            <v>1520</v>
          </cell>
          <cell r="H1476" t="str">
            <v>31 BLOCO B - SUN LIFE</v>
          </cell>
          <cell r="I1476" t="str">
            <v>09812-450</v>
          </cell>
          <cell r="J1476" t="str">
            <v>995791974</v>
          </cell>
          <cell r="K1476" t="str">
            <v/>
          </cell>
          <cell r="L1476" t="str">
            <v>Masculino</v>
          </cell>
          <cell r="M1476" t="str">
            <v>Parda</v>
          </cell>
          <cell r="N1476">
            <v>28738</v>
          </cell>
          <cell r="O1476" t="str">
            <v>282118603</v>
          </cell>
          <cell r="P1476" t="str">
            <v>SP</v>
          </cell>
          <cell r="Q1476" t="str">
            <v>SSP</v>
          </cell>
          <cell r="R1476" t="str">
            <v>SAO BERNARDO DO CAMPO</v>
          </cell>
        </row>
        <row r="1477">
          <cell r="A1477" t="str">
            <v>PEDRO ERIK DOS PASSOS CORREIA</v>
          </cell>
          <cell r="B1477" t="str">
            <v>Solteiro</v>
          </cell>
          <cell r="C1477" t="str">
            <v>R JOSE LOPES</v>
          </cell>
          <cell r="D1477" t="str">
            <v>Jardim Costa e Silva</v>
          </cell>
          <cell r="E1477" t="str">
            <v>CUBATAO</v>
          </cell>
          <cell r="F1477" t="str">
            <v>SP</v>
          </cell>
          <cell r="G1477" t="str">
            <v>64</v>
          </cell>
          <cell r="H1477" t="str">
            <v>CASA</v>
          </cell>
          <cell r="I1477" t="str">
            <v>11500-490</v>
          </cell>
          <cell r="J1477" t="str">
            <v>988321636</v>
          </cell>
          <cell r="K1477" t="str">
            <v/>
          </cell>
          <cell r="L1477" t="str">
            <v>Masculino</v>
          </cell>
          <cell r="M1477" t="str">
            <v>Parda</v>
          </cell>
          <cell r="N1477">
            <v>32245</v>
          </cell>
          <cell r="O1477" t="str">
            <v>421759409</v>
          </cell>
          <cell r="P1477" t="str">
            <v>SP</v>
          </cell>
          <cell r="Q1477" t="str">
            <v>SSP</v>
          </cell>
          <cell r="R1477" t="str">
            <v>MACEIO</v>
          </cell>
        </row>
        <row r="1478">
          <cell r="A1478" t="str">
            <v>MILLENY NASCIMENTO DA SILVA</v>
          </cell>
          <cell r="B1478" t="str">
            <v>Solteiro</v>
          </cell>
          <cell r="C1478" t="str">
            <v>R SANTA MARIA</v>
          </cell>
          <cell r="D1478" t="str">
            <v>Chico de Paula</v>
          </cell>
          <cell r="E1478" t="str">
            <v>SANTOS</v>
          </cell>
          <cell r="F1478" t="str">
            <v>SP</v>
          </cell>
          <cell r="G1478" t="str">
            <v>216</v>
          </cell>
          <cell r="H1478" t="str">
            <v/>
          </cell>
          <cell r="I1478" t="str">
            <v>11085-380</v>
          </cell>
          <cell r="J1478" t="str">
            <v>974243982</v>
          </cell>
          <cell r="K1478" t="str">
            <v/>
          </cell>
          <cell r="L1478" t="str">
            <v>Feminino</v>
          </cell>
          <cell r="M1478" t="str">
            <v>Parda</v>
          </cell>
          <cell r="N1478">
            <v>37999</v>
          </cell>
          <cell r="O1478" t="str">
            <v>648588798</v>
          </cell>
          <cell r="P1478" t="str">
            <v>SP</v>
          </cell>
          <cell r="Q1478" t="str">
            <v>SSP</v>
          </cell>
          <cell r="R1478" t="str">
            <v>SAO VICENTE</v>
          </cell>
        </row>
        <row r="1479">
          <cell r="A1479" t="str">
            <v>LEANDRO FELIPE MIRANDA</v>
          </cell>
          <cell r="B1479" t="str">
            <v>Casado</v>
          </cell>
          <cell r="C1479" t="str">
            <v>AV PRINCIPAL</v>
          </cell>
          <cell r="D1479" t="str">
            <v>VILA ESPERANÇA</v>
          </cell>
          <cell r="E1479" t="str">
            <v>CUBATAO</v>
          </cell>
          <cell r="F1479" t="str">
            <v>SP</v>
          </cell>
          <cell r="G1479" t="str">
            <v>2135</v>
          </cell>
          <cell r="H1479" t="str">
            <v>CAM. ESPIRITO SANTO</v>
          </cell>
          <cell r="I1479" t="str">
            <v>11540-200</v>
          </cell>
          <cell r="J1479" t="str">
            <v>98135-7705</v>
          </cell>
          <cell r="K1479" t="str">
            <v/>
          </cell>
          <cell r="L1479" t="str">
            <v>Masculino</v>
          </cell>
          <cell r="M1479" t="str">
            <v>Parda</v>
          </cell>
          <cell r="N1479">
            <v>33835</v>
          </cell>
          <cell r="O1479" t="str">
            <v>489046708</v>
          </cell>
          <cell r="P1479" t="str">
            <v>SP</v>
          </cell>
          <cell r="Q1479" t="str">
            <v>SSP</v>
          </cell>
          <cell r="R1479" t="str">
            <v>CUBATAO</v>
          </cell>
        </row>
        <row r="1480">
          <cell r="A1480" t="str">
            <v>GUILHERME LIMA DE OLIVEIRA</v>
          </cell>
          <cell r="B1480" t="str">
            <v>Solteiro</v>
          </cell>
          <cell r="C1480" t="str">
            <v>R FREI FRANCISCO SAMPAIO</v>
          </cell>
          <cell r="D1480" t="str">
            <v>Embare</v>
          </cell>
          <cell r="E1480" t="str">
            <v>SANTOS</v>
          </cell>
          <cell r="F1480" t="str">
            <v>SP</v>
          </cell>
          <cell r="G1480" t="str">
            <v>30</v>
          </cell>
          <cell r="H1480" t="str">
            <v>APTO 33</v>
          </cell>
          <cell r="I1480" t="str">
            <v>11040-220</v>
          </cell>
          <cell r="J1480" t="str">
            <v>991591230</v>
          </cell>
          <cell r="K1480" t="str">
            <v/>
          </cell>
          <cell r="L1480" t="str">
            <v>Masculino</v>
          </cell>
          <cell r="M1480" t="str">
            <v>Parda</v>
          </cell>
          <cell r="N1480">
            <v>38182</v>
          </cell>
          <cell r="O1480" t="str">
            <v>393572432</v>
          </cell>
          <cell r="P1480" t="str">
            <v>SP</v>
          </cell>
          <cell r="Q1480" t="str">
            <v>SSP</v>
          </cell>
          <cell r="R1480" t="str">
            <v>SANTOS</v>
          </cell>
        </row>
        <row r="1481">
          <cell r="A1481" t="str">
            <v>RAFAELA PEREIRA DOS SANTOS</v>
          </cell>
          <cell r="B1481" t="str">
            <v>Casado</v>
          </cell>
          <cell r="C1481" t="str">
            <v>AV PRESIDENTE WILSON</v>
          </cell>
          <cell r="D1481" t="str">
            <v>Jose Menino</v>
          </cell>
          <cell r="E1481" t="str">
            <v>SANTOS</v>
          </cell>
          <cell r="F1481" t="str">
            <v>SP</v>
          </cell>
          <cell r="G1481" t="str">
            <v>143</v>
          </cell>
          <cell r="H1481" t="str">
            <v/>
          </cell>
          <cell r="I1481" t="str">
            <v>11065-201</v>
          </cell>
          <cell r="J1481" t="str">
            <v>997330709</v>
          </cell>
          <cell r="K1481" t="str">
            <v>981768267</v>
          </cell>
          <cell r="L1481" t="str">
            <v>Feminino</v>
          </cell>
          <cell r="M1481" t="str">
            <v>Parda</v>
          </cell>
          <cell r="N1481">
            <v>34949</v>
          </cell>
          <cell r="O1481" t="str">
            <v>678221765</v>
          </cell>
          <cell r="P1481" t="str">
            <v>SP</v>
          </cell>
          <cell r="Q1481" t="str">
            <v>SSP</v>
          </cell>
          <cell r="R1481" t="str">
            <v>CAMPINA GRANDE</v>
          </cell>
        </row>
        <row r="1482">
          <cell r="A1482" t="str">
            <v>MARIANA ZIMERMAN MILITAO</v>
          </cell>
          <cell r="B1482" t="str">
            <v>Solteiro</v>
          </cell>
          <cell r="C1482" t="str">
            <v>AV PRESIDENTE CASTELO BRANCO</v>
          </cell>
          <cell r="D1482" t="str">
            <v>Caiçara</v>
          </cell>
          <cell r="E1482" t="str">
            <v>PRAIA GRANDE</v>
          </cell>
          <cell r="F1482" t="str">
            <v>SP</v>
          </cell>
          <cell r="G1482" t="str">
            <v>14120</v>
          </cell>
          <cell r="H1482" t="str">
            <v>APTO 203</v>
          </cell>
          <cell r="I1482" t="str">
            <v>11706-500</v>
          </cell>
          <cell r="J1482" t="str">
            <v>99141-2238</v>
          </cell>
          <cell r="K1482" t="str">
            <v/>
          </cell>
          <cell r="L1482" t="str">
            <v>Feminino</v>
          </cell>
          <cell r="M1482" t="str">
            <v>Parda</v>
          </cell>
          <cell r="N1482">
            <v>37047</v>
          </cell>
          <cell r="O1482" t="str">
            <v>563564611</v>
          </cell>
          <cell r="P1482" t="str">
            <v>SP</v>
          </cell>
          <cell r="Q1482" t="str">
            <v>SSP</v>
          </cell>
          <cell r="R1482" t="str">
            <v>SANTOS</v>
          </cell>
        </row>
        <row r="1483">
          <cell r="A1483" t="str">
            <v>MAXIMO RODRIGUES</v>
          </cell>
          <cell r="B1483" t="str">
            <v>Casado</v>
          </cell>
          <cell r="C1483" t="str">
            <v>R MARECHAL RONDON</v>
          </cell>
          <cell r="D1483" t="str">
            <v>Canto do Forte</v>
          </cell>
          <cell r="E1483" t="str">
            <v>PRAIA GRANDE</v>
          </cell>
          <cell r="F1483" t="str">
            <v>SP</v>
          </cell>
          <cell r="G1483" t="str">
            <v>411</v>
          </cell>
          <cell r="H1483" t="str">
            <v/>
          </cell>
          <cell r="I1483" t="str">
            <v>11700-740</v>
          </cell>
          <cell r="J1483" t="str">
            <v>997028395</v>
          </cell>
          <cell r="K1483" t="str">
            <v/>
          </cell>
          <cell r="L1483" t="str">
            <v>Masculino</v>
          </cell>
          <cell r="M1483" t="str">
            <v>Parda</v>
          </cell>
          <cell r="N1483">
            <v>24805</v>
          </cell>
          <cell r="O1483" t="str">
            <v>165866275</v>
          </cell>
          <cell r="P1483" t="str">
            <v>SP</v>
          </cell>
          <cell r="Q1483" t="str">
            <v>SSP</v>
          </cell>
          <cell r="R1483" t="str">
            <v>SANTOS</v>
          </cell>
        </row>
        <row r="1484">
          <cell r="A1484" t="str">
            <v>THIAGO DA SILVA ALMEIDA</v>
          </cell>
          <cell r="B1484" t="str">
            <v>Casado</v>
          </cell>
          <cell r="C1484" t="str">
            <v>R NOSSA SENHORA APARECIDA</v>
          </cell>
          <cell r="D1484" t="str">
            <v>Parque Continental</v>
          </cell>
          <cell r="E1484" t="str">
            <v>SAO VICENTE</v>
          </cell>
          <cell r="F1484" t="str">
            <v>SP</v>
          </cell>
          <cell r="G1484" t="str">
            <v>132</v>
          </cell>
          <cell r="H1484" t="str">
            <v>CA 22</v>
          </cell>
          <cell r="I1484" t="str">
            <v>11348-510</v>
          </cell>
          <cell r="J1484" t="str">
            <v>996498483</v>
          </cell>
          <cell r="K1484" t="str">
            <v>997540205</v>
          </cell>
          <cell r="L1484" t="str">
            <v>Masculino</v>
          </cell>
          <cell r="M1484" t="str">
            <v>Parda</v>
          </cell>
          <cell r="N1484">
            <v>33129</v>
          </cell>
          <cell r="O1484" t="str">
            <v>473130142</v>
          </cell>
          <cell r="P1484" t="str">
            <v>SP</v>
          </cell>
          <cell r="Q1484" t="str">
            <v>SSP</v>
          </cell>
          <cell r="R1484" t="str">
            <v>CUBATAO</v>
          </cell>
        </row>
        <row r="1485">
          <cell r="A1485" t="str">
            <v>EZIO OLIVATO DE SOUZA</v>
          </cell>
          <cell r="B1485" t="str">
            <v>Casado</v>
          </cell>
          <cell r="C1485" t="str">
            <v>R CIDADE DE SANTOS</v>
          </cell>
          <cell r="D1485" t="str">
            <v>Boqueirao</v>
          </cell>
          <cell r="E1485" t="str">
            <v>PRAIA GRANDE</v>
          </cell>
          <cell r="F1485" t="str">
            <v>SP</v>
          </cell>
          <cell r="G1485" t="str">
            <v>377</v>
          </cell>
          <cell r="H1485" t="str">
            <v/>
          </cell>
          <cell r="I1485" t="str">
            <v>11701-280</v>
          </cell>
          <cell r="J1485" t="str">
            <v>997028395</v>
          </cell>
          <cell r="K1485" t="str">
            <v/>
          </cell>
          <cell r="L1485" t="str">
            <v>Masculino</v>
          </cell>
          <cell r="M1485" t="str">
            <v>Parda</v>
          </cell>
          <cell r="N1485">
            <v>25422</v>
          </cell>
          <cell r="O1485" t="str">
            <v>194779555</v>
          </cell>
          <cell r="P1485" t="str">
            <v>SP</v>
          </cell>
          <cell r="Q1485" t="str">
            <v>SSP</v>
          </cell>
          <cell r="R1485" t="str">
            <v>SAO PAULO</v>
          </cell>
        </row>
        <row r="1486">
          <cell r="A1486" t="str">
            <v>ADEILTON DA SILVA BESERRA</v>
          </cell>
          <cell r="B1486" t="str">
            <v>Casado</v>
          </cell>
          <cell r="C1486" t="str">
            <v>R MARTINHA BOLDRINI PIRANI</v>
          </cell>
          <cell r="D1486" t="str">
            <v>Jardim Progresso (Vi</v>
          </cell>
          <cell r="E1486" t="str">
            <v>GUARUJA</v>
          </cell>
          <cell r="F1486" t="str">
            <v>SP</v>
          </cell>
          <cell r="G1486" t="str">
            <v>155</v>
          </cell>
          <cell r="H1486" t="str">
            <v/>
          </cell>
          <cell r="I1486" t="str">
            <v>11453-000</v>
          </cell>
          <cell r="J1486" t="str">
            <v>981458129</v>
          </cell>
          <cell r="K1486" t="str">
            <v>33524022</v>
          </cell>
          <cell r="L1486" t="str">
            <v>Masculino</v>
          </cell>
          <cell r="M1486" t="str">
            <v>Parda</v>
          </cell>
          <cell r="N1486">
            <v>26447</v>
          </cell>
          <cell r="O1486" t="str">
            <v>249571432</v>
          </cell>
          <cell r="P1486" t="str">
            <v>SP</v>
          </cell>
          <cell r="Q1486" t="str">
            <v>SSP</v>
          </cell>
          <cell r="R1486" t="str">
            <v>GUARUJA</v>
          </cell>
        </row>
        <row r="1487">
          <cell r="A1487" t="str">
            <v>LUCIANA CARDOSO GUERISE</v>
          </cell>
          <cell r="B1487" t="str">
            <v>Divorciado</v>
          </cell>
          <cell r="C1487" t="str">
            <v>Q SUPER QUADRA NORTE</v>
          </cell>
          <cell r="D1487" t="str">
            <v>ASA NORTE</v>
          </cell>
          <cell r="E1487" t="str">
            <v>BRASILIA</v>
          </cell>
          <cell r="F1487" t="str">
            <v>DF</v>
          </cell>
          <cell r="G1487" t="str">
            <v>212</v>
          </cell>
          <cell r="H1487" t="str">
            <v>BL K APTO 105</v>
          </cell>
          <cell r="I1487" t="str">
            <v>70864-110</v>
          </cell>
          <cell r="J1487" t="str">
            <v>98306494</v>
          </cell>
          <cell r="K1487" t="str">
            <v/>
          </cell>
          <cell r="L1487" t="str">
            <v>Feminino</v>
          </cell>
          <cell r="M1487" t="str">
            <v>Parda</v>
          </cell>
          <cell r="N1487">
            <v>27015</v>
          </cell>
          <cell r="O1487" t="str">
            <v>4348417</v>
          </cell>
          <cell r="P1487" t="str">
            <v>DF</v>
          </cell>
          <cell r="Q1487" t="str">
            <v>SSP</v>
          </cell>
          <cell r="R1487" t="str">
            <v>SANTOS</v>
          </cell>
        </row>
        <row r="1488">
          <cell r="A1488" t="str">
            <v>ALINNE ALCANTARA CARVALHO</v>
          </cell>
          <cell r="B1488" t="str">
            <v>Solteiro</v>
          </cell>
          <cell r="C1488" t="str">
            <v>R GUARARAPES</v>
          </cell>
          <cell r="D1488" t="str">
            <v>Vila Aurea</v>
          </cell>
          <cell r="E1488" t="str">
            <v>GUARUJA</v>
          </cell>
          <cell r="F1488" t="str">
            <v>SP</v>
          </cell>
          <cell r="G1488" t="str">
            <v>176</v>
          </cell>
          <cell r="H1488" t="str">
            <v/>
          </cell>
          <cell r="I1488" t="str">
            <v>11454-090</v>
          </cell>
          <cell r="J1488" t="str">
            <v>988695877</v>
          </cell>
          <cell r="K1488" t="str">
            <v/>
          </cell>
          <cell r="L1488" t="str">
            <v>Feminino</v>
          </cell>
          <cell r="M1488" t="str">
            <v>Parda</v>
          </cell>
          <cell r="N1488">
            <v>37061</v>
          </cell>
          <cell r="O1488" t="str">
            <v>553957089</v>
          </cell>
          <cell r="P1488" t="str">
            <v>SP</v>
          </cell>
          <cell r="Q1488" t="str">
            <v>SSP</v>
          </cell>
          <cell r="R1488" t="str">
            <v>SANTOS</v>
          </cell>
        </row>
        <row r="1489">
          <cell r="A1489" t="str">
            <v>ROGERIO LUIZ LOPES SALES</v>
          </cell>
          <cell r="B1489" t="str">
            <v>Casado</v>
          </cell>
          <cell r="C1489" t="str">
            <v>TV LELIA</v>
          </cell>
          <cell r="D1489" t="str">
            <v>Aparecida</v>
          </cell>
          <cell r="E1489" t="str">
            <v>SANTOS</v>
          </cell>
          <cell r="F1489" t="str">
            <v>SP</v>
          </cell>
          <cell r="G1489" t="str">
            <v>87</v>
          </cell>
          <cell r="H1489" t="str">
            <v>41 B</v>
          </cell>
          <cell r="I1489" t="str">
            <v>11030-580</v>
          </cell>
          <cell r="J1489" t="str">
            <v>997016972</v>
          </cell>
          <cell r="K1489" t="str">
            <v/>
          </cell>
          <cell r="L1489" t="str">
            <v>Masculino</v>
          </cell>
          <cell r="M1489" t="str">
            <v>Parda</v>
          </cell>
          <cell r="N1489">
            <v>25345</v>
          </cell>
          <cell r="O1489" t="str">
            <v>203221151</v>
          </cell>
          <cell r="P1489" t="str">
            <v>SP</v>
          </cell>
          <cell r="Q1489" t="str">
            <v>SSP</v>
          </cell>
          <cell r="R1489" t="str">
            <v>SANTOS</v>
          </cell>
        </row>
        <row r="1490">
          <cell r="A1490" t="str">
            <v>NATALIA SANTOS REIS DE ANDRADE DA SILVA</v>
          </cell>
          <cell r="B1490" t="str">
            <v>Casado</v>
          </cell>
          <cell r="C1490" t="str">
            <v>R LUIZ SUPLICY</v>
          </cell>
          <cell r="D1490" t="str">
            <v>Gonzaga</v>
          </cell>
          <cell r="E1490" t="str">
            <v>SANTOS</v>
          </cell>
          <cell r="F1490" t="str">
            <v>SP</v>
          </cell>
          <cell r="G1490" t="str">
            <v>42</v>
          </cell>
          <cell r="H1490" t="str">
            <v>BLOCO A APT 34</v>
          </cell>
          <cell r="I1490" t="str">
            <v>11055-330</v>
          </cell>
          <cell r="J1490" t="str">
            <v>993199402</v>
          </cell>
          <cell r="K1490" t="str">
            <v/>
          </cell>
          <cell r="L1490" t="str">
            <v>Feminino</v>
          </cell>
          <cell r="M1490" t="str">
            <v>Parda</v>
          </cell>
          <cell r="N1490">
            <v>32865</v>
          </cell>
          <cell r="O1490" t="str">
            <v>222509192</v>
          </cell>
          <cell r="P1490" t="str">
            <v>RJ</v>
          </cell>
          <cell r="Q1490" t="str">
            <v>SSP</v>
          </cell>
          <cell r="R1490" t="str">
            <v>RIO DE JANEIRO</v>
          </cell>
        </row>
        <row r="1491">
          <cell r="A1491" t="str">
            <v>GABRIELLE SOUZA PREZADO DO NASCIMENTO</v>
          </cell>
          <cell r="B1491" t="str">
            <v>Solteiro</v>
          </cell>
          <cell r="C1491" t="str">
            <v>R  LOWNDES</v>
          </cell>
          <cell r="D1491" t="str">
            <v>Vila Mathias</v>
          </cell>
          <cell r="E1491" t="str">
            <v>SANTOS</v>
          </cell>
          <cell r="F1491" t="str">
            <v>SP</v>
          </cell>
          <cell r="G1491" t="str">
            <v>350</v>
          </cell>
          <cell r="H1491" t="str">
            <v/>
          </cell>
          <cell r="I1491" t="str">
            <v>11015-080</v>
          </cell>
          <cell r="J1491" t="str">
            <v>988072782</v>
          </cell>
          <cell r="K1491" t="str">
            <v/>
          </cell>
          <cell r="L1491" t="str">
            <v>Feminino</v>
          </cell>
          <cell r="M1491" t="str">
            <v>Parda</v>
          </cell>
          <cell r="N1491">
            <v>36866</v>
          </cell>
          <cell r="O1491" t="str">
            <v>566323278</v>
          </cell>
          <cell r="P1491" t="str">
            <v>SP</v>
          </cell>
          <cell r="Q1491" t="str">
            <v>SSP</v>
          </cell>
          <cell r="R1491" t="str">
            <v>SANTOS</v>
          </cell>
        </row>
        <row r="1492">
          <cell r="A1492" t="str">
            <v>THIAGO BICHIAROV CORREA</v>
          </cell>
          <cell r="B1492" t="str">
            <v>Divorciado</v>
          </cell>
          <cell r="C1492" t="str">
            <v>R HERMANN QUINTAS</v>
          </cell>
          <cell r="D1492" t="str">
            <v>Castelo</v>
          </cell>
          <cell r="E1492" t="str">
            <v>SANTOS</v>
          </cell>
          <cell r="F1492" t="str">
            <v>SP</v>
          </cell>
          <cell r="G1492" t="str">
            <v>97</v>
          </cell>
          <cell r="H1492" t="str">
            <v/>
          </cell>
          <cell r="I1492" t="str">
            <v>11087-070</v>
          </cell>
          <cell r="J1492" t="str">
            <v>974225174</v>
          </cell>
          <cell r="K1492" t="str">
            <v/>
          </cell>
          <cell r="L1492" t="str">
            <v>Masculino</v>
          </cell>
          <cell r="M1492" t="str">
            <v>Parda</v>
          </cell>
          <cell r="N1492">
            <v>29760</v>
          </cell>
          <cell r="O1492" t="str">
            <v>307735722</v>
          </cell>
          <cell r="P1492" t="str">
            <v>SP</v>
          </cell>
          <cell r="Q1492" t="str">
            <v>SSP</v>
          </cell>
          <cell r="R1492" t="str">
            <v>SANTOS</v>
          </cell>
        </row>
        <row r="1493">
          <cell r="A1493" t="str">
            <v>MARCELO RODRIGO MORAES DOS SANTOS</v>
          </cell>
          <cell r="B1493" t="str">
            <v>União Estável</v>
          </cell>
          <cell r="C1493" t="str">
            <v>R IGUAPE</v>
          </cell>
          <cell r="D1493" t="str">
            <v>Chico de Paula</v>
          </cell>
          <cell r="E1493" t="str">
            <v>SANTOS</v>
          </cell>
          <cell r="F1493" t="str">
            <v>SP</v>
          </cell>
          <cell r="G1493" t="str">
            <v>525</v>
          </cell>
          <cell r="H1493" t="str">
            <v>BL A APTO 78</v>
          </cell>
          <cell r="I1493" t="str">
            <v>11085-170</v>
          </cell>
          <cell r="J1493" t="str">
            <v>996433218</v>
          </cell>
          <cell r="K1493" t="str">
            <v/>
          </cell>
          <cell r="L1493" t="str">
            <v>Masculino</v>
          </cell>
          <cell r="M1493" t="str">
            <v>Parda</v>
          </cell>
          <cell r="N1493">
            <v>27167</v>
          </cell>
          <cell r="O1493" t="str">
            <v>221158777</v>
          </cell>
          <cell r="P1493" t="str">
            <v>SP</v>
          </cell>
          <cell r="Q1493" t="str">
            <v>SSP</v>
          </cell>
          <cell r="R1493" t="str">
            <v>SANTOS</v>
          </cell>
        </row>
        <row r="1494">
          <cell r="A1494" t="str">
            <v>ANGELICA CARRILO ARENQUE DA SILVA</v>
          </cell>
          <cell r="B1494" t="str">
            <v>Solteiro</v>
          </cell>
          <cell r="C1494" t="str">
            <v>AV DOUTOR EPITACIO PESSOA</v>
          </cell>
          <cell r="D1494" t="str">
            <v>Boqueirao</v>
          </cell>
          <cell r="E1494" t="str">
            <v>SANTOS</v>
          </cell>
          <cell r="F1494" t="str">
            <v>SP</v>
          </cell>
          <cell r="G1494" t="str">
            <v>114</v>
          </cell>
          <cell r="H1494" t="str">
            <v>APTO 102A</v>
          </cell>
          <cell r="I1494" t="str">
            <v>11045-300</v>
          </cell>
          <cell r="J1494" t="str">
            <v>991626318</v>
          </cell>
          <cell r="K1494" t="str">
            <v/>
          </cell>
          <cell r="L1494" t="str">
            <v>Feminino</v>
          </cell>
          <cell r="M1494" t="str">
            <v>Parda</v>
          </cell>
          <cell r="N1494">
            <v>36871</v>
          </cell>
          <cell r="O1494" t="str">
            <v>55842255X</v>
          </cell>
          <cell r="P1494" t="str">
            <v>SP</v>
          </cell>
          <cell r="Q1494" t="str">
            <v>SSP</v>
          </cell>
          <cell r="R1494" t="str">
            <v>SAO PAULO</v>
          </cell>
        </row>
        <row r="1495">
          <cell r="A1495" t="str">
            <v>BRENDA DE PONTES</v>
          </cell>
          <cell r="B1495" t="str">
            <v>Solteiro</v>
          </cell>
          <cell r="C1495" t="str">
            <v>R JOSE LINS DO REGO</v>
          </cell>
          <cell r="D1495" t="str">
            <v>Vila Cascatinha</v>
          </cell>
          <cell r="E1495" t="str">
            <v>SAO VICENTE</v>
          </cell>
          <cell r="F1495" t="str">
            <v>SP</v>
          </cell>
          <cell r="G1495" t="str">
            <v>27</v>
          </cell>
          <cell r="H1495" t="str">
            <v>APTO 07</v>
          </cell>
          <cell r="I1495" t="str">
            <v>11370-030</v>
          </cell>
          <cell r="J1495" t="str">
            <v>992087369</v>
          </cell>
          <cell r="K1495" t="str">
            <v/>
          </cell>
          <cell r="L1495" t="str">
            <v>Feminino</v>
          </cell>
          <cell r="M1495" t="str">
            <v>Parda</v>
          </cell>
          <cell r="N1495">
            <v>36843</v>
          </cell>
          <cell r="O1495" t="str">
            <v>37775674X</v>
          </cell>
          <cell r="P1495" t="str">
            <v>SP</v>
          </cell>
          <cell r="Q1495" t="str">
            <v>SSP</v>
          </cell>
          <cell r="R1495" t="str">
            <v>SANTOS</v>
          </cell>
        </row>
        <row r="1496">
          <cell r="A1496" t="str">
            <v>FELIPE CARVALHO DE OLIVEIRA</v>
          </cell>
          <cell r="B1496" t="str">
            <v>Solteiro</v>
          </cell>
          <cell r="C1496" t="str">
            <v>R VINTE E OITO DE SETEMBRO</v>
          </cell>
          <cell r="D1496" t="str">
            <v>Macuco</v>
          </cell>
          <cell r="E1496" t="str">
            <v>SANTOS</v>
          </cell>
          <cell r="F1496" t="str">
            <v>SP</v>
          </cell>
          <cell r="G1496" t="str">
            <v>271</v>
          </cell>
          <cell r="H1496" t="str">
            <v>APTO 6</v>
          </cell>
          <cell r="I1496" t="str">
            <v>11015-110</v>
          </cell>
          <cell r="J1496" t="str">
            <v>988026429</v>
          </cell>
          <cell r="K1496" t="str">
            <v/>
          </cell>
          <cell r="L1496" t="str">
            <v>Masculino</v>
          </cell>
          <cell r="M1496" t="str">
            <v>Parda</v>
          </cell>
          <cell r="N1496">
            <v>36689</v>
          </cell>
          <cell r="O1496" t="str">
            <v>393572092</v>
          </cell>
          <cell r="P1496" t="str">
            <v>SP</v>
          </cell>
          <cell r="Q1496" t="str">
            <v>SSP</v>
          </cell>
          <cell r="R1496" t="str">
            <v>SANTOS</v>
          </cell>
        </row>
        <row r="1497">
          <cell r="A1497" t="str">
            <v>JOSE ROBERTO LAURIA JUNIOR</v>
          </cell>
          <cell r="B1497" t="str">
            <v>Solteiro</v>
          </cell>
          <cell r="C1497" t="str">
            <v>R NAPOLEAO LAUREANO</v>
          </cell>
          <cell r="D1497" t="str">
            <v>Marapé</v>
          </cell>
          <cell r="E1497" t="str">
            <v>SANTOS</v>
          </cell>
          <cell r="F1497" t="str">
            <v>SP</v>
          </cell>
          <cell r="G1497" t="str">
            <v>124</v>
          </cell>
          <cell r="H1497" t="str">
            <v>APTO 14</v>
          </cell>
          <cell r="I1497" t="str">
            <v>11070-141</v>
          </cell>
          <cell r="J1497" t="str">
            <v>991770574</v>
          </cell>
          <cell r="K1497" t="str">
            <v/>
          </cell>
          <cell r="L1497" t="str">
            <v>Masculino</v>
          </cell>
          <cell r="M1497" t="str">
            <v>Parda</v>
          </cell>
          <cell r="N1497">
            <v>29771</v>
          </cell>
          <cell r="O1497" t="str">
            <v>301299481</v>
          </cell>
          <cell r="P1497" t="str">
            <v>SP</v>
          </cell>
          <cell r="Q1497" t="str">
            <v>SSP</v>
          </cell>
          <cell r="R1497" t="str">
            <v>SANTOS</v>
          </cell>
        </row>
        <row r="1498">
          <cell r="A1498" t="str">
            <v>RODRIGO AIACH BRAIT</v>
          </cell>
          <cell r="B1498" t="str">
            <v>Solteiro</v>
          </cell>
          <cell r="C1498" t="str">
            <v>R DONA ANALIA FRANCO</v>
          </cell>
          <cell r="D1498" t="str">
            <v>Aparecida</v>
          </cell>
          <cell r="E1498" t="str">
            <v>SANTOS</v>
          </cell>
          <cell r="F1498" t="str">
            <v>SP</v>
          </cell>
          <cell r="G1498" t="str">
            <v>7</v>
          </cell>
          <cell r="H1498" t="str">
            <v>APTO 701</v>
          </cell>
          <cell r="I1498" t="str">
            <v>11040-070</v>
          </cell>
          <cell r="J1498" t="str">
            <v>999528235</v>
          </cell>
          <cell r="K1498" t="str">
            <v/>
          </cell>
          <cell r="L1498" t="str">
            <v>Masculino</v>
          </cell>
          <cell r="M1498" t="str">
            <v>Parda</v>
          </cell>
          <cell r="N1498">
            <v>29494</v>
          </cell>
          <cell r="O1498" t="str">
            <v>306302147</v>
          </cell>
          <cell r="P1498" t="str">
            <v>SP</v>
          </cell>
          <cell r="Q1498" t="str">
            <v>SSP</v>
          </cell>
          <cell r="R1498" t="str">
            <v>SANTO ANDRE</v>
          </cell>
        </row>
        <row r="1499">
          <cell r="A1499" t="str">
            <v>LYNDCEY NASCIMENTO DE ASSIS ROSA</v>
          </cell>
          <cell r="B1499" t="str">
            <v>Solteiro</v>
          </cell>
          <cell r="C1499" t="str">
            <v>R DOUTOR MANOEL TORINHO</v>
          </cell>
          <cell r="D1499" t="str">
            <v>Macuco</v>
          </cell>
          <cell r="E1499" t="str">
            <v>SANTOS</v>
          </cell>
          <cell r="F1499" t="str">
            <v>SP</v>
          </cell>
          <cell r="G1499" t="str">
            <v>401</v>
          </cell>
          <cell r="H1499" t="str">
            <v>APTO 107</v>
          </cell>
          <cell r="I1499" t="str">
            <v>11010-031</v>
          </cell>
          <cell r="J1499" t="str">
            <v>996910299</v>
          </cell>
          <cell r="K1499" t="str">
            <v/>
          </cell>
          <cell r="L1499" t="str">
            <v>Feminino</v>
          </cell>
          <cell r="M1499" t="str">
            <v>Parda</v>
          </cell>
          <cell r="N1499">
            <v>37639</v>
          </cell>
          <cell r="O1499" t="str">
            <v>555371049</v>
          </cell>
          <cell r="P1499" t="str">
            <v>SP</v>
          </cell>
          <cell r="Q1499" t="str">
            <v>SSP</v>
          </cell>
          <cell r="R1499" t="str">
            <v>SANTOS</v>
          </cell>
        </row>
        <row r="1500">
          <cell r="A1500" t="str">
            <v>GABRIEL SAVEDRA PONTES</v>
          </cell>
          <cell r="B1500" t="str">
            <v>Casado</v>
          </cell>
          <cell r="C1500" t="str">
            <v>R DOUTOR GUILHERME GUINLE</v>
          </cell>
          <cell r="D1500" t="str">
            <v>Sítio Paecara (Vicente de Carvalho)</v>
          </cell>
          <cell r="E1500" t="str">
            <v>GUARUJA</v>
          </cell>
          <cell r="F1500" t="str">
            <v>SP</v>
          </cell>
          <cell r="G1500" t="str">
            <v>841</v>
          </cell>
          <cell r="H1500" t="str">
            <v/>
          </cell>
          <cell r="I1500" t="str">
            <v>11450-260</v>
          </cell>
          <cell r="J1500" t="str">
            <v>982137043</v>
          </cell>
          <cell r="K1500" t="str">
            <v/>
          </cell>
          <cell r="L1500" t="str">
            <v>Masculino</v>
          </cell>
          <cell r="M1500" t="str">
            <v>Parda</v>
          </cell>
          <cell r="N1500">
            <v>35640</v>
          </cell>
          <cell r="O1500" t="str">
            <v>557590127</v>
          </cell>
          <cell r="P1500" t="str">
            <v>SP</v>
          </cell>
          <cell r="Q1500" t="str">
            <v>SSP</v>
          </cell>
          <cell r="R1500" t="str">
            <v>GUARUJA</v>
          </cell>
        </row>
        <row r="1501">
          <cell r="A1501" t="str">
            <v>ANDERSON RIBEIRO DOS SANTOS</v>
          </cell>
          <cell r="B1501" t="str">
            <v>Casado</v>
          </cell>
          <cell r="C1501" t="str">
            <v>R PROFESSOR EDMUNDO DE MENDONCA</v>
          </cell>
          <cell r="D1501" t="str">
            <v>Castelo</v>
          </cell>
          <cell r="E1501" t="str">
            <v>SANTOS</v>
          </cell>
          <cell r="F1501" t="str">
            <v>SP</v>
          </cell>
          <cell r="G1501" t="str">
            <v>282</v>
          </cell>
          <cell r="H1501" t="str">
            <v/>
          </cell>
          <cell r="I1501" t="str">
            <v>11088-080</v>
          </cell>
          <cell r="J1501" t="str">
            <v>997563407</v>
          </cell>
          <cell r="K1501" t="str">
            <v/>
          </cell>
          <cell r="L1501" t="str">
            <v>Masculino</v>
          </cell>
          <cell r="M1501" t="str">
            <v>Parda</v>
          </cell>
          <cell r="N1501">
            <v>29084</v>
          </cell>
          <cell r="O1501" t="str">
            <v>352663479</v>
          </cell>
          <cell r="P1501" t="str">
            <v>SP</v>
          </cell>
          <cell r="Q1501" t="str">
            <v>SSP</v>
          </cell>
          <cell r="R1501" t="str">
            <v>SAO VICENTE</v>
          </cell>
        </row>
        <row r="1502">
          <cell r="A1502" t="str">
            <v>CLAUDIO LOPES DOS SANTOS JUNIOR</v>
          </cell>
          <cell r="B1502" t="str">
            <v>Casado</v>
          </cell>
          <cell r="C1502" t="str">
            <v>R AMBROSINA AMELIA C. TOLENTINO</v>
          </cell>
          <cell r="D1502" t="str">
            <v>Castelo</v>
          </cell>
          <cell r="E1502" t="str">
            <v>SANTOS</v>
          </cell>
          <cell r="F1502" t="str">
            <v>SP</v>
          </cell>
          <cell r="G1502" t="str">
            <v>37</v>
          </cell>
          <cell r="H1502" t="str">
            <v>BLOCO C4 APTO 33</v>
          </cell>
          <cell r="I1502" t="str">
            <v>11087-300</v>
          </cell>
          <cell r="J1502" t="str">
            <v>991855251</v>
          </cell>
          <cell r="K1502" t="str">
            <v>991938441</v>
          </cell>
          <cell r="L1502" t="str">
            <v>Masculino</v>
          </cell>
          <cell r="M1502" t="str">
            <v>Parda</v>
          </cell>
          <cell r="N1502">
            <v>27789</v>
          </cell>
          <cell r="O1502" t="str">
            <v>27234302X</v>
          </cell>
          <cell r="P1502" t="str">
            <v>SP</v>
          </cell>
          <cell r="Q1502" t="str">
            <v>SSP</v>
          </cell>
          <cell r="R1502" t="str">
            <v>SANTOS</v>
          </cell>
        </row>
        <row r="1503">
          <cell r="A1503" t="str">
            <v>CARLOS MESSIAS DE SOUZA</v>
          </cell>
          <cell r="B1503" t="str">
            <v>Casado</v>
          </cell>
          <cell r="C1503" t="str">
            <v>AV MARECHAL JUAREZ TAVORA</v>
          </cell>
          <cell r="D1503" t="str">
            <v>Cidade Náutica</v>
          </cell>
          <cell r="E1503" t="str">
            <v>SAO VICENTE</v>
          </cell>
          <cell r="F1503" t="str">
            <v>SP</v>
          </cell>
          <cell r="G1503" t="str">
            <v>1355</v>
          </cell>
          <cell r="H1503" t="str">
            <v>APTO 9</v>
          </cell>
          <cell r="I1503" t="str">
            <v>11355-160</v>
          </cell>
          <cell r="J1503" t="str">
            <v>991163992</v>
          </cell>
          <cell r="K1503" t="str">
            <v/>
          </cell>
          <cell r="L1503" t="str">
            <v>Masculino</v>
          </cell>
          <cell r="M1503" t="str">
            <v>Parda</v>
          </cell>
          <cell r="N1503">
            <v>27612</v>
          </cell>
          <cell r="O1503" t="str">
            <v>286013642</v>
          </cell>
          <cell r="P1503" t="str">
            <v>SP</v>
          </cell>
          <cell r="Q1503" t="str">
            <v>SSP</v>
          </cell>
          <cell r="R1503" t="str">
            <v>SAO VICENTE</v>
          </cell>
        </row>
        <row r="1504">
          <cell r="A1504" t="str">
            <v>BRUNO DE ARAUJO RODRIGUES DE SOUZA</v>
          </cell>
          <cell r="B1504" t="str">
            <v>Casado</v>
          </cell>
          <cell r="C1504" t="str">
            <v>R EDVALDO PIRES</v>
          </cell>
          <cell r="D1504" t="str">
            <v>Jardim Boa Esperança (Vicente de Carvalh</v>
          </cell>
          <cell r="E1504" t="str">
            <v>GUARUJA</v>
          </cell>
          <cell r="F1504" t="str">
            <v>SP</v>
          </cell>
          <cell r="G1504" t="str">
            <v>239</v>
          </cell>
          <cell r="H1504" t="str">
            <v/>
          </cell>
          <cell r="I1504" t="str">
            <v>11471-090</v>
          </cell>
          <cell r="J1504" t="str">
            <v>981321229</v>
          </cell>
          <cell r="K1504" t="str">
            <v>988735778</v>
          </cell>
          <cell r="L1504" t="str">
            <v>Masculino</v>
          </cell>
          <cell r="M1504" t="str">
            <v>Parda</v>
          </cell>
          <cell r="N1504">
            <v>32656</v>
          </cell>
          <cell r="O1504" t="str">
            <v>486544916</v>
          </cell>
          <cell r="P1504" t="str">
            <v>SP</v>
          </cell>
          <cell r="Q1504" t="str">
            <v>SSP</v>
          </cell>
          <cell r="R1504" t="str">
            <v>GUARUJA</v>
          </cell>
        </row>
        <row r="1505">
          <cell r="A1505" t="str">
            <v>CRISTIANO DE LIMA OLIVEIRA</v>
          </cell>
          <cell r="B1505" t="str">
            <v>Solteiro</v>
          </cell>
          <cell r="C1505" t="str">
            <v>R DOS GIRASSOIS</v>
          </cell>
          <cell r="D1505" t="str">
            <v>Vila Natal</v>
          </cell>
          <cell r="E1505" t="str">
            <v>CUBATAO</v>
          </cell>
          <cell r="F1505" t="str">
            <v>SP</v>
          </cell>
          <cell r="G1505" t="str">
            <v>200</v>
          </cell>
          <cell r="H1505" t="str">
            <v>CASA 1</v>
          </cell>
          <cell r="I1505" t="str">
            <v>11538-030</v>
          </cell>
          <cell r="J1505" t="str">
            <v>988687308</v>
          </cell>
          <cell r="K1505" t="str">
            <v>3361-9807</v>
          </cell>
          <cell r="L1505" t="str">
            <v>Masculino</v>
          </cell>
          <cell r="M1505" t="str">
            <v>Parda</v>
          </cell>
          <cell r="N1505">
            <v>34796</v>
          </cell>
          <cell r="O1505" t="str">
            <v>345093884</v>
          </cell>
          <cell r="P1505" t="str">
            <v>SP</v>
          </cell>
          <cell r="Q1505" t="str">
            <v>SSP</v>
          </cell>
          <cell r="R1505" t="str">
            <v>SANTOS</v>
          </cell>
        </row>
        <row r="1506">
          <cell r="A1506" t="str">
            <v>CARLOS DOS SANTOS GOMES JUNIOR</v>
          </cell>
          <cell r="B1506" t="str">
            <v>Casado</v>
          </cell>
          <cell r="C1506" t="str">
            <v>R RIO DE JANEIRO</v>
          </cell>
          <cell r="D1506" t="str">
            <v>Vila Nova</v>
          </cell>
          <cell r="E1506" t="str">
            <v>CUBATAO</v>
          </cell>
          <cell r="F1506" t="str">
            <v>SP</v>
          </cell>
          <cell r="G1506" t="str">
            <v>1015</v>
          </cell>
          <cell r="H1506" t="str">
            <v>APTO 11</v>
          </cell>
          <cell r="I1506" t="str">
            <v>11520-050</v>
          </cell>
          <cell r="J1506" t="str">
            <v>981274433</v>
          </cell>
          <cell r="K1506" t="str">
            <v/>
          </cell>
          <cell r="L1506" t="str">
            <v>Masculino</v>
          </cell>
          <cell r="M1506" t="str">
            <v>Parda</v>
          </cell>
          <cell r="N1506">
            <v>33631</v>
          </cell>
          <cell r="O1506" t="str">
            <v>333724811</v>
          </cell>
          <cell r="P1506" t="str">
            <v>SP</v>
          </cell>
          <cell r="Q1506" t="str">
            <v>SSP</v>
          </cell>
          <cell r="R1506" t="str">
            <v>SANTOS</v>
          </cell>
        </row>
        <row r="1507">
          <cell r="A1507" t="str">
            <v>WAGNER TOMAS DA SILVA</v>
          </cell>
          <cell r="B1507" t="str">
            <v>União Estável</v>
          </cell>
          <cell r="C1507" t="str">
            <v>TV ALVARO MARAN</v>
          </cell>
          <cell r="D1507" t="str">
            <v>Morrinhos</v>
          </cell>
          <cell r="E1507" t="str">
            <v>GUARUJA</v>
          </cell>
          <cell r="F1507" t="str">
            <v>SP</v>
          </cell>
          <cell r="G1507" t="str">
            <v>55</v>
          </cell>
          <cell r="H1507" t="str">
            <v>CASA 2</v>
          </cell>
          <cell r="I1507" t="str">
            <v>11495-044</v>
          </cell>
          <cell r="J1507" t="str">
            <v>974079661</v>
          </cell>
          <cell r="K1507" t="str">
            <v>33846698</v>
          </cell>
          <cell r="L1507" t="str">
            <v>Masculino</v>
          </cell>
          <cell r="M1507" t="str">
            <v>Parda</v>
          </cell>
          <cell r="N1507">
            <v>30787</v>
          </cell>
          <cell r="O1507" t="str">
            <v>279928646</v>
          </cell>
          <cell r="P1507" t="str">
            <v>SP</v>
          </cell>
          <cell r="Q1507" t="str">
            <v>SSP</v>
          </cell>
          <cell r="R1507" t="str">
            <v>CUBATAO</v>
          </cell>
        </row>
        <row r="1508">
          <cell r="A1508" t="str">
            <v>JAILSON MOREIRA SOARES</v>
          </cell>
          <cell r="B1508" t="str">
            <v>Solteiro</v>
          </cell>
          <cell r="C1508" t="str">
            <v>R VEREADOR ORLANDO FALCAO</v>
          </cell>
          <cell r="D1508" t="str">
            <v>Enseada</v>
          </cell>
          <cell r="E1508" t="str">
            <v>GUARUJA</v>
          </cell>
          <cell r="F1508" t="str">
            <v>SP</v>
          </cell>
          <cell r="G1508" t="str">
            <v>187</v>
          </cell>
          <cell r="H1508" t="str">
            <v>CASA 10</v>
          </cell>
          <cell r="I1508" t="str">
            <v>11440-310</v>
          </cell>
          <cell r="J1508" t="str">
            <v>988340648</v>
          </cell>
          <cell r="K1508" t="str">
            <v>33427266</v>
          </cell>
          <cell r="L1508" t="str">
            <v>Masculino</v>
          </cell>
          <cell r="M1508" t="str">
            <v>Parda</v>
          </cell>
          <cell r="N1508">
            <v>29332</v>
          </cell>
          <cell r="O1508" t="str">
            <v>309454177</v>
          </cell>
          <cell r="P1508" t="str">
            <v>SP</v>
          </cell>
          <cell r="Q1508" t="str">
            <v>SSP</v>
          </cell>
          <cell r="R1508" t="str">
            <v>GUARUJA</v>
          </cell>
        </row>
        <row r="1509">
          <cell r="A1509" t="str">
            <v>GILMAR SILVA SANTOS</v>
          </cell>
          <cell r="B1509" t="str">
            <v>Casado</v>
          </cell>
          <cell r="C1509" t="str">
            <v>TV E DA JAIR ROLDAO</v>
          </cell>
          <cell r="D1509" t="str">
            <v>Quietude</v>
          </cell>
          <cell r="E1509" t="str">
            <v>PRAIA GRANDE</v>
          </cell>
          <cell r="F1509" t="str">
            <v>SP</v>
          </cell>
          <cell r="G1509" t="str">
            <v>110</v>
          </cell>
          <cell r="H1509" t="str">
            <v/>
          </cell>
          <cell r="I1509" t="str">
            <v>11700-000</v>
          </cell>
          <cell r="J1509" t="str">
            <v>991565839</v>
          </cell>
          <cell r="K1509" t="str">
            <v>34727506</v>
          </cell>
          <cell r="L1509" t="str">
            <v>Masculino</v>
          </cell>
          <cell r="M1509" t="str">
            <v>Parda</v>
          </cell>
          <cell r="N1509">
            <v>25838</v>
          </cell>
          <cell r="O1509" t="str">
            <v>397071395</v>
          </cell>
          <cell r="P1509" t="str">
            <v>SP</v>
          </cell>
          <cell r="Q1509" t="str">
            <v>SSP</v>
          </cell>
          <cell r="R1509" t="str">
            <v>ILHEUS</v>
          </cell>
        </row>
        <row r="1510">
          <cell r="A1510" t="str">
            <v>FABIO ANDRADE DE OLIVEIRA</v>
          </cell>
          <cell r="B1510" t="str">
            <v>Divorciado</v>
          </cell>
          <cell r="C1510" t="str">
            <v>R DEPUTADO EMILIO JUSTO</v>
          </cell>
          <cell r="D1510" t="str">
            <v>Conjunto Residencial Humaitá</v>
          </cell>
          <cell r="E1510" t="str">
            <v>SAO VICENTE</v>
          </cell>
          <cell r="F1510" t="str">
            <v>SP</v>
          </cell>
          <cell r="G1510" t="str">
            <v>181</v>
          </cell>
          <cell r="H1510" t="str">
            <v>CONJUNTO RESIDENCIAL</v>
          </cell>
          <cell r="I1510" t="str">
            <v>11349-030</v>
          </cell>
          <cell r="J1510" t="str">
            <v>974093705</v>
          </cell>
          <cell r="K1510" t="str">
            <v>34061765</v>
          </cell>
          <cell r="L1510" t="str">
            <v>Masculino</v>
          </cell>
          <cell r="M1510" t="str">
            <v>Parda</v>
          </cell>
          <cell r="N1510">
            <v>28226</v>
          </cell>
          <cell r="O1510" t="str">
            <v>274947572</v>
          </cell>
          <cell r="P1510" t="str">
            <v>SP</v>
          </cell>
          <cell r="Q1510" t="str">
            <v>SSP</v>
          </cell>
          <cell r="R1510" t="str">
            <v>SANTOS</v>
          </cell>
        </row>
        <row r="1511">
          <cell r="A1511" t="str">
            <v>MARCELO MENA DE CASTRO LANCHA</v>
          </cell>
          <cell r="B1511" t="str">
            <v>Solteiro</v>
          </cell>
          <cell r="C1511" t="str">
            <v>R TORRES HOMEM</v>
          </cell>
          <cell r="D1511" t="str">
            <v>Embare</v>
          </cell>
          <cell r="E1511" t="str">
            <v>SANTOS</v>
          </cell>
          <cell r="F1511" t="str">
            <v>SP</v>
          </cell>
          <cell r="G1511" t="str">
            <v>675</v>
          </cell>
          <cell r="H1511" t="str">
            <v>APTO 23</v>
          </cell>
          <cell r="I1511" t="str">
            <v>11025-021</v>
          </cell>
          <cell r="J1511" t="str">
            <v>981072308</v>
          </cell>
          <cell r="K1511" t="str">
            <v/>
          </cell>
          <cell r="L1511" t="str">
            <v>Masculino</v>
          </cell>
          <cell r="M1511" t="str">
            <v>Parda</v>
          </cell>
          <cell r="N1511">
            <v>36471</v>
          </cell>
          <cell r="O1511" t="str">
            <v>581137073</v>
          </cell>
          <cell r="P1511" t="str">
            <v>SP</v>
          </cell>
          <cell r="Q1511" t="str">
            <v>SSP</v>
          </cell>
          <cell r="R1511" t="str">
            <v>SANTOS</v>
          </cell>
        </row>
        <row r="1512">
          <cell r="A1512" t="str">
            <v>DIEGO DE SOUZA PIMENTA</v>
          </cell>
          <cell r="B1512" t="str">
            <v>Solteiro</v>
          </cell>
          <cell r="C1512" t="str">
            <v>AV VEREADOR VALTER MELARATO</v>
          </cell>
          <cell r="D1512" t="str">
            <v>Conjunto Residencial Humaitá</v>
          </cell>
          <cell r="E1512" t="str">
            <v>SAO VICENTE</v>
          </cell>
          <cell r="F1512" t="str">
            <v>SP</v>
          </cell>
          <cell r="G1512" t="str">
            <v>447</v>
          </cell>
          <cell r="H1512" t="str">
            <v/>
          </cell>
          <cell r="I1512" t="str">
            <v>11349-300</v>
          </cell>
          <cell r="J1512" t="str">
            <v>991427801</v>
          </cell>
          <cell r="K1512" t="str">
            <v>34064022</v>
          </cell>
          <cell r="L1512" t="str">
            <v>Masculino</v>
          </cell>
          <cell r="M1512" t="str">
            <v>Parda</v>
          </cell>
          <cell r="N1512">
            <v>33699</v>
          </cell>
          <cell r="O1512" t="str">
            <v>481717249</v>
          </cell>
          <cell r="P1512" t="str">
            <v>SP</v>
          </cell>
          <cell r="Q1512" t="str">
            <v>SSP</v>
          </cell>
          <cell r="R1512" t="str">
            <v>SANTOS</v>
          </cell>
        </row>
        <row r="1513">
          <cell r="A1513" t="str">
            <v>VINICIUS DA CORTE AYRES RODRIGUES</v>
          </cell>
          <cell r="B1513" t="str">
            <v>Solteiro</v>
          </cell>
          <cell r="C1513" t="str">
            <v>R JOSE BONIFACIO</v>
          </cell>
          <cell r="D1513" t="str">
            <v>Centro</v>
          </cell>
          <cell r="E1513" t="str">
            <v>SAO VICENTE</v>
          </cell>
          <cell r="F1513" t="str">
            <v>SP</v>
          </cell>
          <cell r="G1513" t="str">
            <v>147</v>
          </cell>
          <cell r="H1513" t="str">
            <v>APTO 210</v>
          </cell>
          <cell r="I1513" t="str">
            <v>11310-931</v>
          </cell>
          <cell r="J1513" t="str">
            <v>997045069</v>
          </cell>
          <cell r="K1513" t="str">
            <v/>
          </cell>
          <cell r="L1513" t="str">
            <v>Masculino</v>
          </cell>
          <cell r="M1513" t="str">
            <v>Parda</v>
          </cell>
          <cell r="N1513">
            <v>37844</v>
          </cell>
          <cell r="O1513" t="str">
            <v>601490988</v>
          </cell>
          <cell r="P1513" t="str">
            <v>SP</v>
          </cell>
          <cell r="Q1513" t="str">
            <v>SSP</v>
          </cell>
          <cell r="R1513" t="str">
            <v>SANTOS</v>
          </cell>
        </row>
        <row r="1514">
          <cell r="A1514" t="str">
            <v>ANNA BEATRIZ COSTA TAVARES ALENCAR</v>
          </cell>
          <cell r="B1514" t="str">
            <v>Solteiro</v>
          </cell>
          <cell r="C1514" t="str">
            <v>R VERA</v>
          </cell>
          <cell r="D1514" t="str">
            <v>Jardim Santana (Vice</v>
          </cell>
          <cell r="E1514" t="str">
            <v>GUARUJA</v>
          </cell>
          <cell r="F1514" t="str">
            <v>SP</v>
          </cell>
          <cell r="G1514" t="str">
            <v>28</v>
          </cell>
          <cell r="H1514" t="str">
            <v>CONDOMINNIO GEILSON</v>
          </cell>
          <cell r="I1514" t="str">
            <v>11470-140</v>
          </cell>
          <cell r="J1514" t="str">
            <v>988373517</v>
          </cell>
          <cell r="K1514" t="str">
            <v/>
          </cell>
          <cell r="L1514" t="str">
            <v>Feminino</v>
          </cell>
          <cell r="M1514" t="str">
            <v>Parda</v>
          </cell>
          <cell r="N1514">
            <v>37752</v>
          </cell>
          <cell r="O1514" t="str">
            <v>530562716</v>
          </cell>
          <cell r="P1514" t="str">
            <v>SP</v>
          </cell>
          <cell r="Q1514" t="str">
            <v>SSP</v>
          </cell>
          <cell r="R1514" t="str">
            <v>SANTOS</v>
          </cell>
        </row>
        <row r="1515">
          <cell r="A1515" t="str">
            <v>FELIPE RIGORINI PEDRO</v>
          </cell>
          <cell r="B1515" t="str">
            <v>Solteiro</v>
          </cell>
          <cell r="C1515" t="str">
            <v>R VISCONDE DO RIO BRANCO</v>
          </cell>
          <cell r="D1515" t="str">
            <v>Centro</v>
          </cell>
          <cell r="E1515" t="str">
            <v>SAO VICENTE</v>
          </cell>
          <cell r="F1515" t="str">
            <v>SP</v>
          </cell>
          <cell r="G1515" t="str">
            <v>303</v>
          </cell>
          <cell r="H1515" t="str">
            <v>APTO 312</v>
          </cell>
          <cell r="I1515" t="str">
            <v>11320-030</v>
          </cell>
          <cell r="J1515" t="str">
            <v>997462874</v>
          </cell>
          <cell r="K1515" t="str">
            <v/>
          </cell>
          <cell r="L1515" t="str">
            <v>Masculino</v>
          </cell>
          <cell r="M1515" t="str">
            <v>Parda</v>
          </cell>
          <cell r="N1515">
            <v>38041</v>
          </cell>
          <cell r="O1515" t="str">
            <v>630608404</v>
          </cell>
          <cell r="P1515" t="str">
            <v>SP</v>
          </cell>
          <cell r="Q1515" t="str">
            <v>SSP</v>
          </cell>
          <cell r="R1515" t="str">
            <v>SANTOS</v>
          </cell>
        </row>
        <row r="1516">
          <cell r="A1516" t="str">
            <v>GIOVANNA SANTOS DE OLIVEIRA</v>
          </cell>
          <cell r="B1516" t="str">
            <v>Solteiro</v>
          </cell>
          <cell r="C1516" t="str">
            <v>R FLAMINIO LEVY</v>
          </cell>
          <cell r="D1516" t="str">
            <v>Saboo</v>
          </cell>
          <cell r="E1516" t="str">
            <v>SANTOS</v>
          </cell>
          <cell r="F1516" t="str">
            <v>SP</v>
          </cell>
          <cell r="G1516" t="str">
            <v>81</v>
          </cell>
          <cell r="H1516" t="str">
            <v>BLOCO 2 APTO 62</v>
          </cell>
          <cell r="I1516" t="str">
            <v>11085-080</v>
          </cell>
          <cell r="J1516" t="str">
            <v>974081093</v>
          </cell>
          <cell r="K1516" t="str">
            <v/>
          </cell>
          <cell r="L1516" t="str">
            <v>Feminino</v>
          </cell>
          <cell r="M1516" t="str">
            <v>Parda</v>
          </cell>
          <cell r="N1516">
            <v>38277</v>
          </cell>
          <cell r="O1516" t="str">
            <v>523811640</v>
          </cell>
          <cell r="P1516" t="str">
            <v>SP</v>
          </cell>
          <cell r="Q1516" t="str">
            <v>SSP</v>
          </cell>
          <cell r="R1516" t="str">
            <v>SANTOS</v>
          </cell>
        </row>
        <row r="1517">
          <cell r="A1517" t="str">
            <v>YASMIN GUEDES SOARES</v>
          </cell>
          <cell r="B1517" t="str">
            <v>Solteiro</v>
          </cell>
          <cell r="C1517" t="str">
            <v>R WALT DISNEY</v>
          </cell>
          <cell r="D1517" t="str">
            <v>VILA NOSSA SENHORA DE FÁTIMA</v>
          </cell>
          <cell r="E1517" t="str">
            <v>SAO VICENTE</v>
          </cell>
          <cell r="F1517" t="str">
            <v>SP</v>
          </cell>
          <cell r="G1517" t="str">
            <v>236</v>
          </cell>
          <cell r="H1517" t="str">
            <v/>
          </cell>
          <cell r="I1517" t="str">
            <v>11355-010</v>
          </cell>
          <cell r="J1517" t="str">
            <v>974110537</v>
          </cell>
          <cell r="K1517" t="str">
            <v/>
          </cell>
          <cell r="L1517" t="str">
            <v>Feminino</v>
          </cell>
          <cell r="M1517" t="str">
            <v>Parda</v>
          </cell>
          <cell r="N1517">
            <v>35485</v>
          </cell>
          <cell r="O1517" t="str">
            <v>457744467</v>
          </cell>
          <cell r="P1517" t="str">
            <v>SP</v>
          </cell>
          <cell r="Q1517" t="str">
            <v>SSP</v>
          </cell>
          <cell r="R1517" t="str">
            <v>SANTOS</v>
          </cell>
        </row>
        <row r="1518">
          <cell r="A1518" t="str">
            <v>MANFRED MULLER</v>
          </cell>
          <cell r="B1518" t="str">
            <v>Solteiro</v>
          </cell>
          <cell r="C1518" t="str">
            <v>R ENGUAGUACU</v>
          </cell>
          <cell r="D1518" t="str">
            <v>Ponta da Praia</v>
          </cell>
          <cell r="E1518" t="str">
            <v>SANTOS</v>
          </cell>
          <cell r="F1518" t="str">
            <v>SP</v>
          </cell>
          <cell r="G1518" t="str">
            <v>96</v>
          </cell>
          <cell r="H1518" t="str">
            <v>APTO 3</v>
          </cell>
          <cell r="I1518" t="str">
            <v>11035-070</v>
          </cell>
          <cell r="J1518" t="str">
            <v>991172796</v>
          </cell>
          <cell r="K1518" t="str">
            <v/>
          </cell>
          <cell r="L1518" t="str">
            <v>Masculino</v>
          </cell>
          <cell r="M1518" t="str">
            <v>Parda</v>
          </cell>
          <cell r="N1518">
            <v>37634</v>
          </cell>
          <cell r="O1518" t="str">
            <v>58917132X</v>
          </cell>
          <cell r="P1518" t="str">
            <v>SP</v>
          </cell>
          <cell r="Q1518" t="str">
            <v>SSP</v>
          </cell>
          <cell r="R1518" t="str">
            <v>SANTOS</v>
          </cell>
        </row>
        <row r="1519">
          <cell r="A1519" t="str">
            <v>PEDRO HENRIQUE DE OLIVEIRA MORAIS</v>
          </cell>
          <cell r="B1519" t="str">
            <v>Solteiro</v>
          </cell>
          <cell r="C1519" t="str">
            <v>R SATURNINO DE BRITO</v>
          </cell>
          <cell r="D1519" t="str">
            <v>Marapé</v>
          </cell>
          <cell r="E1519" t="str">
            <v>SANTOS</v>
          </cell>
          <cell r="F1519" t="str">
            <v>SP</v>
          </cell>
          <cell r="G1519" t="str">
            <v>76</v>
          </cell>
          <cell r="H1519" t="str">
            <v>FUNDOS</v>
          </cell>
          <cell r="I1519" t="str">
            <v>11070-000</v>
          </cell>
          <cell r="J1519" t="str">
            <v>981969570</v>
          </cell>
          <cell r="K1519" t="str">
            <v/>
          </cell>
          <cell r="L1519" t="str">
            <v>Masculino</v>
          </cell>
          <cell r="M1519" t="str">
            <v>Parda</v>
          </cell>
          <cell r="N1519">
            <v>37529</v>
          </cell>
          <cell r="O1519" t="str">
            <v>565430920</v>
          </cell>
          <cell r="P1519" t="str">
            <v>SP</v>
          </cell>
          <cell r="Q1519" t="str">
            <v>SSP</v>
          </cell>
          <cell r="R1519" t="str">
            <v>PRAIA GRANDE</v>
          </cell>
        </row>
        <row r="1520">
          <cell r="A1520" t="str">
            <v>SIMONIE BARBETTA MARTINEZ</v>
          </cell>
          <cell r="B1520" t="str">
            <v>Casado</v>
          </cell>
          <cell r="C1520" t="str">
            <v>R BAHIA</v>
          </cell>
          <cell r="D1520" t="str">
            <v>Canto do Forte</v>
          </cell>
          <cell r="E1520" t="str">
            <v>PRAIA GRANDE</v>
          </cell>
          <cell r="F1520" t="str">
            <v>SP</v>
          </cell>
          <cell r="G1520" t="str">
            <v>275</v>
          </cell>
          <cell r="H1520" t="str">
            <v>APTO 61</v>
          </cell>
          <cell r="I1520" t="str">
            <v>11700-280</v>
          </cell>
          <cell r="J1520" t="str">
            <v>982194585</v>
          </cell>
          <cell r="K1520" t="str">
            <v/>
          </cell>
          <cell r="L1520" t="str">
            <v>Feminino</v>
          </cell>
          <cell r="M1520" t="str">
            <v>Parda</v>
          </cell>
          <cell r="N1520">
            <v>29112</v>
          </cell>
          <cell r="O1520" t="str">
            <v>537090940</v>
          </cell>
          <cell r="P1520" t="str">
            <v>SP</v>
          </cell>
          <cell r="Q1520" t="str">
            <v>SSP</v>
          </cell>
          <cell r="R1520" t="str">
            <v>MARIALVA</v>
          </cell>
        </row>
        <row r="1521">
          <cell r="A1521" t="str">
            <v>RAISSA MENDES ARAUJO</v>
          </cell>
          <cell r="B1521" t="str">
            <v>Solteiro</v>
          </cell>
          <cell r="C1521" t="str">
            <v>R LIBERDADE</v>
          </cell>
          <cell r="D1521" t="str">
            <v>Embare</v>
          </cell>
          <cell r="E1521" t="str">
            <v>SANTOS</v>
          </cell>
          <cell r="F1521" t="str">
            <v>SP</v>
          </cell>
          <cell r="G1521" t="str">
            <v>508</v>
          </cell>
          <cell r="H1521" t="str">
            <v/>
          </cell>
          <cell r="I1521" t="str">
            <v>11025-031</v>
          </cell>
          <cell r="J1521" t="str">
            <v>997460969</v>
          </cell>
          <cell r="K1521" t="str">
            <v/>
          </cell>
          <cell r="L1521" t="str">
            <v>Feminino</v>
          </cell>
          <cell r="M1521" t="str">
            <v>Parda</v>
          </cell>
          <cell r="N1521">
            <v>37414</v>
          </cell>
          <cell r="O1521" t="str">
            <v>538769919</v>
          </cell>
          <cell r="P1521" t="str">
            <v>SP</v>
          </cell>
          <cell r="Q1521" t="str">
            <v>SSP</v>
          </cell>
          <cell r="R1521" t="str">
            <v>SANTOS</v>
          </cell>
        </row>
        <row r="1522">
          <cell r="A1522" t="str">
            <v>LUANE VITORIA DOS SANTOS ALMEIDA</v>
          </cell>
          <cell r="B1522" t="str">
            <v>Solteiro</v>
          </cell>
          <cell r="C1522" t="str">
            <v>R LUIZ CUSTODIO DO VALLE</v>
          </cell>
          <cell r="D1522" t="str">
            <v>Balneario Praia do Pernambuco</v>
          </cell>
          <cell r="E1522" t="str">
            <v>GUARUJA</v>
          </cell>
          <cell r="F1522" t="str">
            <v>SP</v>
          </cell>
          <cell r="G1522" t="str">
            <v>44</v>
          </cell>
          <cell r="H1522" t="str">
            <v/>
          </cell>
          <cell r="I1522" t="str">
            <v>11444-680</v>
          </cell>
          <cell r="J1522" t="str">
            <v>988168030</v>
          </cell>
          <cell r="K1522" t="str">
            <v/>
          </cell>
          <cell r="L1522" t="str">
            <v>Feminino</v>
          </cell>
          <cell r="M1522" t="str">
            <v>Parda</v>
          </cell>
          <cell r="N1522">
            <v>37341</v>
          </cell>
          <cell r="O1522" t="str">
            <v>620345676</v>
          </cell>
          <cell r="P1522" t="str">
            <v>SP</v>
          </cell>
          <cell r="Q1522" t="str">
            <v>SSP</v>
          </cell>
          <cell r="R1522" t="str">
            <v>GUARUJA</v>
          </cell>
        </row>
        <row r="1523">
          <cell r="A1523" t="str">
            <v>JULIA DOS SANTOS COSTA</v>
          </cell>
          <cell r="B1523" t="str">
            <v>Solteiro</v>
          </cell>
          <cell r="C1523" t="str">
            <v>R GUIMARAES ROSA</v>
          </cell>
          <cell r="D1523" t="str">
            <v>Vila Assuncao</v>
          </cell>
          <cell r="E1523" t="str">
            <v>PRAIA GRANDE</v>
          </cell>
          <cell r="F1523" t="str">
            <v>SP</v>
          </cell>
          <cell r="G1523" t="str">
            <v>902</v>
          </cell>
          <cell r="H1523" t="str">
            <v>APTO 104</v>
          </cell>
          <cell r="I1523" t="str">
            <v>11704-160</v>
          </cell>
          <cell r="J1523" t="str">
            <v>996548161</v>
          </cell>
          <cell r="K1523" t="str">
            <v/>
          </cell>
          <cell r="L1523" t="str">
            <v>Feminino</v>
          </cell>
          <cell r="M1523" t="str">
            <v>Parda</v>
          </cell>
          <cell r="N1523">
            <v>37647</v>
          </cell>
          <cell r="O1523" t="str">
            <v>562335596</v>
          </cell>
          <cell r="P1523" t="str">
            <v>SP</v>
          </cell>
          <cell r="Q1523" t="str">
            <v>SSP</v>
          </cell>
          <cell r="R1523" t="str">
            <v>SANTOS</v>
          </cell>
        </row>
        <row r="1524">
          <cell r="A1524" t="str">
            <v>LEONARDO TOLEDO DE AZEVEDO CORDEIRO</v>
          </cell>
          <cell r="B1524" t="str">
            <v>Solteiro</v>
          </cell>
          <cell r="C1524" t="str">
            <v>R JITARO ITANO</v>
          </cell>
          <cell r="D1524" t="str">
            <v>Balneario Praia do Perequê</v>
          </cell>
          <cell r="E1524" t="str">
            <v>GUARUJA</v>
          </cell>
          <cell r="F1524" t="str">
            <v>SP</v>
          </cell>
          <cell r="G1524" t="str">
            <v>153</v>
          </cell>
          <cell r="H1524" t="str">
            <v/>
          </cell>
          <cell r="I1524" t="str">
            <v>11446-370</v>
          </cell>
          <cell r="J1524" t="str">
            <v>997943019</v>
          </cell>
          <cell r="K1524" t="str">
            <v/>
          </cell>
          <cell r="L1524" t="str">
            <v>Masculino</v>
          </cell>
          <cell r="M1524" t="str">
            <v>Parda</v>
          </cell>
          <cell r="N1524">
            <v>36879</v>
          </cell>
          <cell r="O1524" t="str">
            <v>544958408</v>
          </cell>
          <cell r="P1524" t="str">
            <v>SP</v>
          </cell>
          <cell r="Q1524" t="str">
            <v>SSP</v>
          </cell>
          <cell r="R1524" t="str">
            <v>SAO PAULO</v>
          </cell>
        </row>
        <row r="1525">
          <cell r="A1525" t="str">
            <v>ANDRE FILIPE CARVALHO GALDINO DE AGUIAR</v>
          </cell>
          <cell r="B1525" t="str">
            <v>Solteiro</v>
          </cell>
          <cell r="C1525" t="str">
            <v>R ONZE</v>
          </cell>
          <cell r="D1525" t="str">
            <v>Jardim Quarentenario</v>
          </cell>
          <cell r="E1525" t="str">
            <v>SAO VICENTE</v>
          </cell>
          <cell r="F1525" t="str">
            <v>SP</v>
          </cell>
          <cell r="G1525" t="str">
            <v>237</v>
          </cell>
          <cell r="H1525" t="str">
            <v/>
          </cell>
          <cell r="I1525" t="str">
            <v>11347-510</v>
          </cell>
          <cell r="J1525" t="str">
            <v>997264824</v>
          </cell>
          <cell r="K1525" t="str">
            <v/>
          </cell>
          <cell r="L1525" t="str">
            <v>Masculino</v>
          </cell>
          <cell r="M1525" t="str">
            <v>Parda</v>
          </cell>
          <cell r="N1525">
            <v>36639</v>
          </cell>
          <cell r="O1525" t="str">
            <v>560350922</v>
          </cell>
          <cell r="P1525" t="str">
            <v>SP</v>
          </cell>
          <cell r="Q1525" t="str">
            <v>SSP</v>
          </cell>
          <cell r="R1525" t="str">
            <v>SAO VICENTE</v>
          </cell>
        </row>
        <row r="1526">
          <cell r="A1526" t="str">
            <v>GABRIELA HECKLER</v>
          </cell>
          <cell r="B1526" t="str">
            <v>Casado</v>
          </cell>
          <cell r="C1526" t="str">
            <v>R DOUTOR EGYDIO MARTINS</v>
          </cell>
          <cell r="D1526" t="str">
            <v>Ponta da Praia</v>
          </cell>
          <cell r="E1526" t="str">
            <v>SANTOS</v>
          </cell>
          <cell r="F1526" t="str">
            <v>SP</v>
          </cell>
          <cell r="G1526" t="str">
            <v>18</v>
          </cell>
          <cell r="H1526" t="str">
            <v/>
          </cell>
          <cell r="I1526" t="str">
            <v>11030-161</v>
          </cell>
          <cell r="J1526" t="str">
            <v>991045678</v>
          </cell>
          <cell r="K1526" t="str">
            <v/>
          </cell>
          <cell r="L1526" t="str">
            <v>Feminino</v>
          </cell>
          <cell r="M1526" t="str">
            <v>Parda</v>
          </cell>
          <cell r="N1526">
            <v>30714</v>
          </cell>
          <cell r="O1526" t="str">
            <v>4302362</v>
          </cell>
          <cell r="P1526" t="str">
            <v>SC</v>
          </cell>
          <cell r="Q1526" t="str">
            <v>SSP</v>
          </cell>
          <cell r="R1526" t="str">
            <v>ITAPIRANGA</v>
          </cell>
        </row>
        <row r="1527">
          <cell r="A1527" t="str">
            <v>LUANA MARZOCHI JORGE DA SILVA</v>
          </cell>
          <cell r="B1527" t="str">
            <v>Solteiro</v>
          </cell>
          <cell r="C1527" t="str">
            <v>R BEIRA RIO</v>
          </cell>
          <cell r="D1527" t="str">
            <v>Vila Jockei Clube</v>
          </cell>
          <cell r="E1527" t="str">
            <v>SAO VICENTE</v>
          </cell>
          <cell r="F1527" t="str">
            <v>SP</v>
          </cell>
          <cell r="G1527" t="str">
            <v>16</v>
          </cell>
          <cell r="H1527" t="str">
            <v/>
          </cell>
          <cell r="I1527" t="str">
            <v>11360-530</v>
          </cell>
          <cell r="J1527" t="str">
            <v>981548733</v>
          </cell>
          <cell r="K1527" t="str">
            <v/>
          </cell>
          <cell r="L1527" t="str">
            <v>Feminino</v>
          </cell>
          <cell r="M1527" t="str">
            <v>Parda</v>
          </cell>
          <cell r="N1527">
            <v>37996</v>
          </cell>
          <cell r="O1527" t="str">
            <v>592189697</v>
          </cell>
          <cell r="P1527" t="str">
            <v>SP</v>
          </cell>
          <cell r="Q1527" t="str">
            <v>SSP</v>
          </cell>
          <cell r="R1527" t="str">
            <v>SANTOS</v>
          </cell>
        </row>
        <row r="1528">
          <cell r="A1528" t="str">
            <v>FERNANDA ROSENDO ARIAS</v>
          </cell>
          <cell r="B1528" t="str">
            <v>Solteiro</v>
          </cell>
          <cell r="C1528" t="str">
            <v>AV BARTOLOMEU DE GUSMAO</v>
          </cell>
          <cell r="D1528" t="str">
            <v>Embaré</v>
          </cell>
          <cell r="E1528" t="str">
            <v>SANTOS</v>
          </cell>
          <cell r="F1528" t="str">
            <v>SP</v>
          </cell>
          <cell r="G1528" t="str">
            <v>46</v>
          </cell>
          <cell r="H1528" t="str">
            <v>BLOCO B APTO 1001</v>
          </cell>
          <cell r="I1528" t="str">
            <v>11045-400</v>
          </cell>
          <cell r="J1528" t="str">
            <v>34262753</v>
          </cell>
          <cell r="K1528" t="str">
            <v/>
          </cell>
          <cell r="L1528" t="str">
            <v>Feminino</v>
          </cell>
          <cell r="M1528" t="str">
            <v>Parda</v>
          </cell>
          <cell r="N1528">
            <v>35907</v>
          </cell>
          <cell r="O1528" t="str">
            <v>503738700</v>
          </cell>
          <cell r="P1528" t="str">
            <v>SP</v>
          </cell>
          <cell r="Q1528" t="str">
            <v>SSP</v>
          </cell>
          <cell r="R1528" t="str">
            <v>MONGAGUA</v>
          </cell>
        </row>
        <row r="1529">
          <cell r="A1529" t="str">
            <v>RAFAEL GOMES LOPES DA SILVA</v>
          </cell>
          <cell r="B1529" t="str">
            <v>União Estável</v>
          </cell>
          <cell r="C1529" t="str">
            <v>R QUINZE DE NOVEMBRO</v>
          </cell>
          <cell r="D1529" t="str">
            <v>Vila Nova</v>
          </cell>
          <cell r="E1529" t="str">
            <v>CUBATAO</v>
          </cell>
          <cell r="F1529" t="str">
            <v>SP</v>
          </cell>
          <cell r="G1529" t="str">
            <v>161</v>
          </cell>
          <cell r="H1529" t="str">
            <v>APTO 1</v>
          </cell>
          <cell r="I1529" t="str">
            <v>11520-010</v>
          </cell>
          <cell r="J1529" t="str">
            <v>998021336</v>
          </cell>
          <cell r="K1529" t="str">
            <v/>
          </cell>
          <cell r="L1529" t="str">
            <v>Masculino</v>
          </cell>
          <cell r="M1529" t="str">
            <v>Parda</v>
          </cell>
          <cell r="N1529">
            <v>33484</v>
          </cell>
          <cell r="O1529" t="str">
            <v>352695468</v>
          </cell>
          <cell r="P1529" t="str">
            <v>SP</v>
          </cell>
          <cell r="Q1529" t="str">
            <v>SSP</v>
          </cell>
          <cell r="R1529" t="str">
            <v>CUBATAO</v>
          </cell>
        </row>
        <row r="1530">
          <cell r="A1530" t="str">
            <v>RONALDO GOMES DA SILVA</v>
          </cell>
          <cell r="B1530" t="str">
            <v>Casado</v>
          </cell>
          <cell r="C1530" t="str">
            <v>R HERCULANO FRANCISCO</v>
          </cell>
          <cell r="D1530" t="str">
            <v>Jardim Quarentenario</v>
          </cell>
          <cell r="E1530" t="str">
            <v>SAO VICENTE</v>
          </cell>
          <cell r="F1530" t="str">
            <v>SP</v>
          </cell>
          <cell r="G1530" t="str">
            <v>360</v>
          </cell>
          <cell r="H1530" t="str">
            <v>CASA A</v>
          </cell>
          <cell r="I1530" t="str">
            <v>11347-505</v>
          </cell>
          <cell r="J1530" t="str">
            <v>996556576</v>
          </cell>
          <cell r="K1530" t="str">
            <v/>
          </cell>
          <cell r="L1530" t="str">
            <v>Masculino</v>
          </cell>
          <cell r="M1530" t="str">
            <v>Parda</v>
          </cell>
          <cell r="N1530">
            <v>30249</v>
          </cell>
          <cell r="O1530" t="str">
            <v>420553782</v>
          </cell>
          <cell r="P1530" t="str">
            <v>SP</v>
          </cell>
          <cell r="Q1530" t="str">
            <v>SSP</v>
          </cell>
          <cell r="R1530" t="str">
            <v>SANTOS</v>
          </cell>
        </row>
        <row r="1531">
          <cell r="A1531" t="str">
            <v>THALES ALVES TALVARES</v>
          </cell>
          <cell r="B1531" t="str">
            <v>Solteiro</v>
          </cell>
          <cell r="C1531" t="str">
            <v>R JAU</v>
          </cell>
          <cell r="D1531" t="str">
            <v>Boqueirão</v>
          </cell>
          <cell r="E1531" t="str">
            <v>PRAIA GRANDE</v>
          </cell>
          <cell r="F1531" t="str">
            <v>SP</v>
          </cell>
          <cell r="G1531" t="str">
            <v>1242</v>
          </cell>
          <cell r="H1531" t="str">
            <v>APTO 17</v>
          </cell>
          <cell r="I1531" t="str">
            <v>11701-190</v>
          </cell>
          <cell r="J1531" t="str">
            <v/>
          </cell>
          <cell r="K1531" t="str">
            <v/>
          </cell>
          <cell r="L1531" t="str">
            <v>Masculino</v>
          </cell>
          <cell r="M1531" t="str">
            <v>Parda</v>
          </cell>
          <cell r="N1531">
            <v>36975</v>
          </cell>
          <cell r="O1531" t="str">
            <v>524897785</v>
          </cell>
          <cell r="P1531" t="str">
            <v>SP</v>
          </cell>
          <cell r="Q1531" t="str">
            <v>SSP</v>
          </cell>
          <cell r="R1531" t="str">
            <v>SANTOS</v>
          </cell>
        </row>
        <row r="1532">
          <cell r="A1532" t="str">
            <v>CLAUDIO PIMENTEL LOPEZ</v>
          </cell>
          <cell r="B1532" t="str">
            <v>Solteiro</v>
          </cell>
          <cell r="C1532" t="str">
            <v>R  PERO LOPOS DE SOUZA</v>
          </cell>
          <cell r="D1532" t="str">
            <v>Vila Valença</v>
          </cell>
          <cell r="E1532" t="str">
            <v>SAO VICENTE</v>
          </cell>
          <cell r="F1532" t="str">
            <v>SP</v>
          </cell>
          <cell r="G1532" t="str">
            <v>218</v>
          </cell>
          <cell r="H1532" t="str">
            <v>APTO 24</v>
          </cell>
          <cell r="I1532" t="str">
            <v>11390-130</v>
          </cell>
          <cell r="J1532" t="str">
            <v/>
          </cell>
          <cell r="K1532" t="str">
            <v/>
          </cell>
          <cell r="L1532" t="str">
            <v>Masculino</v>
          </cell>
          <cell r="M1532" t="str">
            <v>Parda</v>
          </cell>
          <cell r="N1532">
            <v>28600</v>
          </cell>
          <cell r="O1532" t="str">
            <v>289630496</v>
          </cell>
          <cell r="P1532" t="str">
            <v>SP</v>
          </cell>
          <cell r="Q1532" t="str">
            <v>SSP</v>
          </cell>
          <cell r="R1532" t="str">
            <v>SAO VICENTE</v>
          </cell>
        </row>
        <row r="1533">
          <cell r="A1533" t="str">
            <v>WILLIAN CAMARGO DA SILVA</v>
          </cell>
          <cell r="B1533" t="str">
            <v>Solteiro</v>
          </cell>
          <cell r="C1533" t="str">
            <v>R COMENDADOR MARTINS</v>
          </cell>
          <cell r="D1533" t="str">
            <v>Vila Mathias</v>
          </cell>
          <cell r="E1533" t="str">
            <v>SANTOS</v>
          </cell>
          <cell r="F1533" t="str">
            <v>SP</v>
          </cell>
          <cell r="G1533" t="str">
            <v>349</v>
          </cell>
          <cell r="H1533" t="str">
            <v>APTO ZELADOR</v>
          </cell>
          <cell r="I1533" t="str">
            <v>11015-531</v>
          </cell>
          <cell r="J1533" t="str">
            <v/>
          </cell>
          <cell r="K1533" t="str">
            <v/>
          </cell>
          <cell r="L1533" t="str">
            <v>Masculino</v>
          </cell>
          <cell r="M1533" t="str">
            <v>Parda</v>
          </cell>
          <cell r="N1533">
            <v>34367</v>
          </cell>
          <cell r="O1533" t="str">
            <v>40679912X</v>
          </cell>
          <cell r="P1533" t="str">
            <v>SP</v>
          </cell>
          <cell r="Q1533" t="str">
            <v>SSP</v>
          </cell>
          <cell r="R1533" t="str">
            <v>SAO PAULO</v>
          </cell>
        </row>
        <row r="1534">
          <cell r="A1534" t="str">
            <v>MAILSON DA SILVA ALCANTARA</v>
          </cell>
          <cell r="B1534" t="str">
            <v>Casado</v>
          </cell>
          <cell r="C1534" t="str">
            <v>R PIRAMBOIA</v>
          </cell>
          <cell r="D1534" t="str">
            <v>Jardim Enseada</v>
          </cell>
          <cell r="E1534" t="str">
            <v>GUARUJA</v>
          </cell>
          <cell r="F1534" t="str">
            <v>SP</v>
          </cell>
          <cell r="G1534" t="str">
            <v>55</v>
          </cell>
          <cell r="H1534" t="str">
            <v>CASA 1</v>
          </cell>
          <cell r="I1534" t="str">
            <v>11443-320</v>
          </cell>
          <cell r="J1534" t="str">
            <v/>
          </cell>
          <cell r="K1534" t="str">
            <v/>
          </cell>
          <cell r="L1534" t="str">
            <v>Masculino</v>
          </cell>
          <cell r="M1534" t="str">
            <v>Parda</v>
          </cell>
          <cell r="N1534">
            <v>30301</v>
          </cell>
          <cell r="O1534" t="str">
            <v>521981256</v>
          </cell>
          <cell r="P1534" t="str">
            <v>SP</v>
          </cell>
          <cell r="Q1534" t="str">
            <v>SSP</v>
          </cell>
          <cell r="R1534" t="str">
            <v>SENTO SE</v>
          </cell>
        </row>
        <row r="1535">
          <cell r="A1535" t="str">
            <v>JULIANO VIEIRA DE OLIVEIRA</v>
          </cell>
          <cell r="B1535" t="str">
            <v>Casado</v>
          </cell>
          <cell r="C1535" t="str">
            <v>R CIDADE DE GUARUJA</v>
          </cell>
          <cell r="D1535" t="str">
            <v>Vila Cascatinha</v>
          </cell>
          <cell r="E1535" t="str">
            <v>SAO VICENTE</v>
          </cell>
          <cell r="F1535" t="str">
            <v>SP</v>
          </cell>
          <cell r="G1535" t="str">
            <v>119</v>
          </cell>
          <cell r="H1535" t="str">
            <v>APTO 23</v>
          </cell>
          <cell r="I1535" t="str">
            <v>11370-130</v>
          </cell>
          <cell r="J1535" t="str">
            <v/>
          </cell>
          <cell r="K1535" t="str">
            <v/>
          </cell>
          <cell r="L1535" t="str">
            <v>Masculino</v>
          </cell>
          <cell r="M1535" t="str">
            <v>Parda</v>
          </cell>
          <cell r="N1535">
            <v>31615</v>
          </cell>
          <cell r="O1535" t="str">
            <v>438910928</v>
          </cell>
          <cell r="P1535" t="str">
            <v>SP</v>
          </cell>
          <cell r="Q1535" t="str">
            <v>SSP</v>
          </cell>
          <cell r="R1535" t="str">
            <v>SANTOS</v>
          </cell>
        </row>
        <row r="1536">
          <cell r="A1536" t="str">
            <v>MAIKE WILLIAM ALVES LEITE</v>
          </cell>
          <cell r="B1536" t="str">
            <v>Divorciado</v>
          </cell>
          <cell r="C1536" t="str">
            <v>R JOSE MARQUES</v>
          </cell>
          <cell r="D1536" t="str">
            <v>Vila Santa Rosa</v>
          </cell>
          <cell r="E1536" t="str">
            <v>GUARUJA</v>
          </cell>
          <cell r="F1536" t="str">
            <v>SP</v>
          </cell>
          <cell r="G1536" t="str">
            <v>544</v>
          </cell>
          <cell r="H1536" t="str">
            <v/>
          </cell>
          <cell r="I1536" t="str">
            <v>11431-020</v>
          </cell>
          <cell r="J1536" t="str">
            <v/>
          </cell>
          <cell r="K1536" t="str">
            <v/>
          </cell>
          <cell r="L1536" t="str">
            <v>Masculino</v>
          </cell>
          <cell r="M1536" t="str">
            <v>Parda</v>
          </cell>
          <cell r="N1536">
            <v>31790</v>
          </cell>
          <cell r="O1536" t="str">
            <v>443914758</v>
          </cell>
          <cell r="P1536" t="str">
            <v>SP</v>
          </cell>
          <cell r="Q1536" t="str">
            <v>SSP</v>
          </cell>
          <cell r="R1536" t="str">
            <v>SANTOS</v>
          </cell>
        </row>
        <row r="1537">
          <cell r="A1537" t="str">
            <v>LEONARDO PEREIRA DE SOUZA</v>
          </cell>
          <cell r="B1537" t="str">
            <v>Solteiro</v>
          </cell>
          <cell r="C1537" t="str">
            <v>AV ANANIAS BATISTA MENEZES</v>
          </cell>
          <cell r="D1537" t="str">
            <v>Anhanguera</v>
          </cell>
          <cell r="E1537" t="str">
            <v>PRAIA GRANDE</v>
          </cell>
          <cell r="F1537" t="str">
            <v>SP</v>
          </cell>
          <cell r="G1537" t="str">
            <v>455</v>
          </cell>
          <cell r="H1537" t="str">
            <v>CASA 2</v>
          </cell>
          <cell r="I1537" t="str">
            <v>11717-290</v>
          </cell>
          <cell r="J1537" t="str">
            <v/>
          </cell>
          <cell r="K1537" t="str">
            <v/>
          </cell>
          <cell r="L1537" t="str">
            <v>Masculino</v>
          </cell>
          <cell r="M1537" t="str">
            <v>Parda</v>
          </cell>
          <cell r="N1537">
            <v>35989</v>
          </cell>
          <cell r="O1537" t="str">
            <v>381416781</v>
          </cell>
          <cell r="P1537" t="str">
            <v>SP</v>
          </cell>
          <cell r="Q1537" t="str">
            <v>SSP</v>
          </cell>
          <cell r="R1537" t="str">
            <v>SAO PAULO</v>
          </cell>
        </row>
        <row r="1538">
          <cell r="A1538" t="str">
            <v>ANDRE LUIZ DA SILVA</v>
          </cell>
          <cell r="B1538" t="str">
            <v>Casado</v>
          </cell>
          <cell r="C1538" t="str">
            <v>R RENATA CAMARA AGONDI</v>
          </cell>
          <cell r="D1538" t="str">
            <v>Saboo</v>
          </cell>
          <cell r="E1538" t="str">
            <v>SANTOS</v>
          </cell>
          <cell r="F1538" t="str">
            <v>SP</v>
          </cell>
          <cell r="G1538" t="str">
            <v>55</v>
          </cell>
          <cell r="H1538" t="str">
            <v>APTO 2</v>
          </cell>
          <cell r="I1538" t="str">
            <v>11085-070</v>
          </cell>
          <cell r="J1538" t="str">
            <v/>
          </cell>
          <cell r="K1538" t="str">
            <v/>
          </cell>
          <cell r="L1538" t="str">
            <v>Masculino</v>
          </cell>
          <cell r="M1538" t="str">
            <v>Parda</v>
          </cell>
          <cell r="N1538">
            <v>34227</v>
          </cell>
          <cell r="O1538" t="str">
            <v>428601741</v>
          </cell>
          <cell r="P1538" t="str">
            <v>SP</v>
          </cell>
          <cell r="Q1538" t="str">
            <v>SSP</v>
          </cell>
          <cell r="R1538" t="str">
            <v>CUBATAO</v>
          </cell>
        </row>
        <row r="1539">
          <cell r="A1539" t="str">
            <v>MARIANA SILVA DA FONSECA</v>
          </cell>
          <cell r="B1539" t="str">
            <v>Solteiro</v>
          </cell>
          <cell r="C1539" t="str">
            <v>AL HUGO VENTURA</v>
          </cell>
          <cell r="D1539" t="str">
            <v>Parque Continental</v>
          </cell>
          <cell r="E1539" t="str">
            <v>SAO VICENTE</v>
          </cell>
          <cell r="F1539" t="str">
            <v>SP</v>
          </cell>
          <cell r="G1539" t="str">
            <v>1490</v>
          </cell>
          <cell r="H1539" t="str">
            <v/>
          </cell>
          <cell r="I1539" t="str">
            <v>11348-200</v>
          </cell>
          <cell r="J1539" t="str">
            <v/>
          </cell>
          <cell r="K1539" t="str">
            <v/>
          </cell>
          <cell r="L1539" t="str">
            <v>Feminino</v>
          </cell>
          <cell r="M1539" t="str">
            <v>Parda</v>
          </cell>
          <cell r="N1539">
            <v>36220</v>
          </cell>
          <cell r="O1539" t="str">
            <v>547392989</v>
          </cell>
          <cell r="P1539" t="str">
            <v>SP</v>
          </cell>
          <cell r="Q1539" t="str">
            <v>SSP</v>
          </cell>
          <cell r="R1539" t="str">
            <v>SANTOS</v>
          </cell>
        </row>
        <row r="1540">
          <cell r="A1540" t="str">
            <v>FRANCISCO DAS CHAGAS GALDINO DOS SANTOS</v>
          </cell>
          <cell r="B1540" t="str">
            <v>Casado</v>
          </cell>
          <cell r="C1540" t="str">
            <v>R CARAMURU</v>
          </cell>
          <cell r="D1540" t="str">
            <v>Estuario</v>
          </cell>
          <cell r="E1540" t="str">
            <v>SANTOS</v>
          </cell>
          <cell r="F1540" t="str">
            <v>SP</v>
          </cell>
          <cell r="G1540" t="str">
            <v>47</v>
          </cell>
          <cell r="H1540" t="str">
            <v>CASA 1</v>
          </cell>
          <cell r="I1540" t="str">
            <v>11025-280</v>
          </cell>
          <cell r="J1540" t="str">
            <v/>
          </cell>
          <cell r="K1540" t="str">
            <v/>
          </cell>
          <cell r="L1540" t="str">
            <v>Masculino</v>
          </cell>
          <cell r="M1540" t="str">
            <v>Parda</v>
          </cell>
          <cell r="N1540">
            <v>30538</v>
          </cell>
          <cell r="O1540" t="str">
            <v>569786174</v>
          </cell>
          <cell r="P1540" t="str">
            <v>SP</v>
          </cell>
          <cell r="Q1540" t="str">
            <v>SSP</v>
          </cell>
          <cell r="R1540" t="str">
            <v>MACAU</v>
          </cell>
        </row>
        <row r="1541">
          <cell r="A1541" t="str">
            <v>LEANDRO SILVA CAVALCANTE</v>
          </cell>
          <cell r="B1541" t="str">
            <v>Casado</v>
          </cell>
          <cell r="C1541" t="str">
            <v>R LUIZ PANZOLDO NETTO</v>
          </cell>
          <cell r="D1541" t="str">
            <v>Catiapoa</v>
          </cell>
          <cell r="E1541" t="str">
            <v>SAO VICENTE</v>
          </cell>
          <cell r="F1541" t="str">
            <v>SP</v>
          </cell>
          <cell r="G1541" t="str">
            <v>144</v>
          </cell>
          <cell r="H1541" t="str">
            <v/>
          </cell>
          <cell r="I1541" t="str">
            <v>11370-330</v>
          </cell>
          <cell r="J1541" t="str">
            <v/>
          </cell>
          <cell r="K1541" t="str">
            <v/>
          </cell>
          <cell r="L1541" t="str">
            <v>Masculino</v>
          </cell>
          <cell r="M1541" t="str">
            <v>Parda</v>
          </cell>
          <cell r="N1541">
            <v>31492</v>
          </cell>
          <cell r="O1541" t="str">
            <v>421712879</v>
          </cell>
          <cell r="P1541" t="str">
            <v>SP</v>
          </cell>
          <cell r="Q1541" t="str">
            <v>SSP</v>
          </cell>
          <cell r="R1541" t="str">
            <v>SANTOS</v>
          </cell>
        </row>
        <row r="1542">
          <cell r="A1542" t="str">
            <v>EDEMILSON NASCIMENTO DOS SANTOS</v>
          </cell>
          <cell r="B1542" t="str">
            <v>Solteiro</v>
          </cell>
          <cell r="C1542" t="str">
            <v>R DR EMILIO RIBAS</v>
          </cell>
          <cell r="D1542" t="str">
            <v>Vila Mathias</v>
          </cell>
          <cell r="E1542" t="str">
            <v>SANTOS</v>
          </cell>
          <cell r="F1542" t="str">
            <v>SP</v>
          </cell>
          <cell r="G1542" t="str">
            <v>120</v>
          </cell>
          <cell r="H1542" t="str">
            <v/>
          </cell>
          <cell r="I1542" t="str">
            <v>11015-070</v>
          </cell>
          <cell r="J1542" t="str">
            <v/>
          </cell>
          <cell r="K1542" t="str">
            <v/>
          </cell>
          <cell r="L1542" t="str">
            <v>Masculino</v>
          </cell>
          <cell r="M1542" t="str">
            <v>Parda</v>
          </cell>
          <cell r="N1542">
            <v>28892</v>
          </cell>
          <cell r="O1542" t="str">
            <v>330847703</v>
          </cell>
          <cell r="P1542" t="str">
            <v>SP</v>
          </cell>
          <cell r="Q1542" t="str">
            <v>SSP</v>
          </cell>
          <cell r="R1542" t="str">
            <v>SANTOS</v>
          </cell>
        </row>
        <row r="1543">
          <cell r="A1543" t="str">
            <v>LUCAS ROBERTO ANDRADE DOS SANTOS</v>
          </cell>
          <cell r="B1543" t="str">
            <v>Casado</v>
          </cell>
          <cell r="C1543" t="str">
            <v>R BELO HORIZONTE</v>
          </cell>
          <cell r="D1543" t="str">
            <v>Vila Ponte Nova</v>
          </cell>
          <cell r="E1543" t="str">
            <v>SAO VICENTE</v>
          </cell>
          <cell r="F1543" t="str">
            <v>SP</v>
          </cell>
          <cell r="G1543" t="str">
            <v>900</v>
          </cell>
          <cell r="H1543" t="str">
            <v>FUNDOS</v>
          </cell>
          <cell r="I1543" t="str">
            <v>11347-750</v>
          </cell>
          <cell r="J1543" t="str">
            <v/>
          </cell>
          <cell r="K1543" t="str">
            <v/>
          </cell>
          <cell r="L1543" t="str">
            <v>Masculino</v>
          </cell>
          <cell r="M1543" t="str">
            <v>Parda</v>
          </cell>
          <cell r="N1543">
            <v>33652</v>
          </cell>
          <cell r="O1543" t="str">
            <v>48626628X</v>
          </cell>
          <cell r="P1543" t="str">
            <v>SP</v>
          </cell>
          <cell r="Q1543" t="str">
            <v>SSP</v>
          </cell>
          <cell r="R1543" t="str">
            <v>SANTOS</v>
          </cell>
        </row>
        <row r="1544">
          <cell r="A1544" t="str">
            <v>ANTHONNY SANTANA DE OLIVEIRA</v>
          </cell>
          <cell r="B1544" t="str">
            <v>Solteiro</v>
          </cell>
          <cell r="C1544" t="str">
            <v>R  DR DONALD ALEXANDRE KEALMAN</v>
          </cell>
          <cell r="D1544" t="str">
            <v>Jardim Rio Branco</v>
          </cell>
          <cell r="E1544" t="str">
            <v>SAO VICENTE</v>
          </cell>
          <cell r="F1544" t="str">
            <v>SP</v>
          </cell>
          <cell r="G1544" t="str">
            <v>750</v>
          </cell>
          <cell r="H1544" t="str">
            <v>CASA 2</v>
          </cell>
          <cell r="I1544" t="str">
            <v>11347-040</v>
          </cell>
          <cell r="J1544" t="str">
            <v/>
          </cell>
          <cell r="K1544" t="str">
            <v/>
          </cell>
          <cell r="L1544" t="str">
            <v>Masculino</v>
          </cell>
          <cell r="M1544" t="str">
            <v>Parda</v>
          </cell>
          <cell r="N1544">
            <v>38168</v>
          </cell>
          <cell r="O1544" t="str">
            <v>527905240</v>
          </cell>
          <cell r="P1544" t="str">
            <v>SP</v>
          </cell>
          <cell r="Q1544" t="str">
            <v>SSP</v>
          </cell>
          <cell r="R1544" t="str">
            <v>SANTOS</v>
          </cell>
        </row>
        <row r="1545">
          <cell r="A1545" t="str">
            <v>THIAGO RODRIGUES NASCIMENTO</v>
          </cell>
          <cell r="B1545" t="str">
            <v>Solteiro</v>
          </cell>
          <cell r="C1545" t="str">
            <v>R G</v>
          </cell>
          <cell r="D1545" t="str">
            <v>Jardim Rio Negro</v>
          </cell>
          <cell r="E1545" t="str">
            <v>SAO VICENTE</v>
          </cell>
          <cell r="F1545" t="str">
            <v>SP</v>
          </cell>
          <cell r="G1545" t="str">
            <v>S/N</v>
          </cell>
          <cell r="H1545" t="str">
            <v/>
          </cell>
          <cell r="I1545" t="str">
            <v>11347-440</v>
          </cell>
          <cell r="J1545" t="str">
            <v/>
          </cell>
          <cell r="K1545" t="str">
            <v/>
          </cell>
          <cell r="L1545" t="str">
            <v>Masculino</v>
          </cell>
          <cell r="M1545" t="str">
            <v>Parda</v>
          </cell>
          <cell r="N1545">
            <v>34126</v>
          </cell>
          <cell r="O1545" t="str">
            <v>488860118</v>
          </cell>
          <cell r="P1545" t="str">
            <v>SP</v>
          </cell>
          <cell r="Q1545" t="str">
            <v>SSP</v>
          </cell>
          <cell r="R1545" t="str">
            <v>SANTOS</v>
          </cell>
        </row>
        <row r="1546">
          <cell r="A1546" t="str">
            <v>EDISON DE MATOS CHAVIER</v>
          </cell>
          <cell r="B1546" t="str">
            <v>Solteiro</v>
          </cell>
          <cell r="C1546" t="str">
            <v>R CORIOLANO BURGOS SOBRINHO</v>
          </cell>
          <cell r="D1546" t="str">
            <v>Jardim Castelo</v>
          </cell>
          <cell r="E1546" t="str">
            <v>SANTOS</v>
          </cell>
          <cell r="F1546" t="str">
            <v>SP</v>
          </cell>
          <cell r="G1546" t="str">
            <v>78</v>
          </cell>
          <cell r="H1546" t="str">
            <v/>
          </cell>
          <cell r="I1546" t="str">
            <v>11087-550</v>
          </cell>
          <cell r="J1546" t="str">
            <v>33023261</v>
          </cell>
          <cell r="K1546" t="str">
            <v>996796838</v>
          </cell>
          <cell r="L1546" t="str">
            <v>Masculino</v>
          </cell>
          <cell r="M1546" t="str">
            <v>Parda</v>
          </cell>
          <cell r="N1546">
            <v>28537</v>
          </cell>
          <cell r="O1546" t="str">
            <v>300690848</v>
          </cell>
          <cell r="P1546" t="str">
            <v>SP</v>
          </cell>
          <cell r="Q1546" t="str">
            <v>SSP</v>
          </cell>
          <cell r="R1546" t="str">
            <v>SANTOS</v>
          </cell>
        </row>
        <row r="1547">
          <cell r="A1547" t="str">
            <v>CLAUDIA RIOBO AMARO MARIANO</v>
          </cell>
          <cell r="B1547" t="str">
            <v>Casado</v>
          </cell>
          <cell r="C1547" t="str">
            <v>AV SENADOR FEIJO</v>
          </cell>
          <cell r="D1547" t="str">
            <v>Encruzilhada</v>
          </cell>
          <cell r="E1547" t="str">
            <v>SANTOS</v>
          </cell>
          <cell r="F1547" t="str">
            <v>SP</v>
          </cell>
          <cell r="G1547" t="str">
            <v>816</v>
          </cell>
          <cell r="H1547" t="str">
            <v>APTO 126 EDIFICIO TERRA</v>
          </cell>
          <cell r="I1547" t="str">
            <v>11050-300</v>
          </cell>
          <cell r="J1547" t="str">
            <v/>
          </cell>
          <cell r="K1547" t="str">
            <v/>
          </cell>
          <cell r="L1547" t="str">
            <v>Feminino</v>
          </cell>
          <cell r="M1547" t="str">
            <v>Parda</v>
          </cell>
          <cell r="N1547">
            <v>29653</v>
          </cell>
          <cell r="O1547" t="str">
            <v>329963818</v>
          </cell>
          <cell r="P1547" t="str">
            <v>SP</v>
          </cell>
          <cell r="Q1547" t="str">
            <v>SSP</v>
          </cell>
          <cell r="R1547" t="str">
            <v>SANTOS</v>
          </cell>
        </row>
        <row r="1548">
          <cell r="A1548" t="str">
            <v>LUANA NOVAES OLAH NEVES</v>
          </cell>
          <cell r="B1548" t="str">
            <v>Solteiro</v>
          </cell>
          <cell r="C1548" t="str">
            <v>R PEDRO LOPES DE SOUZA</v>
          </cell>
          <cell r="D1548" t="str">
            <v>Vila Valença</v>
          </cell>
          <cell r="E1548" t="str">
            <v>SAO VICENTE</v>
          </cell>
          <cell r="F1548" t="str">
            <v>SP</v>
          </cell>
          <cell r="G1548" t="str">
            <v>218</v>
          </cell>
          <cell r="H1548" t="str">
            <v>APTO 24</v>
          </cell>
          <cell r="I1548" t="str">
            <v>11390-130</v>
          </cell>
          <cell r="J1548" t="str">
            <v/>
          </cell>
          <cell r="K1548" t="str">
            <v/>
          </cell>
          <cell r="L1548" t="str">
            <v>Feminino</v>
          </cell>
          <cell r="M1548" t="str">
            <v>Parda</v>
          </cell>
          <cell r="N1548">
            <v>37038</v>
          </cell>
          <cell r="O1548" t="str">
            <v>536488769</v>
          </cell>
          <cell r="P1548" t="str">
            <v>SP</v>
          </cell>
          <cell r="Q1548" t="str">
            <v>SSP</v>
          </cell>
          <cell r="R1548" t="str">
            <v>SANTOS</v>
          </cell>
        </row>
        <row r="1549">
          <cell r="A1549" t="str">
            <v>LUCAS DOS SANTOS ALVES</v>
          </cell>
          <cell r="B1549" t="str">
            <v>Solteiro</v>
          </cell>
          <cell r="C1549" t="str">
            <v>R CAMPO BELO</v>
          </cell>
          <cell r="D1549" t="str">
            <v>Vila Ponte Nova</v>
          </cell>
          <cell r="E1549" t="str">
            <v>SAO VICENTE</v>
          </cell>
          <cell r="F1549" t="str">
            <v>SP</v>
          </cell>
          <cell r="G1549" t="str">
            <v>210</v>
          </cell>
          <cell r="H1549" t="str">
            <v/>
          </cell>
          <cell r="I1549" t="str">
            <v>11347-760</v>
          </cell>
          <cell r="J1549" t="str">
            <v>996623839</v>
          </cell>
          <cell r="K1549" t="str">
            <v/>
          </cell>
          <cell r="L1549" t="str">
            <v>Masculino</v>
          </cell>
          <cell r="M1549" t="str">
            <v>Parda</v>
          </cell>
          <cell r="N1549">
            <v>38297</v>
          </cell>
          <cell r="O1549" t="str">
            <v>545471850</v>
          </cell>
          <cell r="P1549" t="str">
            <v>SP</v>
          </cell>
          <cell r="Q1549" t="str">
            <v>SSP</v>
          </cell>
          <cell r="R1549" t="str">
            <v>SAO VICENTE</v>
          </cell>
        </row>
        <row r="1550">
          <cell r="A1550" t="str">
            <v>WESLEY GUSTAVO DOS SANTOS</v>
          </cell>
          <cell r="B1550" t="str">
            <v>Solteiro</v>
          </cell>
          <cell r="C1550" t="str">
            <v>R PRIMEIRO DE JUNHO</v>
          </cell>
          <cell r="D1550" t="str">
            <v>Sítio Paecara (Vicente carvalho</v>
          </cell>
          <cell r="E1550" t="str">
            <v>GUARUJA</v>
          </cell>
          <cell r="F1550" t="str">
            <v>SP</v>
          </cell>
          <cell r="G1550" t="str">
            <v>810</v>
          </cell>
          <cell r="H1550" t="str">
            <v/>
          </cell>
          <cell r="I1550" t="str">
            <v>11460-240</v>
          </cell>
          <cell r="J1550" t="str">
            <v>996629496</v>
          </cell>
          <cell r="K1550" t="str">
            <v/>
          </cell>
          <cell r="L1550" t="str">
            <v>Masculino</v>
          </cell>
          <cell r="M1550" t="str">
            <v>Parda</v>
          </cell>
          <cell r="N1550">
            <v>35450</v>
          </cell>
          <cell r="O1550" t="str">
            <v>383249570</v>
          </cell>
          <cell r="P1550" t="str">
            <v>SP</v>
          </cell>
          <cell r="Q1550" t="str">
            <v>SSP</v>
          </cell>
          <cell r="R1550" t="str">
            <v>GUARUJA</v>
          </cell>
        </row>
        <row r="1551">
          <cell r="A1551" t="str">
            <v>LEONARDO DA LUZ TEIXEIRA</v>
          </cell>
          <cell r="B1551" t="str">
            <v>Casado</v>
          </cell>
          <cell r="C1551" t="str">
            <v>R MARECHAL RONDON</v>
          </cell>
          <cell r="D1551" t="str">
            <v>Canto do Forte</v>
          </cell>
          <cell r="E1551" t="str">
            <v>PRAIA GRANDE</v>
          </cell>
          <cell r="F1551" t="str">
            <v>SP</v>
          </cell>
          <cell r="G1551" t="str">
            <v>427</v>
          </cell>
          <cell r="H1551" t="str">
            <v/>
          </cell>
          <cell r="I1551" t="str">
            <v>11700-740</v>
          </cell>
          <cell r="J1551" t="str">
            <v>81268615</v>
          </cell>
          <cell r="K1551" t="str">
            <v/>
          </cell>
          <cell r="L1551" t="str">
            <v>Masculino</v>
          </cell>
          <cell r="M1551" t="str">
            <v>Parda</v>
          </cell>
          <cell r="N1551">
            <v>30770</v>
          </cell>
          <cell r="O1551" t="str">
            <v>443610599</v>
          </cell>
          <cell r="P1551" t="str">
            <v>SP</v>
          </cell>
          <cell r="Q1551" t="str">
            <v>SSP</v>
          </cell>
          <cell r="R1551" t="str">
            <v>SANTOS</v>
          </cell>
        </row>
        <row r="1552">
          <cell r="A1552" t="str">
            <v>ENZO FALCAO FIUZA</v>
          </cell>
          <cell r="B1552" t="str">
            <v>Solteiro</v>
          </cell>
          <cell r="C1552" t="str">
            <v>AV AFFONSO PENNA</v>
          </cell>
          <cell r="D1552" t="str">
            <v>Aparecida</v>
          </cell>
          <cell r="E1552" t="str">
            <v>SANTOS</v>
          </cell>
          <cell r="F1552" t="str">
            <v>SP</v>
          </cell>
          <cell r="G1552" t="str">
            <v>702</v>
          </cell>
          <cell r="H1552" t="str">
            <v>APTO 24</v>
          </cell>
          <cell r="I1552" t="str">
            <v>11020-002</v>
          </cell>
          <cell r="J1552" t="str">
            <v>997065239</v>
          </cell>
          <cell r="K1552" t="str">
            <v/>
          </cell>
          <cell r="L1552" t="str">
            <v>Masculino</v>
          </cell>
          <cell r="M1552" t="str">
            <v>Parda</v>
          </cell>
          <cell r="N1552">
            <v>37449</v>
          </cell>
          <cell r="O1552" t="str">
            <v>540914460</v>
          </cell>
          <cell r="P1552" t="str">
            <v>SP</v>
          </cell>
          <cell r="Q1552" t="str">
            <v>SSP</v>
          </cell>
          <cell r="R1552" t="str">
            <v>SANTOS</v>
          </cell>
        </row>
        <row r="1553">
          <cell r="A1553" t="str">
            <v>OLGA DOS SANTOS SILVA</v>
          </cell>
          <cell r="B1553" t="str">
            <v>Solteiro</v>
          </cell>
          <cell r="C1553" t="str">
            <v>R MEM DE SA</v>
          </cell>
          <cell r="D1553" t="str">
            <v>Centro</v>
          </cell>
          <cell r="E1553" t="str">
            <v>SAO VICENTE</v>
          </cell>
          <cell r="F1553" t="str">
            <v>SP</v>
          </cell>
          <cell r="G1553" t="str">
            <v>138</v>
          </cell>
          <cell r="H1553" t="str">
            <v>APTO 107</v>
          </cell>
          <cell r="I1553" t="str">
            <v>11320-090</v>
          </cell>
          <cell r="J1553" t="str">
            <v>991839927</v>
          </cell>
          <cell r="K1553" t="str">
            <v/>
          </cell>
          <cell r="L1553" t="str">
            <v>Feminino</v>
          </cell>
          <cell r="M1553" t="str">
            <v>Parda</v>
          </cell>
          <cell r="N1553">
            <v>28760</v>
          </cell>
          <cell r="O1553" t="str">
            <v>339307766</v>
          </cell>
          <cell r="P1553" t="str">
            <v>SP</v>
          </cell>
          <cell r="Q1553" t="str">
            <v>SSP</v>
          </cell>
          <cell r="R1553" t="str">
            <v>SANTOS</v>
          </cell>
        </row>
        <row r="1554">
          <cell r="A1554" t="str">
            <v>NATHALIA BELEZ COSTA</v>
          </cell>
          <cell r="B1554" t="str">
            <v>Casado</v>
          </cell>
          <cell r="C1554" t="str">
            <v>AV SAO PEDRO</v>
          </cell>
          <cell r="D1554" t="str">
            <v>Aviação</v>
          </cell>
          <cell r="E1554" t="str">
            <v>PRAIA GRANDE</v>
          </cell>
          <cell r="F1554" t="str">
            <v>SP</v>
          </cell>
          <cell r="G1554" t="str">
            <v>362</v>
          </cell>
          <cell r="H1554" t="str">
            <v/>
          </cell>
          <cell r="I1554" t="str">
            <v>11702-550</v>
          </cell>
          <cell r="J1554" t="str">
            <v>991726353</v>
          </cell>
          <cell r="K1554" t="str">
            <v/>
          </cell>
          <cell r="L1554" t="str">
            <v>Feminino</v>
          </cell>
          <cell r="M1554" t="str">
            <v>Parda</v>
          </cell>
          <cell r="N1554">
            <v>36012</v>
          </cell>
          <cell r="O1554" t="str">
            <v>380407875</v>
          </cell>
          <cell r="P1554" t="str">
            <v>SP</v>
          </cell>
          <cell r="Q1554" t="str">
            <v>SSP</v>
          </cell>
          <cell r="R1554" t="str">
            <v>SANTO ANDRE</v>
          </cell>
        </row>
        <row r="1555">
          <cell r="A1555" t="str">
            <v>RICARDO NASCIMENTO</v>
          </cell>
          <cell r="B1555" t="str">
            <v>Casado</v>
          </cell>
          <cell r="C1555" t="str">
            <v>R SAO JORGE</v>
          </cell>
          <cell r="D1555" t="str">
            <v>Sítio Paecara (Vicente carvalho</v>
          </cell>
          <cell r="E1555" t="str">
            <v>GUARUJA</v>
          </cell>
          <cell r="F1555" t="str">
            <v>SP</v>
          </cell>
          <cell r="G1555" t="str">
            <v>1653</v>
          </cell>
          <cell r="H1555" t="str">
            <v/>
          </cell>
          <cell r="I1555" t="str">
            <v>11460-500</v>
          </cell>
          <cell r="J1555" t="str">
            <v>981276480</v>
          </cell>
          <cell r="K1555" t="str">
            <v/>
          </cell>
          <cell r="L1555" t="str">
            <v>Masculino</v>
          </cell>
          <cell r="M1555" t="str">
            <v>Parda</v>
          </cell>
          <cell r="N1555">
            <v>26863</v>
          </cell>
          <cell r="O1555" t="str">
            <v>273452447</v>
          </cell>
          <cell r="P1555" t="str">
            <v>SP</v>
          </cell>
          <cell r="Q1555" t="str">
            <v>SSP</v>
          </cell>
          <cell r="R1555" t="str">
            <v>GUARUJA</v>
          </cell>
        </row>
        <row r="1556">
          <cell r="A1556" t="str">
            <v>DANILO FONTES BEZERRA DE CASTRO</v>
          </cell>
          <cell r="B1556" t="str">
            <v>Solteiro</v>
          </cell>
          <cell r="C1556" t="str">
            <v>R ANTONIO CARLOS DOS SANTOS PEREIRA</v>
          </cell>
          <cell r="D1556" t="str">
            <v>Jardim Monteiro da Cruz (Vicente de Carv</v>
          </cell>
          <cell r="E1556" t="str">
            <v>GUARUJA</v>
          </cell>
          <cell r="F1556" t="str">
            <v>SP</v>
          </cell>
          <cell r="G1556" t="str">
            <v>13</v>
          </cell>
          <cell r="H1556" t="str">
            <v>L01 QZ HLC CONJUNTO HABIT</v>
          </cell>
          <cell r="I1556" t="str">
            <v>11462-410</v>
          </cell>
          <cell r="J1556" t="str">
            <v>981500696</v>
          </cell>
          <cell r="K1556" t="str">
            <v/>
          </cell>
          <cell r="L1556" t="str">
            <v>Masculino</v>
          </cell>
          <cell r="M1556" t="str">
            <v>Parda</v>
          </cell>
          <cell r="N1556">
            <v>37043</v>
          </cell>
          <cell r="O1556" t="str">
            <v>545079883</v>
          </cell>
          <cell r="P1556" t="str">
            <v>SP</v>
          </cell>
          <cell r="Q1556" t="str">
            <v>SSP</v>
          </cell>
          <cell r="R1556" t="str">
            <v>GUARUJA</v>
          </cell>
        </row>
        <row r="1557">
          <cell r="A1557" t="str">
            <v>MATHEUS SILVA GOMES DOS SANTOS</v>
          </cell>
          <cell r="B1557" t="str">
            <v>Solteiro</v>
          </cell>
          <cell r="C1557" t="str">
            <v>R JOAO PESSOA</v>
          </cell>
          <cell r="D1557" t="str">
            <v>Parque Estuário (Vicente de Carvalho)</v>
          </cell>
          <cell r="E1557" t="str">
            <v>GUARUJA</v>
          </cell>
          <cell r="F1557" t="str">
            <v>SP</v>
          </cell>
          <cell r="G1557" t="str">
            <v>40</v>
          </cell>
          <cell r="H1557" t="str">
            <v>FRENTE</v>
          </cell>
          <cell r="I1557" t="str">
            <v>11451-130</v>
          </cell>
          <cell r="J1557" t="str">
            <v>981046290</v>
          </cell>
          <cell r="K1557" t="str">
            <v/>
          </cell>
          <cell r="L1557" t="str">
            <v>Masculino</v>
          </cell>
          <cell r="M1557" t="str">
            <v>Parda</v>
          </cell>
          <cell r="N1557">
            <v>36212</v>
          </cell>
          <cell r="O1557" t="str">
            <v>559170622</v>
          </cell>
          <cell r="P1557" t="str">
            <v>SP</v>
          </cell>
          <cell r="Q1557" t="str">
            <v>SSP</v>
          </cell>
          <cell r="R1557" t="str">
            <v>GUARUJA</v>
          </cell>
        </row>
        <row r="1558">
          <cell r="A1558" t="str">
            <v>CESAR AUGUSTO LIMA SANTOS</v>
          </cell>
          <cell r="B1558" t="str">
            <v>Solteiro</v>
          </cell>
          <cell r="C1558" t="str">
            <v>R FERNANDO FERRARI</v>
          </cell>
          <cell r="D1558" t="str">
            <v>Vila Jockei Clube</v>
          </cell>
          <cell r="E1558" t="str">
            <v>SAO VICENTE</v>
          </cell>
          <cell r="F1558" t="str">
            <v>SP</v>
          </cell>
          <cell r="G1558" t="str">
            <v>164</v>
          </cell>
          <cell r="H1558" t="str">
            <v/>
          </cell>
          <cell r="I1558" t="str">
            <v>11360-360</v>
          </cell>
          <cell r="J1558" t="str">
            <v>991474583</v>
          </cell>
          <cell r="K1558" t="str">
            <v/>
          </cell>
          <cell r="L1558" t="str">
            <v>Masculino</v>
          </cell>
          <cell r="M1558" t="str">
            <v>Parda</v>
          </cell>
          <cell r="N1558">
            <v>34544</v>
          </cell>
          <cell r="O1558" t="str">
            <v>421952209</v>
          </cell>
          <cell r="P1558" t="str">
            <v>SP</v>
          </cell>
          <cell r="Q1558" t="str">
            <v>SSP</v>
          </cell>
          <cell r="R1558" t="str">
            <v>SANTOS</v>
          </cell>
        </row>
        <row r="1559">
          <cell r="A1559" t="str">
            <v>RENATO RIBEIRO DE LIMA</v>
          </cell>
          <cell r="B1559" t="str">
            <v>Solteiro</v>
          </cell>
          <cell r="C1559" t="str">
            <v>R DOUTOR CARVALHO DE MENDONCA</v>
          </cell>
          <cell r="D1559" t="str">
            <v>Encruzilhada</v>
          </cell>
          <cell r="E1559" t="str">
            <v>SANTOS</v>
          </cell>
          <cell r="F1559" t="str">
            <v>SP</v>
          </cell>
          <cell r="G1559" t="str">
            <v>157</v>
          </cell>
          <cell r="H1559" t="str">
            <v/>
          </cell>
          <cell r="I1559" t="str">
            <v>11070-100</v>
          </cell>
          <cell r="J1559" t="str">
            <v>996088227</v>
          </cell>
          <cell r="K1559" t="str">
            <v/>
          </cell>
          <cell r="L1559" t="str">
            <v>Masculino</v>
          </cell>
          <cell r="M1559" t="str">
            <v>Parda</v>
          </cell>
          <cell r="N1559">
            <v>35668</v>
          </cell>
          <cell r="O1559" t="str">
            <v>392263841</v>
          </cell>
          <cell r="P1559" t="str">
            <v>SP</v>
          </cell>
          <cell r="Q1559" t="str">
            <v>SSP</v>
          </cell>
          <cell r="R1559" t="str">
            <v>SANTOS</v>
          </cell>
        </row>
        <row r="1560">
          <cell r="A1560" t="str">
            <v>GUILHERME RICHARD VIEIRA FERNANDES</v>
          </cell>
          <cell r="B1560" t="str">
            <v>Solteiro</v>
          </cell>
          <cell r="C1560" t="str">
            <v>R SAO JOSE</v>
          </cell>
          <cell r="D1560" t="str">
            <v>Sítio Paecara (Vicente carvalho</v>
          </cell>
          <cell r="E1560" t="str">
            <v>GUARUJA</v>
          </cell>
          <cell r="F1560" t="str">
            <v>SP</v>
          </cell>
          <cell r="G1560" t="str">
            <v>428</v>
          </cell>
          <cell r="H1560" t="str">
            <v/>
          </cell>
          <cell r="I1560" t="str">
            <v>11463-030</v>
          </cell>
          <cell r="J1560" t="str">
            <v>991874107</v>
          </cell>
          <cell r="K1560" t="str">
            <v/>
          </cell>
          <cell r="L1560" t="str">
            <v>Masculino</v>
          </cell>
          <cell r="M1560" t="str">
            <v>Parda</v>
          </cell>
          <cell r="N1560">
            <v>36040</v>
          </cell>
          <cell r="O1560" t="str">
            <v>378122411</v>
          </cell>
          <cell r="P1560" t="str">
            <v>SP</v>
          </cell>
          <cell r="Q1560" t="str">
            <v>SSP</v>
          </cell>
          <cell r="R1560" t="str">
            <v>GUARUJA</v>
          </cell>
        </row>
        <row r="1561">
          <cell r="A1561" t="str">
            <v>LUIZ ROBERTO BENEDITO JUNIOR</v>
          </cell>
          <cell r="B1561" t="str">
            <v>Solteiro</v>
          </cell>
          <cell r="C1561" t="str">
            <v>R  CARLOS ALBERTO CURADO</v>
          </cell>
          <cell r="D1561" t="str">
            <v>Jose Menino</v>
          </cell>
          <cell r="E1561" t="str">
            <v>SANTOS</v>
          </cell>
          <cell r="F1561" t="str">
            <v>SP</v>
          </cell>
          <cell r="G1561" t="str">
            <v>57</v>
          </cell>
          <cell r="H1561" t="str">
            <v/>
          </cell>
          <cell r="I1561" t="str">
            <v>11065-710</v>
          </cell>
          <cell r="J1561" t="str">
            <v>920002571</v>
          </cell>
          <cell r="K1561" t="str">
            <v/>
          </cell>
          <cell r="L1561" t="str">
            <v>Masculino</v>
          </cell>
          <cell r="M1561" t="str">
            <v>Parda</v>
          </cell>
          <cell r="N1561">
            <v>29585</v>
          </cell>
          <cell r="O1561" t="str">
            <v>333707412</v>
          </cell>
          <cell r="P1561" t="str">
            <v>SP</v>
          </cell>
          <cell r="Q1561" t="str">
            <v>SSP</v>
          </cell>
          <cell r="R1561" t="str">
            <v>GUARUJA</v>
          </cell>
        </row>
        <row r="1562">
          <cell r="A1562" t="str">
            <v>RENAN ROQUE DOS SANTOS</v>
          </cell>
          <cell r="B1562" t="str">
            <v>Solteiro</v>
          </cell>
          <cell r="C1562" t="str">
            <v>R FRANCISCO ALVES</v>
          </cell>
          <cell r="D1562" t="str">
            <v>Esplanada dos Barreiros</v>
          </cell>
          <cell r="E1562" t="str">
            <v>SAO VICENTE</v>
          </cell>
          <cell r="F1562" t="str">
            <v>SP</v>
          </cell>
          <cell r="G1562" t="str">
            <v>251</v>
          </cell>
          <cell r="H1562" t="str">
            <v/>
          </cell>
          <cell r="I1562" t="str">
            <v>11340-190</v>
          </cell>
          <cell r="J1562" t="str">
            <v>991363465</v>
          </cell>
          <cell r="K1562" t="str">
            <v/>
          </cell>
          <cell r="L1562" t="str">
            <v>Masculino</v>
          </cell>
          <cell r="M1562" t="str">
            <v>Parda</v>
          </cell>
          <cell r="N1562">
            <v>34303</v>
          </cell>
          <cell r="O1562" t="str">
            <v>488832986</v>
          </cell>
          <cell r="P1562" t="str">
            <v>SP</v>
          </cell>
          <cell r="Q1562" t="str">
            <v>SSP</v>
          </cell>
          <cell r="R1562" t="str">
            <v>SAO VICENTE</v>
          </cell>
        </row>
        <row r="1563">
          <cell r="A1563" t="str">
            <v>RILLIS CAMPOS SANTOS</v>
          </cell>
          <cell r="B1563" t="str">
            <v>Casado</v>
          </cell>
          <cell r="C1563" t="str">
            <v>R JOSE LEANDRO DE CARVALHO</v>
          </cell>
          <cell r="D1563" t="str">
            <v>Jardim Samambaia</v>
          </cell>
          <cell r="E1563" t="str">
            <v>PRAIA GRANDE</v>
          </cell>
          <cell r="F1563" t="str">
            <v>SP</v>
          </cell>
          <cell r="G1563" t="str">
            <v>1685</v>
          </cell>
          <cell r="H1563" t="str">
            <v/>
          </cell>
          <cell r="I1563" t="str">
            <v>11713-090</v>
          </cell>
          <cell r="J1563" t="str">
            <v>981151814</v>
          </cell>
          <cell r="K1563" t="str">
            <v/>
          </cell>
          <cell r="L1563" t="str">
            <v>Masculino</v>
          </cell>
          <cell r="M1563" t="str">
            <v>Parda</v>
          </cell>
          <cell r="N1563">
            <v>27597</v>
          </cell>
          <cell r="O1563" t="str">
            <v>254156666</v>
          </cell>
          <cell r="P1563" t="str">
            <v>SP</v>
          </cell>
          <cell r="Q1563" t="str">
            <v>SSP</v>
          </cell>
          <cell r="R1563" t="str">
            <v>SAO PAULO</v>
          </cell>
        </row>
        <row r="1564">
          <cell r="A1564" t="str">
            <v>EVELYN SANTOS DE MATOS</v>
          </cell>
          <cell r="B1564" t="str">
            <v>Solteiro</v>
          </cell>
          <cell r="C1564" t="str">
            <v>R SEIS (MORRO DO JOSE MENINO)</v>
          </cell>
          <cell r="D1564" t="str">
            <v>Jose Menino</v>
          </cell>
          <cell r="E1564" t="str">
            <v>SANTOS</v>
          </cell>
          <cell r="F1564" t="str">
            <v>SP</v>
          </cell>
          <cell r="G1564" t="str">
            <v>941</v>
          </cell>
          <cell r="H1564" t="str">
            <v>L.LE.192</v>
          </cell>
          <cell r="I1564" t="str">
            <v>11065-760</v>
          </cell>
          <cell r="J1564" t="str">
            <v>996207708</v>
          </cell>
          <cell r="K1564" t="str">
            <v/>
          </cell>
          <cell r="L1564" t="str">
            <v>Feminino</v>
          </cell>
          <cell r="M1564" t="str">
            <v>Parda</v>
          </cell>
          <cell r="N1564">
            <v>38058</v>
          </cell>
          <cell r="O1564" t="str">
            <v>501040468</v>
          </cell>
          <cell r="P1564" t="str">
            <v>SP</v>
          </cell>
          <cell r="Q1564" t="str">
            <v>SSP</v>
          </cell>
          <cell r="R1564" t="str">
            <v>SANTOS</v>
          </cell>
        </row>
        <row r="1565">
          <cell r="A1565" t="str">
            <v>JOSE RICARDO RIBEIRO CHAGAS</v>
          </cell>
          <cell r="B1565" t="str">
            <v>Solteiro</v>
          </cell>
          <cell r="C1565" t="str">
            <v>R PANAIOTIS MUSCULIS</v>
          </cell>
          <cell r="D1565" t="str">
            <v>Vila Ligya</v>
          </cell>
          <cell r="E1565" t="str">
            <v>GUARUJA</v>
          </cell>
          <cell r="F1565" t="str">
            <v>SP</v>
          </cell>
          <cell r="G1565" t="str">
            <v>551</v>
          </cell>
          <cell r="H1565" t="str">
            <v>CASA 2</v>
          </cell>
          <cell r="I1565" t="str">
            <v>11430-220</v>
          </cell>
          <cell r="J1565" t="str">
            <v>991999320</v>
          </cell>
          <cell r="K1565" t="str">
            <v/>
          </cell>
          <cell r="L1565" t="str">
            <v>Masculino</v>
          </cell>
          <cell r="M1565" t="str">
            <v>Parda</v>
          </cell>
          <cell r="N1565">
            <v>35059</v>
          </cell>
          <cell r="O1565" t="str">
            <v>410312198</v>
          </cell>
          <cell r="P1565" t="str">
            <v>SP</v>
          </cell>
          <cell r="Q1565" t="str">
            <v>SSP</v>
          </cell>
          <cell r="R1565" t="str">
            <v>PARIQUERA-ACU</v>
          </cell>
        </row>
        <row r="1566">
          <cell r="A1566" t="str">
            <v>LUCAS VINICIUS RODRIGUES</v>
          </cell>
          <cell r="B1566" t="str">
            <v>Solteiro</v>
          </cell>
          <cell r="C1566" t="str">
            <v>AV BRASIL</v>
          </cell>
          <cell r="D1566" t="str">
            <v>Morro Nova Cintra</v>
          </cell>
          <cell r="E1566" t="str">
            <v>SANTOS</v>
          </cell>
          <cell r="F1566" t="str">
            <v>SP</v>
          </cell>
          <cell r="G1566" t="str">
            <v>34</v>
          </cell>
          <cell r="H1566" t="str">
            <v>APTO 11 BL C</v>
          </cell>
          <cell r="I1566" t="str">
            <v>11080-250</v>
          </cell>
          <cell r="J1566" t="str">
            <v>991124270</v>
          </cell>
          <cell r="K1566" t="str">
            <v/>
          </cell>
          <cell r="L1566" t="str">
            <v>Masculino</v>
          </cell>
          <cell r="M1566" t="str">
            <v>Parda</v>
          </cell>
          <cell r="N1566">
            <v>36788</v>
          </cell>
          <cell r="O1566" t="str">
            <v>574240834</v>
          </cell>
          <cell r="P1566" t="str">
            <v>SP</v>
          </cell>
          <cell r="Q1566" t="str">
            <v>SSP</v>
          </cell>
          <cell r="R1566" t="str">
            <v>SANTOS</v>
          </cell>
        </row>
        <row r="1567">
          <cell r="A1567" t="str">
            <v>LUAN BORGES DOS SANTOS</v>
          </cell>
          <cell r="B1567" t="str">
            <v>Solteiro</v>
          </cell>
          <cell r="C1567" t="str">
            <v>R ALFREDO ALBERTINI</v>
          </cell>
          <cell r="D1567" t="str">
            <v>MARAPE</v>
          </cell>
          <cell r="E1567" t="str">
            <v>SANTOS</v>
          </cell>
          <cell r="F1567" t="str">
            <v>SP</v>
          </cell>
          <cell r="G1567" t="str">
            <v>282</v>
          </cell>
          <cell r="H1567" t="str">
            <v>APTO 21</v>
          </cell>
          <cell r="I1567" t="str">
            <v>11070-011</v>
          </cell>
          <cell r="J1567" t="str">
            <v>999282913</v>
          </cell>
          <cell r="K1567" t="str">
            <v/>
          </cell>
          <cell r="L1567" t="str">
            <v>Masculino</v>
          </cell>
          <cell r="M1567" t="str">
            <v>Parda</v>
          </cell>
          <cell r="N1567">
            <v>33376</v>
          </cell>
          <cell r="O1567" t="str">
            <v>688972482</v>
          </cell>
          <cell r="P1567" t="str">
            <v>SP</v>
          </cell>
          <cell r="Q1567" t="str">
            <v>SSP</v>
          </cell>
          <cell r="R1567" t="str">
            <v>LAGARTO</v>
          </cell>
        </row>
        <row r="1568">
          <cell r="A1568" t="str">
            <v>RODRIGO MORELLI DA SILVA</v>
          </cell>
          <cell r="B1568" t="str">
            <v>Casado</v>
          </cell>
          <cell r="C1568" t="str">
            <v>R  CAMPOS MELLO</v>
          </cell>
          <cell r="D1568" t="str">
            <v>Encruzilhada</v>
          </cell>
          <cell r="E1568" t="str">
            <v>SANTOS</v>
          </cell>
          <cell r="F1568" t="str">
            <v>SP</v>
          </cell>
          <cell r="G1568" t="str">
            <v>447</v>
          </cell>
          <cell r="H1568" t="str">
            <v>APTO 54</v>
          </cell>
          <cell r="I1568" t="str">
            <v>11015-013</v>
          </cell>
          <cell r="J1568" t="str">
            <v>944648225</v>
          </cell>
          <cell r="K1568" t="str">
            <v/>
          </cell>
          <cell r="L1568" t="str">
            <v>Masculino</v>
          </cell>
          <cell r="M1568" t="str">
            <v>Parda</v>
          </cell>
          <cell r="N1568">
            <v>32445</v>
          </cell>
          <cell r="O1568" t="str">
            <v>14252943</v>
          </cell>
          <cell r="P1568" t="str">
            <v>MG</v>
          </cell>
          <cell r="Q1568" t="str">
            <v>SSP</v>
          </cell>
          <cell r="R1568" t="str">
            <v>UBERABA</v>
          </cell>
        </row>
        <row r="1569">
          <cell r="A1569" t="str">
            <v>GABRIEL JUAN ALMEIDA GONCALVES</v>
          </cell>
          <cell r="B1569" t="str">
            <v>Solteiro</v>
          </cell>
          <cell r="C1569" t="str">
            <v>AV BRASIL</v>
          </cell>
          <cell r="D1569" t="str">
            <v>Vila Margarida</v>
          </cell>
          <cell r="E1569" t="str">
            <v>SAO VICENTE</v>
          </cell>
          <cell r="F1569" t="str">
            <v>SP</v>
          </cell>
          <cell r="G1569" t="str">
            <v>27</v>
          </cell>
          <cell r="H1569" t="str">
            <v/>
          </cell>
          <cell r="I1569" t="str">
            <v>11330-750</v>
          </cell>
          <cell r="J1569" t="str">
            <v>981797627</v>
          </cell>
          <cell r="K1569" t="str">
            <v>991756232</v>
          </cell>
          <cell r="L1569" t="str">
            <v>Masculino</v>
          </cell>
          <cell r="M1569" t="str">
            <v>Parda</v>
          </cell>
          <cell r="N1569">
            <v>37075</v>
          </cell>
          <cell r="O1569" t="str">
            <v>585622206</v>
          </cell>
          <cell r="P1569" t="str">
            <v>SP</v>
          </cell>
          <cell r="Q1569" t="str">
            <v>SSP</v>
          </cell>
          <cell r="R1569" t="str">
            <v>GUARUJA</v>
          </cell>
        </row>
        <row r="1570">
          <cell r="A1570" t="str">
            <v>HELDER DE OLIVEIRA CARVALHO</v>
          </cell>
          <cell r="B1570" t="str">
            <v>Solteiro</v>
          </cell>
          <cell r="C1570" t="str">
            <v>R SAUL DE OLIVEIRA VENTURA</v>
          </cell>
          <cell r="D1570" t="str">
            <v>Conjunto Residencial Humaitá</v>
          </cell>
          <cell r="E1570" t="str">
            <v>SAO VICENTE</v>
          </cell>
          <cell r="F1570" t="str">
            <v>SP</v>
          </cell>
          <cell r="G1570" t="str">
            <v>113</v>
          </cell>
          <cell r="H1570" t="str">
            <v>CASA</v>
          </cell>
          <cell r="I1570" t="str">
            <v>11349-060</v>
          </cell>
          <cell r="J1570" t="str">
            <v>997298606</v>
          </cell>
          <cell r="K1570" t="str">
            <v>991015382</v>
          </cell>
          <cell r="L1570" t="str">
            <v>Masculino</v>
          </cell>
          <cell r="M1570" t="str">
            <v>Parda</v>
          </cell>
          <cell r="N1570">
            <v>30274</v>
          </cell>
          <cell r="O1570" t="str">
            <v>351465170</v>
          </cell>
          <cell r="P1570" t="str">
            <v>SP</v>
          </cell>
          <cell r="Q1570" t="str">
            <v>SSP</v>
          </cell>
          <cell r="R1570" t="str">
            <v>SANTOS</v>
          </cell>
        </row>
        <row r="1571">
          <cell r="A1571" t="str">
            <v>TIAGO LUIS SILVA</v>
          </cell>
          <cell r="B1571" t="str">
            <v>Solteiro</v>
          </cell>
          <cell r="C1571" t="str">
            <v>R OCTACILIO FAUSTINO DOS SANTOS</v>
          </cell>
          <cell r="D1571" t="str">
            <v>Jardim Progresso (Vi</v>
          </cell>
          <cell r="E1571" t="str">
            <v>GUARUJA</v>
          </cell>
          <cell r="F1571" t="str">
            <v>SP</v>
          </cell>
          <cell r="G1571" t="str">
            <v>47</v>
          </cell>
          <cell r="H1571" t="str">
            <v/>
          </cell>
          <cell r="I1571" t="str">
            <v>11453-240</v>
          </cell>
          <cell r="J1571" t="str">
            <v>996194805</v>
          </cell>
          <cell r="K1571" t="str">
            <v/>
          </cell>
          <cell r="L1571" t="str">
            <v>Masculino</v>
          </cell>
          <cell r="M1571" t="str">
            <v>Parda</v>
          </cell>
          <cell r="N1571">
            <v>30258</v>
          </cell>
          <cell r="O1571" t="str">
            <v>320706217</v>
          </cell>
          <cell r="P1571" t="str">
            <v>SP</v>
          </cell>
          <cell r="Q1571" t="str">
            <v>SSP</v>
          </cell>
          <cell r="R1571" t="str">
            <v>GUARUJA</v>
          </cell>
        </row>
        <row r="1572">
          <cell r="A1572" t="str">
            <v>FRANCISCO ELISIANIO SOMBRA SOUSA</v>
          </cell>
          <cell r="B1572" t="str">
            <v>Casado</v>
          </cell>
          <cell r="C1572" t="str">
            <v>R PROFESSOR IDALINO PINEZ</v>
          </cell>
          <cell r="D1572" t="str">
            <v>Jardim Boa Esperança (Vicente de Carvalh</v>
          </cell>
          <cell r="E1572" t="str">
            <v>GUARUJA</v>
          </cell>
          <cell r="F1572" t="str">
            <v>SP</v>
          </cell>
          <cell r="G1572" t="str">
            <v>33</v>
          </cell>
          <cell r="H1572" t="str">
            <v>CASA 2</v>
          </cell>
          <cell r="I1572" t="str">
            <v>11471-030</v>
          </cell>
          <cell r="J1572" t="str">
            <v>974109863</v>
          </cell>
          <cell r="K1572" t="str">
            <v/>
          </cell>
          <cell r="L1572" t="str">
            <v>Masculino</v>
          </cell>
          <cell r="M1572" t="str">
            <v>Parda</v>
          </cell>
          <cell r="N1572">
            <v>28931</v>
          </cell>
          <cell r="O1572" t="str">
            <v>306834596</v>
          </cell>
          <cell r="P1572" t="str">
            <v>CE</v>
          </cell>
          <cell r="Q1572" t="str">
            <v>SSP</v>
          </cell>
          <cell r="R1572" t="str">
            <v>LIMOEIRO DO NORTE</v>
          </cell>
        </row>
        <row r="1573">
          <cell r="A1573" t="str">
            <v>CAIO DE LUCCA FLORENCIO DE SOUZA</v>
          </cell>
          <cell r="B1573" t="str">
            <v>Solteiro</v>
          </cell>
          <cell r="C1573" t="str">
            <v>AV DOS CAIÇARAS</v>
          </cell>
          <cell r="D1573" t="str">
            <v>Jardim Las Palmas</v>
          </cell>
          <cell r="E1573" t="str">
            <v>GUARUJA</v>
          </cell>
          <cell r="F1573" t="str">
            <v>SP</v>
          </cell>
          <cell r="G1573" t="str">
            <v>554</v>
          </cell>
          <cell r="H1573" t="str">
            <v>APTO 11</v>
          </cell>
          <cell r="I1573" t="str">
            <v>11420-440</v>
          </cell>
          <cell r="J1573" t="str">
            <v>996772003</v>
          </cell>
          <cell r="K1573" t="str">
            <v/>
          </cell>
          <cell r="L1573" t="str">
            <v>Masculino</v>
          </cell>
          <cell r="M1573" t="str">
            <v>Parda</v>
          </cell>
          <cell r="N1573">
            <v>37778</v>
          </cell>
          <cell r="O1573" t="str">
            <v>52987832X</v>
          </cell>
          <cell r="P1573" t="str">
            <v>SP</v>
          </cell>
          <cell r="Q1573" t="str">
            <v>SSP</v>
          </cell>
          <cell r="R1573" t="str">
            <v>SANTOS</v>
          </cell>
        </row>
        <row r="1574">
          <cell r="A1574" t="str">
            <v>MARCELI TRINDADE DA SILVA</v>
          </cell>
          <cell r="B1574" t="str">
            <v>Solteiro</v>
          </cell>
          <cell r="C1574" t="str">
            <v>R COLOMBIA</v>
          </cell>
          <cell r="D1574" t="str">
            <v>Jardim Praiano</v>
          </cell>
          <cell r="E1574" t="str">
            <v>GUARUJA</v>
          </cell>
          <cell r="F1574" t="str">
            <v>SP</v>
          </cell>
          <cell r="G1574" t="str">
            <v>710</v>
          </cell>
          <cell r="H1574" t="str">
            <v>FUNDOS A</v>
          </cell>
          <cell r="I1574" t="str">
            <v>11440-360</v>
          </cell>
          <cell r="J1574" t="str">
            <v>996362201</v>
          </cell>
          <cell r="K1574" t="str">
            <v/>
          </cell>
          <cell r="L1574" t="str">
            <v>Feminino</v>
          </cell>
          <cell r="M1574" t="str">
            <v>Parda</v>
          </cell>
          <cell r="N1574">
            <v>38244</v>
          </cell>
          <cell r="O1574" t="str">
            <v>592208382</v>
          </cell>
          <cell r="P1574" t="str">
            <v>SP</v>
          </cell>
          <cell r="Q1574" t="str">
            <v>SSP</v>
          </cell>
          <cell r="R1574" t="str">
            <v>GUARUJA</v>
          </cell>
        </row>
        <row r="1575">
          <cell r="A1575" t="str">
            <v>MARCIA FERNANDES PESTANA</v>
          </cell>
          <cell r="B1575" t="str">
            <v>Solteiro</v>
          </cell>
          <cell r="C1575" t="str">
            <v>AV ALVORADA</v>
          </cell>
          <cell r="D1575" t="str">
            <v>Jardim Alvorada (Vic</v>
          </cell>
          <cell r="E1575" t="str">
            <v>GUARUJA</v>
          </cell>
          <cell r="F1575" t="str">
            <v>SP</v>
          </cell>
          <cell r="G1575" t="str">
            <v>317</v>
          </cell>
          <cell r="H1575" t="str">
            <v>FUNDOS</v>
          </cell>
          <cell r="I1575" t="str">
            <v>11470-000</v>
          </cell>
          <cell r="J1575" t="str">
            <v>974160746</v>
          </cell>
          <cell r="K1575" t="str">
            <v/>
          </cell>
          <cell r="L1575" t="str">
            <v>Feminino</v>
          </cell>
          <cell r="M1575" t="str">
            <v>Parda</v>
          </cell>
          <cell r="N1575">
            <v>28270</v>
          </cell>
          <cell r="O1575" t="str">
            <v>284143303</v>
          </cell>
          <cell r="P1575" t="str">
            <v>SP</v>
          </cell>
          <cell r="Q1575" t="str">
            <v>SSP</v>
          </cell>
          <cell r="R1575" t="str">
            <v>ITAPECERICA DA SERRA</v>
          </cell>
        </row>
        <row r="1576">
          <cell r="A1576" t="str">
            <v>NICOLAS SANTOS BRITO</v>
          </cell>
          <cell r="B1576" t="str">
            <v>Solteiro</v>
          </cell>
          <cell r="C1576" t="str">
            <v>AV GUARUJA</v>
          </cell>
          <cell r="D1576" t="str">
            <v>Sítio Paecara (Vicente de Carvalho)</v>
          </cell>
          <cell r="E1576" t="str">
            <v>GUARUJA</v>
          </cell>
          <cell r="F1576" t="str">
            <v>SP</v>
          </cell>
          <cell r="G1576" t="str">
            <v>186</v>
          </cell>
          <cell r="H1576" t="str">
            <v/>
          </cell>
          <cell r="I1576" t="str">
            <v>11461-000</v>
          </cell>
          <cell r="J1576" t="str">
            <v>981977380</v>
          </cell>
          <cell r="K1576" t="str">
            <v/>
          </cell>
          <cell r="L1576" t="str">
            <v>Masculino</v>
          </cell>
          <cell r="M1576" t="str">
            <v>Parda</v>
          </cell>
          <cell r="N1576">
            <v>33819</v>
          </cell>
          <cell r="O1576" t="str">
            <v>490895414</v>
          </cell>
          <cell r="P1576" t="str">
            <v>SP</v>
          </cell>
          <cell r="Q1576" t="str">
            <v>SSP</v>
          </cell>
          <cell r="R1576" t="str">
            <v>SANTOS</v>
          </cell>
        </row>
        <row r="1577">
          <cell r="A1577" t="str">
            <v>NATANAEL NUNES DOS SANTOS</v>
          </cell>
          <cell r="B1577" t="str">
            <v>Solteiro</v>
          </cell>
          <cell r="C1577" t="str">
            <v>R SILVIO ROMERO</v>
          </cell>
          <cell r="D1577" t="str">
            <v>RIBEIROPOLIS</v>
          </cell>
          <cell r="E1577" t="str">
            <v>PRAIA GRANDE</v>
          </cell>
          <cell r="F1577" t="str">
            <v>SP</v>
          </cell>
          <cell r="G1577" t="str">
            <v>120</v>
          </cell>
          <cell r="H1577" t="str">
            <v/>
          </cell>
          <cell r="I1577" t="str">
            <v>11714-220</v>
          </cell>
          <cell r="J1577" t="str">
            <v>997781721</v>
          </cell>
          <cell r="K1577" t="str">
            <v/>
          </cell>
          <cell r="L1577" t="str">
            <v>Masculino</v>
          </cell>
          <cell r="M1577" t="str">
            <v>Parda</v>
          </cell>
          <cell r="N1577">
            <v>35309</v>
          </cell>
          <cell r="O1577" t="str">
            <v>446758000</v>
          </cell>
          <cell r="P1577" t="str">
            <v>SP</v>
          </cell>
          <cell r="Q1577" t="str">
            <v>SSP</v>
          </cell>
          <cell r="R1577" t="str">
            <v>SAO VICENTE</v>
          </cell>
        </row>
        <row r="1578">
          <cell r="A1578" t="str">
            <v>PEDRO FRANCISCO LEITE DE OLIVEIRA</v>
          </cell>
          <cell r="B1578" t="str">
            <v>Solteiro</v>
          </cell>
          <cell r="C1578" t="str">
            <v>R PASSAGEM BERTIOGA</v>
          </cell>
          <cell r="D1578" t="str">
            <v>Vila Aurea</v>
          </cell>
          <cell r="E1578" t="str">
            <v>GUARUJA</v>
          </cell>
          <cell r="F1578" t="str">
            <v>SP</v>
          </cell>
          <cell r="G1578" t="str">
            <v>9</v>
          </cell>
          <cell r="H1578" t="str">
            <v>L 11 Q20 LC</v>
          </cell>
          <cell r="I1578" t="str">
            <v>11454-410</v>
          </cell>
          <cell r="J1578" t="str">
            <v>988229428</v>
          </cell>
          <cell r="K1578" t="str">
            <v/>
          </cell>
          <cell r="L1578" t="str">
            <v>Masculino</v>
          </cell>
          <cell r="M1578" t="str">
            <v>Parda</v>
          </cell>
          <cell r="N1578">
            <v>36134</v>
          </cell>
          <cell r="O1578" t="str">
            <v>374635419</v>
          </cell>
          <cell r="P1578" t="str">
            <v>SP</v>
          </cell>
          <cell r="Q1578" t="str">
            <v>SSP</v>
          </cell>
          <cell r="R1578" t="str">
            <v>GUARUJA</v>
          </cell>
        </row>
        <row r="1579">
          <cell r="A1579" t="str">
            <v>LIVIA FERREIRA DOS SANTOS</v>
          </cell>
          <cell r="B1579" t="str">
            <v>Solteiro</v>
          </cell>
          <cell r="C1579" t="str">
            <v>AV MARECHAL DEODORO</v>
          </cell>
          <cell r="D1579" t="str">
            <v>Vila Valença</v>
          </cell>
          <cell r="E1579" t="str">
            <v>SAO VICENTE</v>
          </cell>
          <cell r="F1579" t="str">
            <v>SP</v>
          </cell>
          <cell r="G1579" t="str">
            <v>1099</v>
          </cell>
          <cell r="H1579" t="str">
            <v>APTO 202</v>
          </cell>
          <cell r="I1579" t="str">
            <v>11390-100</v>
          </cell>
          <cell r="J1579" t="str">
            <v>996224540</v>
          </cell>
          <cell r="K1579" t="str">
            <v/>
          </cell>
          <cell r="L1579" t="str">
            <v>Feminino</v>
          </cell>
          <cell r="M1579" t="str">
            <v>Parda</v>
          </cell>
          <cell r="N1579">
            <v>37332</v>
          </cell>
          <cell r="O1579" t="str">
            <v>530567271</v>
          </cell>
          <cell r="P1579" t="str">
            <v>SP</v>
          </cell>
          <cell r="Q1579" t="str">
            <v>SSP</v>
          </cell>
          <cell r="R1579" t="str">
            <v>SANTOS</v>
          </cell>
        </row>
        <row r="1580">
          <cell r="A1580" t="str">
            <v>GABRIELA ALCANTARA BARBOSA</v>
          </cell>
          <cell r="B1580" t="str">
            <v>Solteiro</v>
          </cell>
          <cell r="C1580" t="str">
            <v>R DAS VIOLETAS</v>
          </cell>
          <cell r="D1580" t="str">
            <v>Vila Natal</v>
          </cell>
          <cell r="E1580" t="str">
            <v>CUBATAO</v>
          </cell>
          <cell r="F1580" t="str">
            <v>SP</v>
          </cell>
          <cell r="G1580" t="str">
            <v>167</v>
          </cell>
          <cell r="H1580" t="str">
            <v/>
          </cell>
          <cell r="I1580" t="str">
            <v>11538-050</v>
          </cell>
          <cell r="J1580" t="str">
            <v>996062231</v>
          </cell>
          <cell r="K1580" t="str">
            <v/>
          </cell>
          <cell r="L1580" t="str">
            <v>Feminino</v>
          </cell>
          <cell r="M1580" t="str">
            <v>Parda</v>
          </cell>
          <cell r="N1580">
            <v>37709</v>
          </cell>
          <cell r="O1580" t="str">
            <v>56591893X</v>
          </cell>
          <cell r="P1580" t="str">
            <v>SP</v>
          </cell>
          <cell r="Q1580" t="str">
            <v>SSP</v>
          </cell>
          <cell r="R1580" t="str">
            <v>SANTOS</v>
          </cell>
        </row>
        <row r="1581">
          <cell r="A1581" t="str">
            <v>FERNANDO ARAUJO LOPEZ</v>
          </cell>
          <cell r="B1581" t="str">
            <v>Casado</v>
          </cell>
          <cell r="C1581" t="str">
            <v>R JOSE CABALLERO</v>
          </cell>
          <cell r="D1581" t="str">
            <v>Gonzaga</v>
          </cell>
          <cell r="E1581" t="str">
            <v>SANTOS</v>
          </cell>
          <cell r="F1581" t="str">
            <v>SP</v>
          </cell>
          <cell r="G1581" t="str">
            <v>17</v>
          </cell>
          <cell r="H1581" t="str">
            <v>CAS</v>
          </cell>
          <cell r="I1581" t="str">
            <v>11055-300</v>
          </cell>
          <cell r="J1581" t="str">
            <v>988086559</v>
          </cell>
          <cell r="K1581" t="str">
            <v/>
          </cell>
          <cell r="L1581" t="str">
            <v>Masculino</v>
          </cell>
          <cell r="M1581" t="str">
            <v>Parda</v>
          </cell>
          <cell r="N1581">
            <v>28020</v>
          </cell>
          <cell r="O1581" t="str">
            <v>262491114</v>
          </cell>
          <cell r="P1581" t="str">
            <v>SP</v>
          </cell>
          <cell r="Q1581" t="str">
            <v>SSP</v>
          </cell>
          <cell r="R1581" t="str">
            <v>SANTOS</v>
          </cell>
        </row>
        <row r="1582">
          <cell r="A1582" t="str">
            <v>DIEGO CESAR SANTIAGO DA COSTA</v>
          </cell>
          <cell r="B1582" t="str">
            <v>Divorciado</v>
          </cell>
          <cell r="C1582" t="str">
            <v>R ELIEZER LOPES FERNANDES</v>
          </cell>
          <cell r="D1582" t="str">
            <v>Catiapoa</v>
          </cell>
          <cell r="E1582" t="str">
            <v>SAO VICENTE</v>
          </cell>
          <cell r="F1582" t="str">
            <v>SP</v>
          </cell>
          <cell r="G1582" t="str">
            <v>165</v>
          </cell>
          <cell r="H1582" t="str">
            <v/>
          </cell>
          <cell r="I1582" t="str">
            <v>11370-280</v>
          </cell>
          <cell r="J1582" t="str">
            <v>988387746</v>
          </cell>
          <cell r="K1582" t="str">
            <v>34685143</v>
          </cell>
          <cell r="L1582" t="str">
            <v>Masculino</v>
          </cell>
          <cell r="M1582" t="str">
            <v>Parda</v>
          </cell>
          <cell r="N1582">
            <v>33922</v>
          </cell>
          <cell r="O1582" t="str">
            <v>487969972</v>
          </cell>
          <cell r="P1582" t="str">
            <v>SP</v>
          </cell>
          <cell r="Q1582" t="str">
            <v>SSP</v>
          </cell>
          <cell r="R1582" t="str">
            <v>SAO VICENTE</v>
          </cell>
        </row>
        <row r="1583">
          <cell r="A1583" t="str">
            <v>RAMON ALVES MONTEIRO DAMASCENO</v>
          </cell>
          <cell r="B1583" t="str">
            <v>Solteiro</v>
          </cell>
          <cell r="C1583" t="str">
            <v>R PROFESSOR NELSON ESPINDOLA</v>
          </cell>
          <cell r="D1583" t="str">
            <v>Rádio Clube</v>
          </cell>
          <cell r="E1583" t="str">
            <v>SANTOS</v>
          </cell>
          <cell r="F1583" t="str">
            <v>SP</v>
          </cell>
          <cell r="G1583" t="str">
            <v>99</v>
          </cell>
          <cell r="H1583" t="str">
            <v/>
          </cell>
          <cell r="I1583" t="str">
            <v>11088-330</v>
          </cell>
          <cell r="J1583" t="str">
            <v>981484205</v>
          </cell>
          <cell r="K1583" t="str">
            <v>33076786</v>
          </cell>
          <cell r="L1583" t="str">
            <v>Masculino</v>
          </cell>
          <cell r="M1583" t="str">
            <v>Parda</v>
          </cell>
          <cell r="N1583">
            <v>35093</v>
          </cell>
          <cell r="O1583" t="str">
            <v>45505177X</v>
          </cell>
          <cell r="P1583" t="str">
            <v>SP</v>
          </cell>
          <cell r="Q1583" t="str">
            <v>SSP</v>
          </cell>
          <cell r="R1583" t="str">
            <v>SANTOS</v>
          </cell>
        </row>
        <row r="1584">
          <cell r="A1584" t="str">
            <v>GUSTAVO LIMA DE BRITO</v>
          </cell>
          <cell r="B1584" t="str">
            <v>Solteiro</v>
          </cell>
          <cell r="C1584" t="str">
            <v>R JOSE FERNANDO PINTO</v>
          </cell>
          <cell r="D1584" t="str">
            <v>Morro Nova Cintra</v>
          </cell>
          <cell r="E1584" t="str">
            <v>SANTOS</v>
          </cell>
          <cell r="F1584" t="str">
            <v>SP</v>
          </cell>
          <cell r="G1584" t="str">
            <v>974</v>
          </cell>
          <cell r="H1584" t="str">
            <v>CASA</v>
          </cell>
          <cell r="I1584" t="str">
            <v>11080-450</v>
          </cell>
          <cell r="J1584" t="str">
            <v>991671501</v>
          </cell>
          <cell r="K1584" t="str">
            <v/>
          </cell>
          <cell r="L1584" t="str">
            <v>Masculino</v>
          </cell>
          <cell r="M1584" t="str">
            <v>Parda</v>
          </cell>
          <cell r="N1584">
            <v>34753</v>
          </cell>
          <cell r="O1584" t="str">
            <v>420740405</v>
          </cell>
          <cell r="P1584" t="str">
            <v>SP</v>
          </cell>
          <cell r="Q1584" t="str">
            <v>SSP</v>
          </cell>
          <cell r="R1584" t="str">
            <v>SANTOS</v>
          </cell>
        </row>
        <row r="1585">
          <cell r="A1585" t="str">
            <v>ISABELLA SOUSA DE ARAUJO MOCHEL</v>
          </cell>
          <cell r="B1585" t="str">
            <v>Solteiro</v>
          </cell>
          <cell r="C1585" t="str">
            <v>R NASCIMENTO</v>
          </cell>
          <cell r="D1585" t="str">
            <v>Embare</v>
          </cell>
          <cell r="E1585" t="str">
            <v>SANTOS</v>
          </cell>
          <cell r="F1585" t="str">
            <v>SP</v>
          </cell>
          <cell r="G1585" t="str">
            <v>11</v>
          </cell>
          <cell r="H1585" t="str">
            <v/>
          </cell>
          <cell r="I1585" t="str">
            <v>11040-170</v>
          </cell>
          <cell r="J1585" t="str">
            <v>984190516</v>
          </cell>
          <cell r="K1585" t="str">
            <v/>
          </cell>
          <cell r="L1585" t="str">
            <v>Feminino</v>
          </cell>
          <cell r="M1585" t="str">
            <v>Parda</v>
          </cell>
          <cell r="N1585">
            <v>33396</v>
          </cell>
          <cell r="O1585" t="str">
            <v>0387463320108</v>
          </cell>
          <cell r="P1585" t="str">
            <v>MA</v>
          </cell>
          <cell r="Q1585" t="str">
            <v>SSP</v>
          </cell>
          <cell r="R1585" t="str">
            <v>SAO LUIS</v>
          </cell>
        </row>
        <row r="1586">
          <cell r="A1586" t="str">
            <v>ELISANGELA MARTINHO DA SILVA</v>
          </cell>
          <cell r="B1586" t="str">
            <v>Solteiro</v>
          </cell>
          <cell r="C1586" t="str">
            <v>R POETA ALVARES DE AZEVEDO</v>
          </cell>
          <cell r="D1586" t="str">
            <v>Jardim Brasil II</v>
          </cell>
          <cell r="E1586" t="str">
            <v>GUARUJA</v>
          </cell>
          <cell r="F1586" t="str">
            <v>SP</v>
          </cell>
          <cell r="G1586" t="str">
            <v>80</v>
          </cell>
          <cell r="H1586" t="str">
            <v/>
          </cell>
          <cell r="I1586" t="str">
            <v>11497-020</v>
          </cell>
          <cell r="J1586" t="str">
            <v>974124958</v>
          </cell>
          <cell r="K1586" t="str">
            <v/>
          </cell>
          <cell r="L1586" t="str">
            <v>Feminino</v>
          </cell>
          <cell r="M1586" t="str">
            <v>Parda</v>
          </cell>
          <cell r="N1586">
            <v>32974</v>
          </cell>
          <cell r="O1586" t="str">
            <v>467058593</v>
          </cell>
          <cell r="P1586" t="str">
            <v>SP</v>
          </cell>
          <cell r="Q1586" t="str">
            <v>SSP</v>
          </cell>
          <cell r="R1586" t="str">
            <v>GUARUJA</v>
          </cell>
        </row>
        <row r="1587">
          <cell r="A1587" t="str">
            <v>ANDRE DOS SANTOS MENDONCA GUEDES</v>
          </cell>
          <cell r="B1587" t="str">
            <v>Casado</v>
          </cell>
          <cell r="C1587" t="str">
            <v>R ALLAN KARDEC</v>
          </cell>
          <cell r="D1587" t="str">
            <v>Parque Enseada</v>
          </cell>
          <cell r="E1587" t="str">
            <v>GUARUJA</v>
          </cell>
          <cell r="F1587" t="str">
            <v>SP</v>
          </cell>
          <cell r="G1587" t="str">
            <v>175</v>
          </cell>
          <cell r="H1587" t="str">
            <v>BLOCO L APTO 23</v>
          </cell>
          <cell r="I1587" t="str">
            <v>11400-000</v>
          </cell>
          <cell r="J1587" t="str">
            <v>997157297</v>
          </cell>
          <cell r="K1587" t="str">
            <v/>
          </cell>
          <cell r="L1587" t="str">
            <v>Masculino</v>
          </cell>
          <cell r="M1587" t="str">
            <v>Parda</v>
          </cell>
          <cell r="N1587">
            <v>33897</v>
          </cell>
          <cell r="O1587" t="str">
            <v>492920412</v>
          </cell>
          <cell r="P1587" t="str">
            <v>SP</v>
          </cell>
          <cell r="Q1587" t="str">
            <v>SSP</v>
          </cell>
          <cell r="R1587" t="str">
            <v>GUARUJA</v>
          </cell>
        </row>
        <row r="1588">
          <cell r="A1588" t="str">
            <v>PAULO MIQUEIAS DA SILVA XAVIER</v>
          </cell>
          <cell r="B1588" t="str">
            <v>Solteiro</v>
          </cell>
          <cell r="C1588" t="str">
            <v>R BOLIVIA</v>
          </cell>
          <cell r="D1588" t="str">
            <v>Guilhermina</v>
          </cell>
          <cell r="E1588" t="str">
            <v>PRAIA GRANDE</v>
          </cell>
          <cell r="F1588" t="str">
            <v>SP</v>
          </cell>
          <cell r="G1588" t="str">
            <v>187</v>
          </cell>
          <cell r="H1588" t="str">
            <v>APTO 55</v>
          </cell>
          <cell r="I1588" t="str">
            <v>11701-850</v>
          </cell>
          <cell r="J1588" t="str">
            <v>988242840</v>
          </cell>
          <cell r="K1588" t="str">
            <v/>
          </cell>
          <cell r="L1588" t="str">
            <v>Masculino</v>
          </cell>
          <cell r="M1588" t="str">
            <v>Parda</v>
          </cell>
          <cell r="N1588">
            <v>36503</v>
          </cell>
          <cell r="O1588" t="str">
            <v>536493078</v>
          </cell>
          <cell r="P1588" t="str">
            <v>SP</v>
          </cell>
          <cell r="Q1588" t="str">
            <v>SSP</v>
          </cell>
          <cell r="R1588" t="str">
            <v>GUARUJA</v>
          </cell>
        </row>
        <row r="1589">
          <cell r="A1589" t="str">
            <v>WILLIAMS SANTOS DA SILVA</v>
          </cell>
          <cell r="B1589" t="str">
            <v>Solteiro</v>
          </cell>
          <cell r="C1589" t="str">
            <v>R JOAQUIM CAMPOS</v>
          </cell>
          <cell r="D1589" t="str">
            <v>Japuí</v>
          </cell>
          <cell r="E1589" t="str">
            <v>SAO VICENTE</v>
          </cell>
          <cell r="F1589" t="str">
            <v>SP</v>
          </cell>
          <cell r="G1589" t="str">
            <v>384</v>
          </cell>
          <cell r="H1589" t="str">
            <v>CNJ HAB JPÍ III AP 9</v>
          </cell>
          <cell r="I1589" t="str">
            <v>11325-090</v>
          </cell>
          <cell r="J1589" t="str">
            <v>991098937</v>
          </cell>
          <cell r="K1589" t="str">
            <v/>
          </cell>
          <cell r="L1589" t="str">
            <v>Masculino</v>
          </cell>
          <cell r="M1589" t="str">
            <v>Parda</v>
          </cell>
          <cell r="N1589">
            <v>34349</v>
          </cell>
          <cell r="O1589" t="str">
            <v>413944803</v>
          </cell>
          <cell r="P1589" t="str">
            <v>SP</v>
          </cell>
          <cell r="Q1589" t="str">
            <v>SSP</v>
          </cell>
          <cell r="R1589" t="str">
            <v>SAO VICENTE</v>
          </cell>
        </row>
        <row r="1590">
          <cell r="A1590" t="str">
            <v>SILVIO AUGUSTO</v>
          </cell>
          <cell r="B1590" t="str">
            <v>União Estável</v>
          </cell>
          <cell r="C1590" t="str">
            <v>R  EZIO TESTINI</v>
          </cell>
          <cell r="D1590" t="str">
            <v>Santa Maria</v>
          </cell>
          <cell r="E1590" t="str">
            <v>SANTOS</v>
          </cell>
          <cell r="F1590" t="str">
            <v>SP</v>
          </cell>
          <cell r="G1590" t="str">
            <v>623</v>
          </cell>
          <cell r="H1590" t="str">
            <v/>
          </cell>
          <cell r="I1590" t="str">
            <v>11089-210</v>
          </cell>
          <cell r="J1590" t="str">
            <v>991382041</v>
          </cell>
          <cell r="K1590" t="str">
            <v/>
          </cell>
          <cell r="L1590" t="str">
            <v>Masculino</v>
          </cell>
          <cell r="M1590" t="str">
            <v>Parda</v>
          </cell>
          <cell r="N1590">
            <v>26518</v>
          </cell>
          <cell r="O1590" t="str">
            <v>232177818</v>
          </cell>
          <cell r="P1590" t="str">
            <v>SP</v>
          </cell>
          <cell r="Q1590" t="str">
            <v>SSP</v>
          </cell>
          <cell r="R1590" t="str">
            <v>SANTOS</v>
          </cell>
        </row>
        <row r="1591">
          <cell r="A1591" t="str">
            <v>ARIVALDO FRANCISCO DE JESUS</v>
          </cell>
          <cell r="B1591" t="str">
            <v>Casado</v>
          </cell>
          <cell r="C1591" t="str">
            <v>R DR HAROLDO DE CAMARGO</v>
          </cell>
          <cell r="D1591" t="str">
            <v>Jardim Castelo</v>
          </cell>
          <cell r="E1591" t="str">
            <v>SANTOS</v>
          </cell>
          <cell r="F1591" t="str">
            <v>SP</v>
          </cell>
          <cell r="G1591" t="str">
            <v>60</v>
          </cell>
          <cell r="H1591" t="str">
            <v>TP B APTO 82</v>
          </cell>
          <cell r="I1591" t="str">
            <v>11087-500</v>
          </cell>
          <cell r="J1591" t="str">
            <v>978282559</v>
          </cell>
          <cell r="K1591" t="str">
            <v/>
          </cell>
          <cell r="L1591" t="str">
            <v>Masculino</v>
          </cell>
          <cell r="M1591" t="str">
            <v>Parda</v>
          </cell>
          <cell r="N1591">
            <v>26340</v>
          </cell>
          <cell r="O1591" t="str">
            <v>230321793</v>
          </cell>
          <cell r="P1591" t="str">
            <v>SP</v>
          </cell>
          <cell r="Q1591" t="str">
            <v>SSP</v>
          </cell>
          <cell r="R1591" t="str">
            <v>GUARUJA</v>
          </cell>
        </row>
        <row r="1592">
          <cell r="A1592" t="str">
            <v>LUZINARIO ODILON DOS SANTOS SOUZA</v>
          </cell>
          <cell r="B1592" t="str">
            <v>Solteiro</v>
          </cell>
          <cell r="C1592" t="str">
            <v>R OPERARIA</v>
          </cell>
          <cell r="D1592" t="str">
            <v>Macuco</v>
          </cell>
          <cell r="E1592" t="str">
            <v>SANTOS</v>
          </cell>
          <cell r="F1592" t="str">
            <v>SP</v>
          </cell>
          <cell r="G1592" t="str">
            <v>4</v>
          </cell>
          <cell r="H1592" t="str">
            <v/>
          </cell>
          <cell r="I1592" t="str">
            <v>11015-170</v>
          </cell>
          <cell r="J1592" t="str">
            <v>997081607</v>
          </cell>
          <cell r="K1592" t="str">
            <v/>
          </cell>
          <cell r="L1592" t="str">
            <v>Masculino</v>
          </cell>
          <cell r="M1592" t="str">
            <v>Parda</v>
          </cell>
          <cell r="N1592">
            <v>26861</v>
          </cell>
          <cell r="O1592" t="str">
            <v>225458159</v>
          </cell>
          <cell r="P1592" t="str">
            <v>SP</v>
          </cell>
          <cell r="Q1592" t="str">
            <v>SSP</v>
          </cell>
          <cell r="R1592" t="str">
            <v>SANTOS</v>
          </cell>
        </row>
        <row r="1593">
          <cell r="A1593" t="str">
            <v>ANTONIO CARLOS CRESPO DOS SANTOS</v>
          </cell>
          <cell r="B1593" t="str">
            <v>Divorciado</v>
          </cell>
          <cell r="C1593" t="str">
            <v>PC VINTE E DOIS DE JANEIRO</v>
          </cell>
          <cell r="D1593" t="str">
            <v>Centro</v>
          </cell>
          <cell r="E1593" t="str">
            <v>SAO VICENTE</v>
          </cell>
          <cell r="F1593" t="str">
            <v>SP</v>
          </cell>
          <cell r="G1593" t="str">
            <v>644</v>
          </cell>
          <cell r="H1593" t="str">
            <v>APTO 225</v>
          </cell>
          <cell r="I1593" t="str">
            <v>11310-090</v>
          </cell>
          <cell r="J1593" t="str">
            <v>974076734</v>
          </cell>
          <cell r="K1593" t="str">
            <v/>
          </cell>
          <cell r="L1593" t="str">
            <v>Masculino</v>
          </cell>
          <cell r="M1593" t="str">
            <v>Parda</v>
          </cell>
          <cell r="N1593">
            <v>23919</v>
          </cell>
          <cell r="O1593" t="str">
            <v>070685276</v>
          </cell>
          <cell r="P1593" t="str">
            <v>RJ</v>
          </cell>
          <cell r="Q1593" t="str">
            <v>SSP</v>
          </cell>
          <cell r="R1593" t="str">
            <v>RIO DE JANEIRO</v>
          </cell>
        </row>
        <row r="1594">
          <cell r="A1594" t="str">
            <v>JULIO CESAR TADEU DA COSTA</v>
          </cell>
          <cell r="B1594" t="str">
            <v>Outros</v>
          </cell>
          <cell r="C1594" t="str">
            <v>R DOUTOR CUNHA MOREIRA</v>
          </cell>
          <cell r="D1594" t="str">
            <v>Encruzilhada</v>
          </cell>
          <cell r="E1594" t="str">
            <v>SANTOS</v>
          </cell>
          <cell r="F1594" t="str">
            <v>SP</v>
          </cell>
          <cell r="G1594" t="str">
            <v>102</v>
          </cell>
          <cell r="H1594" t="str">
            <v>APTO 22 BLOCO D</v>
          </cell>
          <cell r="I1594" t="str">
            <v>11050-241</v>
          </cell>
          <cell r="J1594" t="str">
            <v>33452743</v>
          </cell>
          <cell r="K1594" t="str">
            <v>974047730</v>
          </cell>
          <cell r="L1594" t="str">
            <v>Masculino</v>
          </cell>
          <cell r="M1594" t="str">
            <v>Parda</v>
          </cell>
          <cell r="N1594">
            <v>26640</v>
          </cell>
          <cell r="O1594" t="str">
            <v>226785889</v>
          </cell>
          <cell r="P1594" t="str">
            <v>SP</v>
          </cell>
          <cell r="Q1594" t="str">
            <v>SSP</v>
          </cell>
          <cell r="R1594" t="str">
            <v>SANTOS</v>
          </cell>
        </row>
        <row r="1595">
          <cell r="A1595" t="str">
            <v>FABIANO LUIZ MACHADO DE ALMEIDA</v>
          </cell>
          <cell r="B1595" t="str">
            <v>União Estável</v>
          </cell>
          <cell r="C1595" t="str">
            <v>R  DOUTOR NILO COSTA</v>
          </cell>
          <cell r="D1595" t="str">
            <v>Macuco</v>
          </cell>
          <cell r="E1595" t="str">
            <v>SANTOS</v>
          </cell>
          <cell r="F1595" t="str">
            <v>SP</v>
          </cell>
          <cell r="G1595" t="str">
            <v>39</v>
          </cell>
          <cell r="H1595" t="str">
            <v/>
          </cell>
          <cell r="I1595" t="str">
            <v>11015-360</v>
          </cell>
          <cell r="J1595" t="str">
            <v>991788778</v>
          </cell>
          <cell r="K1595" t="str">
            <v/>
          </cell>
          <cell r="L1595" t="str">
            <v>Masculino</v>
          </cell>
          <cell r="M1595" t="str">
            <v>Parda</v>
          </cell>
          <cell r="N1595">
            <v>27972</v>
          </cell>
          <cell r="O1595" t="str">
            <v>277713894</v>
          </cell>
          <cell r="P1595" t="str">
            <v>SP</v>
          </cell>
          <cell r="Q1595" t="str">
            <v>SSP</v>
          </cell>
          <cell r="R1595" t="str">
            <v>SANTOS</v>
          </cell>
        </row>
        <row r="1596">
          <cell r="A1596" t="str">
            <v>LUCAS FELICIANO SANTOS</v>
          </cell>
          <cell r="B1596" t="str">
            <v>Solteiro</v>
          </cell>
          <cell r="C1596" t="str">
            <v>R PROFESSOR NELSON SPINDOLA LOBATO</v>
          </cell>
          <cell r="D1596" t="str">
            <v>Rádio Clube</v>
          </cell>
          <cell r="E1596" t="str">
            <v>SANTOS</v>
          </cell>
          <cell r="F1596" t="str">
            <v>SP</v>
          </cell>
          <cell r="G1596" t="str">
            <v>270</v>
          </cell>
          <cell r="H1596" t="str">
            <v>BLD 2</v>
          </cell>
          <cell r="I1596" t="str">
            <v>11088-330</v>
          </cell>
          <cell r="J1596" t="str">
            <v>991126897</v>
          </cell>
          <cell r="K1596" t="str">
            <v/>
          </cell>
          <cell r="L1596" t="str">
            <v>Masculino</v>
          </cell>
          <cell r="M1596" t="str">
            <v>Parda</v>
          </cell>
          <cell r="N1596">
            <v>34954</v>
          </cell>
          <cell r="O1596" t="str">
            <v>485425506</v>
          </cell>
          <cell r="P1596" t="str">
            <v>SP</v>
          </cell>
          <cell r="Q1596" t="str">
            <v>SSP</v>
          </cell>
          <cell r="R1596" t="str">
            <v>SANTOS</v>
          </cell>
        </row>
        <row r="1597">
          <cell r="A1597" t="str">
            <v>RICARDO RIBEIRO</v>
          </cell>
          <cell r="B1597" t="str">
            <v>Casado</v>
          </cell>
          <cell r="C1597" t="str">
            <v>R NOVE</v>
          </cell>
          <cell r="D1597" t="str">
            <v>Vila Progresso</v>
          </cell>
          <cell r="E1597" t="str">
            <v>SANTOS</v>
          </cell>
          <cell r="F1597" t="str">
            <v>SP</v>
          </cell>
          <cell r="G1597" t="str">
            <v>4417</v>
          </cell>
          <cell r="H1597" t="str">
            <v>FUNDOS</v>
          </cell>
          <cell r="I1597" t="str">
            <v>11080-580</v>
          </cell>
          <cell r="J1597" t="str">
            <v>974144094</v>
          </cell>
          <cell r="K1597" t="str">
            <v/>
          </cell>
          <cell r="L1597" t="str">
            <v>Masculino</v>
          </cell>
          <cell r="M1597" t="str">
            <v>Parda</v>
          </cell>
          <cell r="N1597">
            <v>24244</v>
          </cell>
          <cell r="O1597" t="str">
            <v>197573848</v>
          </cell>
          <cell r="P1597" t="str">
            <v>SP</v>
          </cell>
          <cell r="Q1597" t="str">
            <v>SSP</v>
          </cell>
          <cell r="R1597" t="str">
            <v>SANTOS</v>
          </cell>
        </row>
        <row r="1598">
          <cell r="A1598" t="str">
            <v>LUCIANO DE LIMA GALVAO</v>
          </cell>
          <cell r="B1598" t="str">
            <v>Casado</v>
          </cell>
          <cell r="C1598" t="str">
            <v>AV ENG MANOEL FERRAMENTA JUNIOR</v>
          </cell>
          <cell r="D1598" t="str">
            <v>Areia Branca</v>
          </cell>
          <cell r="E1598" t="str">
            <v>SANTOS</v>
          </cell>
          <cell r="F1598" t="str">
            <v>SP</v>
          </cell>
          <cell r="G1598" t="str">
            <v>363</v>
          </cell>
          <cell r="H1598" t="str">
            <v>BL C BOULEVARD APTO 125</v>
          </cell>
          <cell r="I1598" t="str">
            <v>11086-400</v>
          </cell>
          <cell r="J1598" t="str">
            <v>9974233656</v>
          </cell>
          <cell r="K1598" t="str">
            <v/>
          </cell>
          <cell r="L1598" t="str">
            <v>Masculino</v>
          </cell>
          <cell r="M1598" t="str">
            <v>Parda</v>
          </cell>
          <cell r="N1598">
            <v>27507</v>
          </cell>
          <cell r="O1598" t="str">
            <v>243263004</v>
          </cell>
          <cell r="P1598" t="str">
            <v>SP</v>
          </cell>
          <cell r="Q1598" t="str">
            <v>SSP</v>
          </cell>
          <cell r="R1598" t="str">
            <v>SANTOS</v>
          </cell>
        </row>
        <row r="1599">
          <cell r="A1599" t="str">
            <v>INES APARECIDA LOPES</v>
          </cell>
          <cell r="B1599" t="str">
            <v>Divorciado</v>
          </cell>
          <cell r="C1599" t="str">
            <v>R GONCALVES LEDO</v>
          </cell>
          <cell r="D1599" t="str">
            <v>Campo Grande</v>
          </cell>
          <cell r="E1599" t="str">
            <v>SANTOS</v>
          </cell>
          <cell r="F1599" t="str">
            <v>SP</v>
          </cell>
          <cell r="G1599" t="str">
            <v>64</v>
          </cell>
          <cell r="H1599" t="str">
            <v>APTO 23</v>
          </cell>
          <cell r="I1599" t="str">
            <v>11070-330</v>
          </cell>
          <cell r="J1599" t="str">
            <v>996112115</v>
          </cell>
          <cell r="K1599" t="str">
            <v/>
          </cell>
          <cell r="L1599" t="str">
            <v>Feminino</v>
          </cell>
          <cell r="M1599" t="str">
            <v>Parda</v>
          </cell>
          <cell r="N1599">
            <v>24061</v>
          </cell>
          <cell r="O1599" t="str">
            <v>192954209</v>
          </cell>
          <cell r="P1599" t="str">
            <v>SP</v>
          </cell>
          <cell r="Q1599" t="str">
            <v>SSP</v>
          </cell>
          <cell r="R1599" t="str">
            <v>PARIQUERA-ACU</v>
          </cell>
        </row>
        <row r="1600">
          <cell r="A1600" t="str">
            <v>BRUNA DE SOUZA SILVEIRA</v>
          </cell>
          <cell r="B1600" t="str">
            <v>Solteiro</v>
          </cell>
          <cell r="C1600" t="str">
            <v>R CARLOS GOMES</v>
          </cell>
          <cell r="D1600" t="str">
            <v>Jardim Casqueiro</v>
          </cell>
          <cell r="E1600" t="str">
            <v>CUBATAO</v>
          </cell>
          <cell r="F1600" t="str">
            <v>SP</v>
          </cell>
          <cell r="G1600" t="str">
            <v>363</v>
          </cell>
          <cell r="H1600" t="str">
            <v/>
          </cell>
          <cell r="I1600" t="str">
            <v>11530-000</v>
          </cell>
          <cell r="J1600" t="str">
            <v>997607666</v>
          </cell>
          <cell r="K1600" t="str">
            <v/>
          </cell>
          <cell r="L1600" t="str">
            <v>Feminino</v>
          </cell>
          <cell r="M1600" t="str">
            <v>Branca</v>
          </cell>
          <cell r="N1600">
            <v>34618</v>
          </cell>
          <cell r="O1600" t="str">
            <v>428778252</v>
          </cell>
          <cell r="P1600" t="str">
            <v>SP</v>
          </cell>
          <cell r="Q1600" t="str">
            <v>SSP</v>
          </cell>
          <cell r="R1600" t="str">
            <v>CUBATAO</v>
          </cell>
        </row>
        <row r="1601">
          <cell r="A1601" t="str">
            <v>NICOLAS RYAN RODRIGUES</v>
          </cell>
          <cell r="B1601" t="str">
            <v>Solteiro</v>
          </cell>
          <cell r="C1601" t="str">
            <v>R DR ANTONIO M DE CARVALHO</v>
          </cell>
          <cell r="D1601" t="str">
            <v>Morro Nova Cintra</v>
          </cell>
          <cell r="E1601" t="str">
            <v>SANTOS</v>
          </cell>
          <cell r="F1601" t="str">
            <v>SP</v>
          </cell>
          <cell r="G1601" t="str">
            <v>4224</v>
          </cell>
          <cell r="H1601" t="str">
            <v/>
          </cell>
          <cell r="I1601" t="str">
            <v>11080-100</v>
          </cell>
          <cell r="J1601" t="str">
            <v>997261935</v>
          </cell>
          <cell r="K1601" t="str">
            <v/>
          </cell>
          <cell r="L1601" t="str">
            <v>Masculino</v>
          </cell>
          <cell r="M1601" t="str">
            <v>Branca</v>
          </cell>
          <cell r="N1601">
            <v>37396</v>
          </cell>
          <cell r="O1601" t="str">
            <v>574240688</v>
          </cell>
          <cell r="P1601" t="str">
            <v>SP</v>
          </cell>
          <cell r="Q1601" t="str">
            <v>SSP</v>
          </cell>
          <cell r="R1601" t="str">
            <v>SANTOS</v>
          </cell>
        </row>
        <row r="1602">
          <cell r="A1602" t="str">
            <v>RICHARD DOUGLAS CEZARIO DA COSTA</v>
          </cell>
          <cell r="B1602" t="str">
            <v>Casado</v>
          </cell>
          <cell r="C1602" t="str">
            <v>R ALVARO PARENTE</v>
          </cell>
          <cell r="D1602" t="str">
            <v>Parque Estuário (Vicente de Carvalho)</v>
          </cell>
          <cell r="E1602" t="str">
            <v>GUARUJA</v>
          </cell>
          <cell r="F1602" t="str">
            <v>SP</v>
          </cell>
          <cell r="G1602" t="str">
            <v>554</v>
          </cell>
          <cell r="H1602" t="str">
            <v/>
          </cell>
          <cell r="I1602" t="str">
            <v>11451-020</v>
          </cell>
          <cell r="J1602" t="str">
            <v>988652218</v>
          </cell>
          <cell r="K1602" t="str">
            <v>33524362</v>
          </cell>
          <cell r="L1602" t="str">
            <v>Masculino</v>
          </cell>
          <cell r="M1602" t="str">
            <v>Parda</v>
          </cell>
          <cell r="N1602">
            <v>31493</v>
          </cell>
          <cell r="O1602" t="str">
            <v>407743315</v>
          </cell>
          <cell r="P1602" t="str">
            <v>SP</v>
          </cell>
          <cell r="Q1602" t="str">
            <v>SSP</v>
          </cell>
          <cell r="R1602" t="str">
            <v>SANTOS</v>
          </cell>
        </row>
        <row r="1603">
          <cell r="A1603" t="str">
            <v>FABRICIO MANHANI</v>
          </cell>
          <cell r="B1603" t="str">
            <v>Solteiro</v>
          </cell>
          <cell r="C1603" t="str">
            <v>R SANTA CATARINA</v>
          </cell>
          <cell r="D1603" t="str">
            <v>Jose Menino</v>
          </cell>
          <cell r="E1603" t="str">
            <v>SANTOS</v>
          </cell>
          <cell r="F1603" t="str">
            <v>SP</v>
          </cell>
          <cell r="G1603" t="str">
            <v>194</v>
          </cell>
          <cell r="H1603" t="str">
            <v>APTO 113</v>
          </cell>
          <cell r="I1603" t="str">
            <v>11065-670</v>
          </cell>
          <cell r="J1603" t="str">
            <v>981686316</v>
          </cell>
          <cell r="K1603" t="str">
            <v/>
          </cell>
          <cell r="L1603" t="str">
            <v>Masculino</v>
          </cell>
          <cell r="M1603" t="str">
            <v>Parda</v>
          </cell>
          <cell r="N1603">
            <v>26949</v>
          </cell>
          <cell r="O1603" t="str">
            <v>230345232</v>
          </cell>
          <cell r="P1603" t="str">
            <v>SP</v>
          </cell>
          <cell r="Q1603" t="str">
            <v>SSP</v>
          </cell>
          <cell r="R1603" t="str">
            <v>SANTOS</v>
          </cell>
        </row>
        <row r="1604">
          <cell r="A1604" t="str">
            <v>PEDRO HENRIQUE RIBEIRO BERNARDES</v>
          </cell>
          <cell r="B1604" t="str">
            <v>Solteiro</v>
          </cell>
          <cell r="C1604" t="str">
            <v>AV ANA COSTA</v>
          </cell>
          <cell r="D1604" t="str">
            <v>Gonzaga</v>
          </cell>
          <cell r="E1604" t="str">
            <v>SANTOS</v>
          </cell>
          <cell r="F1604" t="str">
            <v>SP</v>
          </cell>
          <cell r="G1604" t="str">
            <v>432</v>
          </cell>
          <cell r="H1604" t="str">
            <v>APTO 21</v>
          </cell>
          <cell r="I1604" t="str">
            <v>11060-002</v>
          </cell>
          <cell r="J1604" t="str">
            <v>991046931</v>
          </cell>
          <cell r="K1604" t="str">
            <v/>
          </cell>
          <cell r="L1604" t="str">
            <v>Masculino</v>
          </cell>
          <cell r="M1604" t="str">
            <v>Branca</v>
          </cell>
          <cell r="N1604">
            <v>36495</v>
          </cell>
          <cell r="O1604" t="str">
            <v>528746613</v>
          </cell>
          <cell r="P1604" t="str">
            <v>SP</v>
          </cell>
          <cell r="Q1604" t="str">
            <v>SSP</v>
          </cell>
          <cell r="R1604" t="str">
            <v>SANTOS</v>
          </cell>
        </row>
        <row r="1605">
          <cell r="A1605" t="str">
            <v>DANIEL DE OLIVEIRA PAIXAO</v>
          </cell>
          <cell r="B1605" t="str">
            <v>Casado</v>
          </cell>
          <cell r="C1605" t="str">
            <v>R JOSE ALVES DO NASCIMENTO</v>
          </cell>
          <cell r="D1605" t="str">
            <v>Rádio Clube</v>
          </cell>
          <cell r="E1605" t="str">
            <v>SANTOS</v>
          </cell>
          <cell r="F1605" t="str">
            <v>SP</v>
          </cell>
          <cell r="G1605" t="str">
            <v>221</v>
          </cell>
          <cell r="H1605" t="str">
            <v/>
          </cell>
          <cell r="I1605" t="str">
            <v>11088-030</v>
          </cell>
          <cell r="J1605" t="str">
            <v>982030624</v>
          </cell>
          <cell r="K1605" t="str">
            <v/>
          </cell>
          <cell r="L1605" t="str">
            <v>Masculino</v>
          </cell>
          <cell r="M1605" t="str">
            <v>Parda</v>
          </cell>
          <cell r="N1605">
            <v>25357</v>
          </cell>
          <cell r="O1605" t="str">
            <v>203247395</v>
          </cell>
          <cell r="P1605" t="str">
            <v>SP</v>
          </cell>
          <cell r="Q1605" t="str">
            <v>SSP</v>
          </cell>
          <cell r="R1605" t="str">
            <v>SANTOS</v>
          </cell>
        </row>
        <row r="1606">
          <cell r="A1606" t="str">
            <v>ROMUALDO EUFRASIO DA SILVA</v>
          </cell>
          <cell r="B1606" t="str">
            <v>Solteiro</v>
          </cell>
          <cell r="C1606" t="str">
            <v>R  JOAO PESSOA</v>
          </cell>
          <cell r="D1606" t="str">
            <v>Parque Estuário (Vicente de Carvalho)</v>
          </cell>
          <cell r="E1606" t="str">
            <v>GUARUJA</v>
          </cell>
          <cell r="F1606" t="str">
            <v>SP</v>
          </cell>
          <cell r="G1606" t="str">
            <v>53</v>
          </cell>
          <cell r="H1606" t="str">
            <v>CASA 02</v>
          </cell>
          <cell r="I1606" t="str">
            <v>11451-130</v>
          </cell>
          <cell r="J1606" t="str">
            <v>974111631</v>
          </cell>
          <cell r="K1606" t="str">
            <v/>
          </cell>
          <cell r="L1606" t="str">
            <v>Masculino</v>
          </cell>
          <cell r="M1606" t="str">
            <v>Parda</v>
          </cell>
          <cell r="N1606">
            <v>25593</v>
          </cell>
          <cell r="O1606" t="str">
            <v>217458555</v>
          </cell>
          <cell r="P1606" t="str">
            <v>SP</v>
          </cell>
          <cell r="Q1606" t="str">
            <v>SSP</v>
          </cell>
          <cell r="R1606" t="str">
            <v>NATAL</v>
          </cell>
        </row>
        <row r="1607">
          <cell r="A1607" t="str">
            <v>RONALDO PEDRO DA SILVA</v>
          </cell>
          <cell r="B1607" t="str">
            <v>Casado</v>
          </cell>
          <cell r="C1607" t="str">
            <v>R MAJOR SATURNINO VITOR DE ALMEIDA PILAR</v>
          </cell>
          <cell r="D1607" t="str">
            <v>Cidade Náutica</v>
          </cell>
          <cell r="E1607" t="str">
            <v>SAO VICENTE</v>
          </cell>
          <cell r="F1607" t="str">
            <v>SP</v>
          </cell>
          <cell r="G1607" t="str">
            <v>471</v>
          </cell>
          <cell r="H1607" t="str">
            <v/>
          </cell>
          <cell r="I1607" t="str">
            <v>11350-240</v>
          </cell>
          <cell r="J1607" t="str">
            <v>974142406</v>
          </cell>
          <cell r="K1607" t="str">
            <v/>
          </cell>
          <cell r="L1607" t="str">
            <v>Masculino</v>
          </cell>
          <cell r="M1607" t="str">
            <v>Branca</v>
          </cell>
          <cell r="N1607">
            <v>26965</v>
          </cell>
          <cell r="O1607" t="str">
            <v>222540205</v>
          </cell>
          <cell r="P1607" t="str">
            <v>SP</v>
          </cell>
          <cell r="Q1607" t="str">
            <v>SSP</v>
          </cell>
          <cell r="R1607" t="str">
            <v>SAO RAFAEL</v>
          </cell>
        </row>
        <row r="1608">
          <cell r="A1608" t="str">
            <v>ALEXANDRE GABRIEL DE SOUZA</v>
          </cell>
          <cell r="B1608" t="str">
            <v>União Estável</v>
          </cell>
          <cell r="C1608" t="str">
            <v>AV BARTOLOMEU DE GUSMAO</v>
          </cell>
          <cell r="D1608" t="str">
            <v>Aparecida</v>
          </cell>
          <cell r="E1608" t="str">
            <v>SANTOS</v>
          </cell>
          <cell r="F1608" t="str">
            <v>SP</v>
          </cell>
          <cell r="G1608" t="str">
            <v>120</v>
          </cell>
          <cell r="H1608" t="str">
            <v/>
          </cell>
          <cell r="I1608" t="str">
            <v>11045-401</v>
          </cell>
          <cell r="J1608" t="str">
            <v>99648-0486</v>
          </cell>
          <cell r="K1608" t="str">
            <v/>
          </cell>
          <cell r="L1608" t="str">
            <v>Masculino</v>
          </cell>
          <cell r="M1608" t="str">
            <v>Preta/Negra</v>
          </cell>
          <cell r="N1608">
            <v>25740</v>
          </cell>
          <cell r="O1608" t="str">
            <v>201301295</v>
          </cell>
          <cell r="P1608" t="str">
            <v>SP</v>
          </cell>
          <cell r="Q1608" t="str">
            <v>SSP</v>
          </cell>
          <cell r="R1608" t="str">
            <v>SANTOS</v>
          </cell>
        </row>
        <row r="1609">
          <cell r="A1609" t="str">
            <v>FABIO HENRIQUE FERREIRA EUGENIO DUARTE</v>
          </cell>
          <cell r="B1609" t="str">
            <v>Casado</v>
          </cell>
          <cell r="C1609" t="str">
            <v>AV MONTEIRO LOBATO</v>
          </cell>
          <cell r="D1609" t="str">
            <v>Vila Valença</v>
          </cell>
          <cell r="E1609" t="str">
            <v>SAO VICENTE</v>
          </cell>
          <cell r="F1609" t="str">
            <v>SP</v>
          </cell>
          <cell r="G1609" t="str">
            <v>731</v>
          </cell>
          <cell r="H1609" t="str">
            <v>CASA 1</v>
          </cell>
          <cell r="I1609" t="str">
            <v>11380-500</v>
          </cell>
          <cell r="J1609" t="str">
            <v>981894412</v>
          </cell>
          <cell r="K1609" t="str">
            <v/>
          </cell>
          <cell r="L1609" t="str">
            <v>Masculino</v>
          </cell>
          <cell r="M1609" t="str">
            <v>Parda</v>
          </cell>
          <cell r="N1609">
            <v>29415</v>
          </cell>
          <cell r="O1609" t="str">
            <v>365848281</v>
          </cell>
          <cell r="P1609" t="str">
            <v>SP</v>
          </cell>
          <cell r="Q1609" t="str">
            <v>SSP</v>
          </cell>
          <cell r="R1609" t="str">
            <v>SAO VICENTE</v>
          </cell>
        </row>
        <row r="1610">
          <cell r="A1610" t="str">
            <v>RICARDO MARCOLINO DE SOUZA</v>
          </cell>
          <cell r="B1610" t="str">
            <v>Solteiro</v>
          </cell>
          <cell r="C1610" t="str">
            <v>R  CARUARA</v>
          </cell>
          <cell r="D1610" t="str">
            <v>Esplanada dos Barreiros</v>
          </cell>
          <cell r="E1610" t="str">
            <v>SAO VICENTE</v>
          </cell>
          <cell r="F1610" t="str">
            <v>SP</v>
          </cell>
          <cell r="G1610" t="str">
            <v>72</v>
          </cell>
          <cell r="H1610" t="str">
            <v>CASA 1</v>
          </cell>
          <cell r="I1610" t="str">
            <v>11340-060</v>
          </cell>
          <cell r="J1610" t="str">
            <v>981473983</v>
          </cell>
          <cell r="K1610" t="str">
            <v/>
          </cell>
          <cell r="L1610" t="str">
            <v>Masculino</v>
          </cell>
          <cell r="M1610" t="str">
            <v>Branca</v>
          </cell>
          <cell r="N1610">
            <v>30271</v>
          </cell>
          <cell r="O1610" t="str">
            <v>323475486</v>
          </cell>
          <cell r="P1610" t="str">
            <v>SP</v>
          </cell>
          <cell r="Q1610" t="str">
            <v>SSP</v>
          </cell>
          <cell r="R1610" t="str">
            <v>SANTOS</v>
          </cell>
        </row>
        <row r="1611">
          <cell r="A1611" t="str">
            <v>RAFAEL DOUGLAS RIBEIRO MOURAO</v>
          </cell>
          <cell r="B1611" t="str">
            <v>Casado</v>
          </cell>
          <cell r="C1611" t="str">
            <v>R PROFESSOR REINALDO PORCHAT</v>
          </cell>
          <cell r="D1611" t="str">
            <v>Vila Belmiro</v>
          </cell>
          <cell r="E1611" t="str">
            <v>SANTOS</v>
          </cell>
          <cell r="F1611" t="str">
            <v>SP</v>
          </cell>
          <cell r="G1611" t="str">
            <v>44</v>
          </cell>
          <cell r="H1611" t="str">
            <v>APTO 11</v>
          </cell>
          <cell r="I1611" t="str">
            <v>01107-020</v>
          </cell>
          <cell r="J1611" t="str">
            <v>981702929</v>
          </cell>
          <cell r="K1611" t="str">
            <v/>
          </cell>
          <cell r="L1611" t="str">
            <v>Masculino</v>
          </cell>
          <cell r="M1611" t="str">
            <v>Preta/Negra</v>
          </cell>
          <cell r="N1611">
            <v>26678</v>
          </cell>
          <cell r="O1611" t="str">
            <v>226787977</v>
          </cell>
          <cell r="P1611" t="str">
            <v>SP</v>
          </cell>
          <cell r="Q1611" t="str">
            <v>SSP</v>
          </cell>
          <cell r="R1611" t="str">
            <v>RECIFE</v>
          </cell>
        </row>
        <row r="1612">
          <cell r="A1612" t="str">
            <v>LARYSSA LAIS PEREIRA DA SILVA</v>
          </cell>
          <cell r="B1612" t="str">
            <v>Solteiro</v>
          </cell>
          <cell r="C1612" t="str">
            <v>R DOUTOR MANUEL TOURINHO</v>
          </cell>
          <cell r="D1612" t="str">
            <v>Macuco</v>
          </cell>
          <cell r="E1612" t="str">
            <v>SANTOS</v>
          </cell>
          <cell r="F1612" t="str">
            <v>SP</v>
          </cell>
          <cell r="G1612" t="str">
            <v>273</v>
          </cell>
          <cell r="H1612" t="str">
            <v>APTO 36</v>
          </cell>
          <cell r="I1612" t="str">
            <v>11015-031</v>
          </cell>
          <cell r="J1612" t="str">
            <v>974230531</v>
          </cell>
          <cell r="K1612" t="str">
            <v/>
          </cell>
          <cell r="L1612" t="str">
            <v>Feminino</v>
          </cell>
          <cell r="M1612" t="str">
            <v>Parda</v>
          </cell>
          <cell r="N1612">
            <v>35102</v>
          </cell>
          <cell r="O1612" t="str">
            <v>44365394X</v>
          </cell>
          <cell r="P1612" t="str">
            <v>SP</v>
          </cell>
          <cell r="Q1612" t="str">
            <v>SSP</v>
          </cell>
          <cell r="R1612" t="str">
            <v>SANTOS</v>
          </cell>
        </row>
        <row r="1613">
          <cell r="A1613" t="str">
            <v>LAJILA AGNES DA COSTA LUNA</v>
          </cell>
          <cell r="B1613" t="str">
            <v>Solteiro</v>
          </cell>
          <cell r="C1613" t="str">
            <v>R TUPIS</v>
          </cell>
          <cell r="D1613" t="str">
            <v>Jose Menino</v>
          </cell>
          <cell r="E1613" t="str">
            <v>SANTOS</v>
          </cell>
          <cell r="F1613" t="str">
            <v>SP</v>
          </cell>
          <cell r="G1613" t="str">
            <v>2</v>
          </cell>
          <cell r="H1613" t="str">
            <v>APTO 34</v>
          </cell>
          <cell r="I1613" t="str">
            <v>11065-620</v>
          </cell>
          <cell r="J1613" t="str">
            <v>981894434</v>
          </cell>
          <cell r="K1613" t="str">
            <v/>
          </cell>
          <cell r="L1613" t="str">
            <v>Feminino</v>
          </cell>
          <cell r="M1613" t="str">
            <v>Branca</v>
          </cell>
          <cell r="N1613">
            <v>34559</v>
          </cell>
          <cell r="O1613" t="str">
            <v>421449779</v>
          </cell>
          <cell r="P1613" t="str">
            <v>SP</v>
          </cell>
          <cell r="Q1613" t="str">
            <v>SSP</v>
          </cell>
          <cell r="R1613" t="str">
            <v>JUNDIAI</v>
          </cell>
        </row>
        <row r="1614">
          <cell r="A1614" t="str">
            <v>CACIO LOPES DOS REIS</v>
          </cell>
          <cell r="B1614" t="str">
            <v>Solteiro</v>
          </cell>
          <cell r="C1614" t="str">
            <v>R PROFESSOR TORRES HOMEM</v>
          </cell>
          <cell r="D1614" t="str">
            <v>Aparecida</v>
          </cell>
          <cell r="E1614" t="str">
            <v>SANTOS</v>
          </cell>
          <cell r="F1614" t="str">
            <v>SP</v>
          </cell>
          <cell r="G1614" t="str">
            <v>405</v>
          </cell>
          <cell r="H1614" t="str">
            <v/>
          </cell>
          <cell r="I1614" t="str">
            <v>11025-021</v>
          </cell>
          <cell r="J1614" t="str">
            <v>974065380</v>
          </cell>
          <cell r="K1614" t="str">
            <v/>
          </cell>
          <cell r="L1614" t="str">
            <v>Masculino</v>
          </cell>
          <cell r="M1614" t="str">
            <v>Preta/Negra</v>
          </cell>
          <cell r="N1614">
            <v>28388</v>
          </cell>
          <cell r="O1614" t="str">
            <v>502656712</v>
          </cell>
          <cell r="P1614" t="str">
            <v>SP</v>
          </cell>
          <cell r="Q1614" t="str">
            <v>SSP</v>
          </cell>
          <cell r="R1614" t="str">
            <v>ITACARE</v>
          </cell>
        </row>
        <row r="1615">
          <cell r="A1615" t="str">
            <v>LEDIVALDO DE ARAUJO SILVA</v>
          </cell>
          <cell r="B1615" t="str">
            <v>Casado</v>
          </cell>
          <cell r="C1615" t="str">
            <v>AV AZOR GOMES DE ALMEIDA</v>
          </cell>
          <cell r="D1615" t="str">
            <v>Jardim Enseada</v>
          </cell>
          <cell r="E1615" t="str">
            <v>GUARUJA</v>
          </cell>
          <cell r="F1615" t="str">
            <v>SP</v>
          </cell>
          <cell r="G1615" t="str">
            <v>188</v>
          </cell>
          <cell r="H1615" t="str">
            <v>CASA 03</v>
          </cell>
          <cell r="I1615" t="str">
            <v>11440-570</v>
          </cell>
          <cell r="J1615" t="str">
            <v>991307961</v>
          </cell>
          <cell r="K1615" t="str">
            <v/>
          </cell>
          <cell r="L1615" t="str">
            <v>Masculino</v>
          </cell>
          <cell r="M1615" t="str">
            <v>Parda</v>
          </cell>
          <cell r="N1615">
            <v>31118</v>
          </cell>
          <cell r="O1615" t="str">
            <v>43607381X</v>
          </cell>
          <cell r="P1615" t="str">
            <v>SP</v>
          </cell>
          <cell r="Q1615" t="str">
            <v>SSP</v>
          </cell>
          <cell r="R1615" t="str">
            <v>ARCOVERDE</v>
          </cell>
        </row>
        <row r="1616">
          <cell r="A1616" t="str">
            <v>GABRIEL DOS SANTOS TEIXEIRA</v>
          </cell>
          <cell r="B1616" t="str">
            <v>Casado</v>
          </cell>
          <cell r="C1616" t="str">
            <v>R PADRE ANCHIETA</v>
          </cell>
          <cell r="D1616" t="str">
            <v>Vila Alice (Vicente de Carvalho)</v>
          </cell>
          <cell r="E1616" t="str">
            <v>GUARUJA</v>
          </cell>
          <cell r="F1616" t="str">
            <v>SP</v>
          </cell>
          <cell r="G1616" t="str">
            <v>208</v>
          </cell>
          <cell r="H1616" t="str">
            <v/>
          </cell>
          <cell r="I1616" t="str">
            <v>11450-170</v>
          </cell>
          <cell r="J1616" t="str">
            <v>997560075</v>
          </cell>
          <cell r="K1616" t="str">
            <v/>
          </cell>
          <cell r="L1616" t="str">
            <v>Masculino</v>
          </cell>
          <cell r="M1616" t="str">
            <v>Branca</v>
          </cell>
          <cell r="N1616">
            <v>36447</v>
          </cell>
          <cell r="O1616" t="str">
            <v>507532892</v>
          </cell>
          <cell r="P1616" t="str">
            <v>SP</v>
          </cell>
          <cell r="Q1616" t="str">
            <v>SSP</v>
          </cell>
          <cell r="R1616" t="str">
            <v>SANTOS</v>
          </cell>
        </row>
        <row r="1617">
          <cell r="A1617" t="str">
            <v>FLAVIO GONCALVES HERNANDES</v>
          </cell>
          <cell r="B1617" t="str">
            <v>Casado</v>
          </cell>
          <cell r="C1617" t="str">
            <v>R COMENDADOR BARNABE FRANCISCO VAZ CARVALHAIS</v>
          </cell>
          <cell r="D1617" t="str">
            <v>Embare</v>
          </cell>
          <cell r="E1617" t="str">
            <v>SANTOS</v>
          </cell>
          <cell r="F1617" t="str">
            <v>SP</v>
          </cell>
          <cell r="G1617" t="str">
            <v>12</v>
          </cell>
          <cell r="H1617" t="str">
            <v/>
          </cell>
          <cell r="I1617" t="str">
            <v>11040-225</v>
          </cell>
          <cell r="J1617" t="str">
            <v>981828289</v>
          </cell>
          <cell r="K1617" t="str">
            <v/>
          </cell>
          <cell r="L1617" t="str">
            <v>Masculino</v>
          </cell>
          <cell r="M1617" t="str">
            <v>Branca</v>
          </cell>
          <cell r="N1617">
            <v>24937</v>
          </cell>
          <cell r="O1617" t="str">
            <v>192927668</v>
          </cell>
          <cell r="P1617" t="str">
            <v>SP</v>
          </cell>
          <cell r="Q1617" t="str">
            <v>SSP</v>
          </cell>
          <cell r="R1617" t="str">
            <v>SANTOS</v>
          </cell>
        </row>
        <row r="1618">
          <cell r="A1618" t="str">
            <v>CARLOS ALBERTO MENEZES CORREA</v>
          </cell>
          <cell r="B1618" t="str">
            <v>Casado</v>
          </cell>
          <cell r="C1618" t="str">
            <v>R DA MARIA DO CARMO</v>
          </cell>
          <cell r="D1618" t="str">
            <v>Ponta da Praia</v>
          </cell>
          <cell r="E1618" t="str">
            <v>SANTOS</v>
          </cell>
          <cell r="F1618" t="str">
            <v>SP</v>
          </cell>
          <cell r="G1618" t="str">
            <v>153</v>
          </cell>
          <cell r="H1618" t="str">
            <v>APTO 172 D</v>
          </cell>
          <cell r="I1618" t="str">
            <v>11030-100</v>
          </cell>
          <cell r="J1618" t="str">
            <v>997924281</v>
          </cell>
          <cell r="K1618" t="str">
            <v/>
          </cell>
          <cell r="L1618" t="str">
            <v>Masculino</v>
          </cell>
          <cell r="M1618" t="str">
            <v>Branca</v>
          </cell>
          <cell r="N1618">
            <v>27787</v>
          </cell>
          <cell r="O1618" t="str">
            <v>27878334X</v>
          </cell>
          <cell r="P1618" t="str">
            <v>SP</v>
          </cell>
          <cell r="Q1618" t="str">
            <v>SSP</v>
          </cell>
          <cell r="R1618" t="str">
            <v>SANTOS</v>
          </cell>
        </row>
        <row r="1619">
          <cell r="A1619" t="str">
            <v>DANIEL BRUNNO DE LEMOS WIESNER</v>
          </cell>
          <cell r="B1619" t="str">
            <v>União Estável</v>
          </cell>
          <cell r="C1619" t="str">
            <v>R OSWALDO COCHRANE</v>
          </cell>
          <cell r="D1619" t="str">
            <v>Embaré</v>
          </cell>
          <cell r="E1619" t="str">
            <v>SANTOS</v>
          </cell>
          <cell r="F1619" t="str">
            <v>SP</v>
          </cell>
          <cell r="G1619" t="str">
            <v>114</v>
          </cell>
          <cell r="H1619" t="str">
            <v>APTO 7</v>
          </cell>
          <cell r="I1619" t="str">
            <v>11040-110</v>
          </cell>
          <cell r="J1619" t="str">
            <v>996269538</v>
          </cell>
          <cell r="K1619" t="str">
            <v/>
          </cell>
          <cell r="L1619" t="str">
            <v>Masculino</v>
          </cell>
          <cell r="M1619" t="str">
            <v>Branca</v>
          </cell>
          <cell r="N1619">
            <v>32804</v>
          </cell>
          <cell r="O1619" t="str">
            <v>448948679</v>
          </cell>
          <cell r="P1619" t="str">
            <v>SP</v>
          </cell>
          <cell r="Q1619" t="str">
            <v>SSP</v>
          </cell>
          <cell r="R1619" t="str">
            <v>SAO PAULO</v>
          </cell>
        </row>
        <row r="1620">
          <cell r="A1620" t="str">
            <v>JUAREZ ELEUTERIO DOMINGUES</v>
          </cell>
          <cell r="B1620" t="str">
            <v>Casado</v>
          </cell>
          <cell r="C1620" t="str">
            <v>R FREDERICO OZANAN</v>
          </cell>
          <cell r="D1620" t="str">
            <v>Jose Menino</v>
          </cell>
          <cell r="E1620" t="str">
            <v>SANTOS</v>
          </cell>
          <cell r="F1620" t="str">
            <v>SP</v>
          </cell>
          <cell r="G1620" t="str">
            <v>5</v>
          </cell>
          <cell r="H1620" t="str">
            <v>APTO 109</v>
          </cell>
          <cell r="I1620" t="str">
            <v>11065-240</v>
          </cell>
          <cell r="J1620" t="str">
            <v>997100752</v>
          </cell>
          <cell r="K1620" t="str">
            <v/>
          </cell>
          <cell r="L1620" t="str">
            <v>Masculino</v>
          </cell>
          <cell r="M1620" t="str">
            <v>Indígena</v>
          </cell>
          <cell r="N1620">
            <v>24898</v>
          </cell>
          <cell r="O1620" t="str">
            <v>168383408</v>
          </cell>
          <cell r="P1620" t="str">
            <v>SP</v>
          </cell>
          <cell r="Q1620" t="str">
            <v>SSP</v>
          </cell>
          <cell r="R1620" t="str">
            <v>SANTOS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0"/>
  <sheetViews>
    <sheetView tabSelected="1" topLeftCell="A109" workbookViewId="0">
      <selection activeCell="T27" sqref="T27"/>
    </sheetView>
  </sheetViews>
  <sheetFormatPr defaultRowHeight="15" x14ac:dyDescent="0.25"/>
  <cols>
    <col min="8" max="8" width="14" bestFit="1" customWidth="1"/>
    <col min="10" max="10" width="11.28515625" bestFit="1" customWidth="1"/>
    <col min="11" max="11" width="18.7109375" bestFit="1" customWidth="1"/>
  </cols>
  <sheetData>
    <row r="1" spans="1:2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0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Y1" s="2" t="s">
        <v>23</v>
      </c>
      <c r="Z1" s="2" t="s">
        <v>24</v>
      </c>
    </row>
    <row r="2" spans="1:26" x14ac:dyDescent="0.25">
      <c r="A2" s="3">
        <v>701310</v>
      </c>
      <c r="B2" s="4" t="s">
        <v>25</v>
      </c>
      <c r="C2" s="5" t="str">
        <f>VLOOKUP(B2,[1]Sheet1!$A:$C,3,FALSE)</f>
        <v>rob.bomfim@gmail.com</v>
      </c>
      <c r="D2" s="6" t="str">
        <f>VLOOKUP(B2,[2]Planilha1!$A:$R,10,FALSE)</f>
        <v>976007873</v>
      </c>
      <c r="E2" s="6" t="s">
        <v>26</v>
      </c>
      <c r="F2" s="6" t="s">
        <v>27</v>
      </c>
      <c r="G2" s="6" t="s">
        <v>28</v>
      </c>
      <c r="H2" s="6" t="s">
        <v>29</v>
      </c>
      <c r="I2" s="3">
        <v>701310</v>
      </c>
      <c r="J2" s="7"/>
      <c r="K2" s="8">
        <f>VLOOKUP(B2,[2]Planilha1!$A:$N,14,FALSE)</f>
        <v>22258</v>
      </c>
      <c r="L2" s="6" t="str">
        <f>VLOOKUP(B2,[2]Planilha1!$A:$R,16,FALSE)</f>
        <v>SP</v>
      </c>
      <c r="M2" s="6" t="str">
        <f>VLOOKUP(B2,[2]Planilha1!$A:$R,18,FALSE)</f>
        <v>SANTOS</v>
      </c>
      <c r="N2" s="6" t="s">
        <v>30</v>
      </c>
      <c r="O2" s="6" t="str">
        <f>VLOOKUP(B2,[2]Planilha1!$A:$R,9,FALSE)</f>
        <v>11040-220</v>
      </c>
      <c r="P2" s="6" t="str">
        <f>VLOOKUP(B2,[2]Planilha1!$A:$C,3,FALSE)</f>
        <v>R  FREI FRANCISCO SAMPAIO</v>
      </c>
      <c r="Q2" s="6" t="str">
        <f>VLOOKUP(B2,[2]Planilha1!$A:$G,7,FALSE)</f>
        <v>189</v>
      </c>
      <c r="R2" s="6" t="str">
        <f>VLOOKUP(B2,[2]Planilha1!$A:$H,8,FALSE)</f>
        <v/>
      </c>
      <c r="S2" s="6" t="str">
        <f>VLOOKUP(B2,[2]Planilha1!$A:$D,4,FALSE)</f>
        <v>Embare</v>
      </c>
      <c r="T2" s="6" t="str">
        <f>VLOOKUP(B2,[2]Planilha1!$A:$E,5,FALSE)</f>
        <v>SANTOS</v>
      </c>
      <c r="U2" s="6" t="s">
        <v>31</v>
      </c>
      <c r="V2" s="6" t="str">
        <f>VLOOKUP(B2,[2]Planilha1!$A:$R,13,FALSE)</f>
        <v>Parda</v>
      </c>
      <c r="W2" s="6" t="str">
        <f>VLOOKUP(B2,[2]Planilha1!$A:$B,2,FALSE)</f>
        <v>Casado</v>
      </c>
      <c r="X2" s="6" t="str">
        <f>VLOOKUP(B2,[2]Planilha1!$A:$R,15,FALSE)</f>
        <v>12682941X</v>
      </c>
      <c r="Y2" s="6" t="s">
        <v>32</v>
      </c>
      <c r="Z2" s="6" t="s">
        <v>31</v>
      </c>
    </row>
    <row r="3" spans="1:26" x14ac:dyDescent="0.25">
      <c r="A3" s="3">
        <v>237886</v>
      </c>
      <c r="B3" s="4" t="s">
        <v>33</v>
      </c>
      <c r="C3" s="5" t="str">
        <f>VLOOKUP(B3,[1]Sheet1!$A:$C,3,FALSE)</f>
        <v xml:space="preserve">mamipimentel0@gmail.com </v>
      </c>
      <c r="D3" s="6" t="str">
        <f>VLOOKUP(B3,[2]Planilha1!$A:$R,10,FALSE)</f>
        <v>35611707</v>
      </c>
      <c r="E3" s="6" t="s">
        <v>34</v>
      </c>
      <c r="F3" s="6" t="s">
        <v>35</v>
      </c>
      <c r="G3" s="6" t="s">
        <v>28</v>
      </c>
      <c r="H3" s="6" t="s">
        <v>36</v>
      </c>
      <c r="I3" s="3">
        <v>237886</v>
      </c>
      <c r="J3" s="7"/>
      <c r="K3" s="8">
        <f>VLOOKUP(B3,[2]Planilha1!$A:$N,14,FALSE)</f>
        <v>23026</v>
      </c>
      <c r="L3" s="6" t="str">
        <f>VLOOKUP(B3,[2]Planilha1!$A:$R,16,FALSE)</f>
        <v>SP</v>
      </c>
      <c r="M3" s="6" t="str">
        <f>VLOOKUP(B3,[2]Planilha1!$A:$R,18,FALSE)</f>
        <v>SANTOS</v>
      </c>
      <c r="N3" s="6" t="s">
        <v>30</v>
      </c>
      <c r="O3" s="6" t="str">
        <f>VLOOKUP(B3,[2]Planilha1!$A:$R,9,FALSE)</f>
        <v>11712-110</v>
      </c>
      <c r="P3" s="6" t="str">
        <f>VLOOKUP(B3,[2]Planilha1!$A:$C,3,FALSE)</f>
        <v>R Frei Santa Rita Durão</v>
      </c>
      <c r="Q3" s="6" t="str">
        <f>VLOOKUP(B3,[2]Planilha1!$A:$G,7,FALSE)</f>
        <v>102</v>
      </c>
      <c r="R3" s="6" t="str">
        <f>VLOOKUP(B3,[2]Planilha1!$A:$H,8,FALSE)</f>
        <v>casa 3</v>
      </c>
      <c r="S3" s="6" t="str">
        <f>VLOOKUP(B3,[2]Planilha1!$A:$D,4,FALSE)</f>
        <v>Melvi</v>
      </c>
      <c r="T3" s="6" t="str">
        <f>VLOOKUP(B3,[2]Planilha1!$A:$E,5,FALSE)</f>
        <v>PRAIA GRANDE</v>
      </c>
      <c r="U3" s="6" t="s">
        <v>31</v>
      </c>
      <c r="V3" s="6" t="str">
        <f>VLOOKUP(B3,[2]Planilha1!$A:$R,13,FALSE)</f>
        <v>Parda</v>
      </c>
      <c r="W3" s="6" t="str">
        <f>VLOOKUP(B3,[2]Planilha1!$A:$B,2,FALSE)</f>
        <v>Casado</v>
      </c>
      <c r="X3" s="6" t="str">
        <f>VLOOKUP(B3,[2]Planilha1!$A:$R,15,FALSE)</f>
        <v>115974180</v>
      </c>
      <c r="Y3" s="6" t="s">
        <v>32</v>
      </c>
      <c r="Z3" s="6" t="s">
        <v>31</v>
      </c>
    </row>
    <row r="4" spans="1:26" x14ac:dyDescent="0.25">
      <c r="A4" s="3">
        <v>238074</v>
      </c>
      <c r="B4" s="4" t="s">
        <v>37</v>
      </c>
      <c r="C4" s="5" t="str">
        <f>VLOOKUP(B4,[1]Sheet1!$A:$C,3,FALSE)</f>
        <v>jailsonrs25@gmail.com</v>
      </c>
      <c r="D4" s="6" t="str">
        <f>VLOOKUP(B4,[2]Planilha1!$A:$R,10,FALSE)</f>
        <v>981035507</v>
      </c>
      <c r="E4" s="6" t="s">
        <v>26</v>
      </c>
      <c r="F4" s="6" t="s">
        <v>38</v>
      </c>
      <c r="G4" s="6" t="s">
        <v>28</v>
      </c>
      <c r="H4" s="6" t="s">
        <v>39</v>
      </c>
      <c r="I4" s="3">
        <v>238074</v>
      </c>
      <c r="J4" s="7"/>
      <c r="K4" s="8">
        <f>VLOOKUP(B4,[2]Planilha1!$A:$N,14,FALSE)</f>
        <v>29619</v>
      </c>
      <c r="L4" s="6" t="str">
        <f>VLOOKUP(B4,[2]Planilha1!$A:$R,16,FALSE)</f>
        <v>SP</v>
      </c>
      <c r="M4" s="6" t="str">
        <f>VLOOKUP(B4,[2]Planilha1!$A:$R,18,FALSE)</f>
        <v>MANGA</v>
      </c>
      <c r="N4" s="6" t="s">
        <v>30</v>
      </c>
      <c r="O4" s="6" t="str">
        <f>VLOOKUP(B4,[2]Planilha1!$A:$R,9,FALSE)</f>
        <v>11086-415</v>
      </c>
      <c r="P4" s="6" t="str">
        <f>VLOOKUP(B4,[2]Planilha1!$A:$C,3,FALSE)</f>
        <v>R Cesar Augusto de Castro Rios</v>
      </c>
      <c r="Q4" s="6" t="str">
        <f>VLOOKUP(B4,[2]Planilha1!$A:$G,7,FALSE)</f>
        <v>286</v>
      </c>
      <c r="R4" s="6" t="str">
        <f>VLOOKUP(B4,[2]Planilha1!$A:$H,8,FALSE)</f>
        <v>AP193 T2</v>
      </c>
      <c r="S4" s="6" t="str">
        <f>VLOOKUP(B4,[2]Planilha1!$A:$D,4,FALSE)</f>
        <v>Areia Branca</v>
      </c>
      <c r="T4" s="6" t="str">
        <f>VLOOKUP(B4,[2]Planilha1!$A:$E,5,FALSE)</f>
        <v>SANTOS</v>
      </c>
      <c r="U4" s="6" t="s">
        <v>31</v>
      </c>
      <c r="V4" s="6" t="str">
        <f>VLOOKUP(B4,[2]Planilha1!$A:$R,13,FALSE)</f>
        <v>Parda</v>
      </c>
      <c r="W4" s="6" t="str">
        <f>VLOOKUP(B4,[2]Planilha1!$A:$B,2,FALSE)</f>
        <v>União Estável</v>
      </c>
      <c r="X4" s="6" t="str">
        <f>VLOOKUP(B4,[2]Planilha1!$A:$R,15,FALSE)</f>
        <v>57425845</v>
      </c>
      <c r="Y4" s="6" t="s">
        <v>32</v>
      </c>
      <c r="Z4" s="6" t="s">
        <v>31</v>
      </c>
    </row>
    <row r="5" spans="1:26" x14ac:dyDescent="0.25">
      <c r="A5" s="3">
        <v>238069</v>
      </c>
      <c r="B5" s="4" t="s">
        <v>40</v>
      </c>
      <c r="C5" s="5" t="str">
        <f>VLOOKUP(B5,[1]Sheet1!$A:$C,3,FALSE)</f>
        <v>macedoniomotos@hotmail.com</v>
      </c>
      <c r="D5" s="6">
        <v>982063185</v>
      </c>
      <c r="E5" s="6" t="s">
        <v>26</v>
      </c>
      <c r="F5" s="6" t="s">
        <v>41</v>
      </c>
      <c r="G5" s="6" t="s">
        <v>28</v>
      </c>
      <c r="H5" s="6" t="s">
        <v>42</v>
      </c>
      <c r="I5" s="3">
        <v>238069</v>
      </c>
      <c r="J5" s="7"/>
      <c r="K5" s="8">
        <v>24976</v>
      </c>
      <c r="L5" s="6" t="s">
        <v>31</v>
      </c>
      <c r="M5" s="6" t="s">
        <v>43</v>
      </c>
      <c r="N5" s="6" t="s">
        <v>30</v>
      </c>
      <c r="O5" s="6" t="s">
        <v>44</v>
      </c>
      <c r="P5" s="6" t="s">
        <v>45</v>
      </c>
      <c r="Q5" s="6">
        <v>66</v>
      </c>
      <c r="R5" s="6"/>
      <c r="S5" s="6" t="s">
        <v>46</v>
      </c>
      <c r="T5" s="6" t="s">
        <v>43</v>
      </c>
      <c r="U5" s="6" t="s">
        <v>31</v>
      </c>
      <c r="V5" s="6" t="s">
        <v>47</v>
      </c>
      <c r="W5" s="6" t="str">
        <f>VLOOKUP(B5,[2]Planilha1!$A:$B,2,FALSE)</f>
        <v>Casado</v>
      </c>
      <c r="X5" s="6">
        <v>17598306</v>
      </c>
      <c r="Y5" s="6" t="s">
        <v>32</v>
      </c>
      <c r="Z5" s="6" t="s">
        <v>31</v>
      </c>
    </row>
    <row r="6" spans="1:26" x14ac:dyDescent="0.25">
      <c r="A6" s="9"/>
      <c r="B6" s="10" t="s">
        <v>48</v>
      </c>
      <c r="C6" s="11" t="str">
        <f>VLOOKUP(B6,[1]Sheet1!$A:$C,3,FALSE)</f>
        <v>Marcelocm1969@outlook.com</v>
      </c>
      <c r="D6" s="12" t="str">
        <f>VLOOKUP(B6,[2]Planilha1!$A:$R,10,FALSE)</f>
        <v>22022673</v>
      </c>
      <c r="E6" s="12" t="s">
        <v>26</v>
      </c>
      <c r="F6" s="12" t="s">
        <v>35</v>
      </c>
      <c r="G6" s="12" t="s">
        <v>28</v>
      </c>
      <c r="H6" s="13" t="s">
        <v>49</v>
      </c>
      <c r="I6" s="9"/>
      <c r="J6" s="14" t="s">
        <v>50</v>
      </c>
      <c r="K6" s="15">
        <f>VLOOKUP(B6,[2]Planilha1!$A:$N,14,FALSE)</f>
        <v>25405</v>
      </c>
      <c r="L6" s="12" t="str">
        <f>VLOOKUP(B6,[2]Planilha1!$A:$R,16,FALSE)</f>
        <v>SP</v>
      </c>
      <c r="M6" s="12" t="str">
        <f>VLOOKUP(B6,[2]Planilha1!$A:$R,18,FALSE)</f>
        <v>SANTOS</v>
      </c>
      <c r="N6" s="12" t="s">
        <v>30</v>
      </c>
      <c r="O6" s="12" t="str">
        <f>VLOOKUP(B6,[2]Planilha1!$A:$R,9,FALSE)</f>
        <v>11030-080</v>
      </c>
      <c r="P6" s="12" t="str">
        <f>VLOOKUP(B6,[2]Planilha1!$A:$C,3,FALSE)</f>
        <v>R VENANCIO JOSE LISBOA</v>
      </c>
      <c r="Q6" s="12" t="str">
        <f>VLOOKUP(B6,[2]Planilha1!$A:$G,7,FALSE)</f>
        <v>12</v>
      </c>
      <c r="R6" s="12" t="str">
        <f>VLOOKUP(B6,[2]Planilha1!$A:$H,8,FALSE)</f>
        <v>AP 03P PRAIA</v>
      </c>
      <c r="S6" s="12" t="str">
        <f>VLOOKUP(B6,[2]Planilha1!$A:$D,4,FALSE)</f>
        <v>Ponta da Praia</v>
      </c>
      <c r="T6" s="12" t="str">
        <f>VLOOKUP(B6,[2]Planilha1!$A:$E,5,FALSE)</f>
        <v>SANTOS</v>
      </c>
      <c r="U6" s="12" t="s">
        <v>31</v>
      </c>
      <c r="V6" s="12" t="str">
        <f>VLOOKUP(B6,[2]Planilha1!$A:$R,13,FALSE)</f>
        <v>Parda</v>
      </c>
      <c r="W6" s="12" t="str">
        <f>VLOOKUP(B6,[2]Planilha1!$A:$B,2,FALSE)</f>
        <v>Casado</v>
      </c>
      <c r="X6" s="12" t="str">
        <f>VLOOKUP(B6,[2]Planilha1!$A:$R,15,FALSE)</f>
        <v>19293473</v>
      </c>
      <c r="Y6" s="12" t="s">
        <v>32</v>
      </c>
      <c r="Z6" s="12" t="s">
        <v>31</v>
      </c>
    </row>
    <row r="7" spans="1:26" x14ac:dyDescent="0.25">
      <c r="A7" s="16">
        <v>237960</v>
      </c>
      <c r="B7" s="4" t="s">
        <v>51</v>
      </c>
      <c r="C7" s="5" t="str">
        <f>VLOOKUP(B7,[1]Sheet1!$A:$C,3,FALSE)</f>
        <v>fubiraci@gmail.com</v>
      </c>
      <c r="D7" s="6" t="str">
        <f>VLOOKUP(B7,[2]Planilha1!$A:$R,10,FALSE)</f>
        <v>988742600</v>
      </c>
      <c r="E7" s="6" t="s">
        <v>26</v>
      </c>
      <c r="F7" s="6" t="s">
        <v>41</v>
      </c>
      <c r="G7" s="6" t="s">
        <v>28</v>
      </c>
      <c r="H7" s="6" t="s">
        <v>52</v>
      </c>
      <c r="I7" s="16">
        <v>237960</v>
      </c>
      <c r="J7" s="7"/>
      <c r="K7" s="8">
        <f>VLOOKUP(B7,[2]Planilha1!$A:$N,14,FALSE)</f>
        <v>25312</v>
      </c>
      <c r="L7" s="6" t="str">
        <f>VLOOKUP(B7,[2]Planilha1!$A:$R,16,FALSE)</f>
        <v>SP</v>
      </c>
      <c r="M7" s="6" t="str">
        <f>VLOOKUP(B7,[2]Planilha1!$A:$R,18,FALSE)</f>
        <v>SANTOS</v>
      </c>
      <c r="N7" s="6" t="s">
        <v>30</v>
      </c>
      <c r="O7" s="6" t="str">
        <f>VLOOKUP(B7,[2]Planilha1!$A:$R,9,FALSE)</f>
        <v>11430-160</v>
      </c>
      <c r="P7" s="6" t="str">
        <f>VLOOKUP(B7,[2]Planilha1!$A:$C,3,FALSE)</f>
        <v>R PADRE DONIZETE TAVARES DE LIMA</v>
      </c>
      <c r="Q7" s="6" t="str">
        <f>VLOOKUP(B7,[2]Planilha1!$A:$G,7,FALSE)</f>
        <v>422</v>
      </c>
      <c r="R7" s="6" t="str">
        <f>VLOOKUP(B7,[2]Planilha1!$A:$H,8,FALSE)</f>
        <v/>
      </c>
      <c r="S7" s="6" t="str">
        <f>VLOOKUP(B7,[2]Planilha1!$A:$D,4,FALSE)</f>
        <v>Vila Ligya</v>
      </c>
      <c r="T7" s="6" t="str">
        <f>VLOOKUP(B7,[2]Planilha1!$A:$E,5,FALSE)</f>
        <v>GUARUJA</v>
      </c>
      <c r="U7" s="6" t="s">
        <v>31</v>
      </c>
      <c r="V7" s="6" t="str">
        <f>VLOOKUP(B7,[2]Planilha1!$A:$R,13,FALSE)</f>
        <v>Parda</v>
      </c>
      <c r="W7" s="6" t="str">
        <f>VLOOKUP(B7,[2]Planilha1!$A:$B,2,FALSE)</f>
        <v>Casado</v>
      </c>
      <c r="X7" s="6" t="str">
        <f>VLOOKUP(B7,[2]Planilha1!$A:$R,15,FALSE)</f>
        <v>189045012</v>
      </c>
      <c r="Y7" s="6" t="s">
        <v>32</v>
      </c>
      <c r="Z7" s="6" t="s">
        <v>31</v>
      </c>
    </row>
    <row r="8" spans="1:26" x14ac:dyDescent="0.25">
      <c r="A8" s="3">
        <v>237825</v>
      </c>
      <c r="B8" s="4" t="s">
        <v>53</v>
      </c>
      <c r="C8" s="5" t="str">
        <f>VLOOKUP(B8,[1]Sheet1!$A:$C,3,FALSE)</f>
        <v>bragajmarcos@gmail.com</v>
      </c>
      <c r="D8" s="6" t="str">
        <f>VLOOKUP(B8,[2]Planilha1!$A:$R,10,FALSE)</f>
        <v>992106394</v>
      </c>
      <c r="E8" s="6" t="s">
        <v>26</v>
      </c>
      <c r="F8" s="6" t="s">
        <v>54</v>
      </c>
      <c r="G8" s="6" t="s">
        <v>28</v>
      </c>
      <c r="H8" s="6" t="s">
        <v>55</v>
      </c>
      <c r="I8" s="3">
        <v>237825</v>
      </c>
      <c r="J8" s="7"/>
      <c r="K8" s="8">
        <f>VLOOKUP(B8,[2]Planilha1!$A:$N,14,FALSE)</f>
        <v>24691</v>
      </c>
      <c r="L8" s="6" t="str">
        <f>VLOOKUP(B8,[2]Planilha1!$A:$R,16,FALSE)</f>
        <v>SP</v>
      </c>
      <c r="M8" s="6" t="str">
        <f>VLOOKUP(B8,[2]Planilha1!$A:$R,18,FALSE)</f>
        <v>SAO PAULO</v>
      </c>
      <c r="N8" s="6" t="s">
        <v>30</v>
      </c>
      <c r="O8" s="6" t="str">
        <f>VLOOKUP(B8,[2]Planilha1!$A:$R,9,FALSE)</f>
        <v>11050-201</v>
      </c>
      <c r="P8" s="6" t="str">
        <f>VLOOKUP(B8,[2]Planilha1!$A:$C,3,FALSE)</f>
        <v>AV Washington Luís</v>
      </c>
      <c r="Q8" s="6" t="str">
        <f>VLOOKUP(B8,[2]Planilha1!$A:$G,7,FALSE)</f>
        <v>203</v>
      </c>
      <c r="R8" s="6" t="str">
        <f>VLOOKUP(B8,[2]Planilha1!$A:$H,8,FALSE)</f>
        <v>BL B AP2</v>
      </c>
      <c r="S8" s="6" t="str">
        <f>VLOOKUP(B8,[2]Planilha1!$A:$D,4,FALSE)</f>
        <v>Vila Mathias</v>
      </c>
      <c r="T8" s="6" t="str">
        <f>VLOOKUP(B8,[2]Planilha1!$A:$E,5,FALSE)</f>
        <v>SANTOS</v>
      </c>
      <c r="U8" s="6" t="s">
        <v>31</v>
      </c>
      <c r="V8" s="6" t="str">
        <f>VLOOKUP(B8,[2]Planilha1!$A:$R,13,FALSE)</f>
        <v>Parda</v>
      </c>
      <c r="W8" s="6" t="str">
        <f>VLOOKUP(B8,[2]Planilha1!$A:$B,2,FALSE)</f>
        <v>União Estável</v>
      </c>
      <c r="X8" s="6" t="str">
        <f>VLOOKUP(B8,[2]Planilha1!$A:$R,15,FALSE)</f>
        <v>20323019</v>
      </c>
      <c r="Y8" s="6" t="s">
        <v>32</v>
      </c>
      <c r="Z8" s="6" t="s">
        <v>31</v>
      </c>
    </row>
    <row r="9" spans="1:26" x14ac:dyDescent="0.25">
      <c r="A9" s="3">
        <v>237852</v>
      </c>
      <c r="B9" s="4" t="s">
        <v>56</v>
      </c>
      <c r="C9" s="5" t="str">
        <f>VLOOKUP(B9,[1]Sheet1!$A:$C,3,FALSE)</f>
        <v>antonionascimento3756@gmail.com</v>
      </c>
      <c r="D9" s="6" t="str">
        <f>VLOOKUP(B9,[2]Planilha1!$A:$R,10,FALSE)</f>
        <v>991778882</v>
      </c>
      <c r="E9" s="6" t="s">
        <v>26</v>
      </c>
      <c r="F9" s="6" t="s">
        <v>41</v>
      </c>
      <c r="G9" s="6" t="s">
        <v>28</v>
      </c>
      <c r="H9" s="6" t="s">
        <v>57</v>
      </c>
      <c r="I9" s="3">
        <v>237852</v>
      </c>
      <c r="J9" s="7"/>
      <c r="K9" s="8">
        <f>VLOOKUP(B9,[2]Planilha1!$A:$N,14,FALSE)</f>
        <v>24142</v>
      </c>
      <c r="L9" s="6" t="str">
        <f>VLOOKUP(B9,[2]Planilha1!$A:$R,16,FALSE)</f>
        <v>SP</v>
      </c>
      <c r="M9" s="6" t="str">
        <f>VLOOKUP(B9,[2]Planilha1!$A:$R,18,FALSE)</f>
        <v>SANTOS</v>
      </c>
      <c r="N9" s="6" t="s">
        <v>30</v>
      </c>
      <c r="O9" s="6" t="str">
        <f>VLOOKUP(B9,[2]Planilha1!$A:$R,9,FALSE)</f>
        <v>11431-101</v>
      </c>
      <c r="P9" s="6" t="str">
        <f>VLOOKUP(B9,[2]Planilha1!$A:$C,3,FALSE)</f>
        <v>R Luiz Felipe Machado</v>
      </c>
      <c r="Q9" s="6" t="str">
        <f>VLOOKUP(B9,[2]Planilha1!$A:$G,7,FALSE)</f>
        <v>1366</v>
      </c>
      <c r="R9" s="6" t="str">
        <f>VLOOKUP(B9,[2]Planilha1!$A:$H,8,FALSE)</f>
        <v/>
      </c>
      <c r="S9" s="6" t="str">
        <f>VLOOKUP(B9,[2]Planilha1!$A:$D,4,FALSE)</f>
        <v>Vila Santa Rosa</v>
      </c>
      <c r="T9" s="6" t="str">
        <f>VLOOKUP(B9,[2]Planilha1!$A:$E,5,FALSE)</f>
        <v>GUARUJA</v>
      </c>
      <c r="U9" s="6" t="s">
        <v>31</v>
      </c>
      <c r="V9" s="6" t="str">
        <f>VLOOKUP(B9,[2]Planilha1!$A:$R,13,FALSE)</f>
        <v>Parda</v>
      </c>
      <c r="W9" s="6" t="str">
        <f>VLOOKUP(B9,[2]Planilha1!$A:$B,2,FALSE)</f>
        <v>Casado</v>
      </c>
      <c r="X9" s="6" t="str">
        <f>VLOOKUP(B9,[2]Planilha1!$A:$R,15,FALSE)</f>
        <v>186488452</v>
      </c>
      <c r="Y9" s="6" t="s">
        <v>32</v>
      </c>
      <c r="Z9" s="6" t="s">
        <v>31</v>
      </c>
    </row>
    <row r="10" spans="1:26" x14ac:dyDescent="0.25">
      <c r="A10" s="3">
        <v>237925</v>
      </c>
      <c r="B10" s="4" t="s">
        <v>58</v>
      </c>
      <c r="C10" s="5" t="str">
        <f>VLOOKUP(B10,[1]Sheet1!$A:$C,3,FALSE)</f>
        <v>cometa16108@gmail.com</v>
      </c>
      <c r="D10" s="6" t="str">
        <f>VLOOKUP(B10,[2]Planilha1!$A:$R,10,FALSE)</f>
        <v>991059282</v>
      </c>
      <c r="E10" s="6" t="s">
        <v>26</v>
      </c>
      <c r="F10" s="6" t="s">
        <v>35</v>
      </c>
      <c r="G10" s="6" t="s">
        <v>28</v>
      </c>
      <c r="H10" s="6" t="s">
        <v>59</v>
      </c>
      <c r="I10" s="3">
        <v>237925</v>
      </c>
      <c r="J10" s="7"/>
      <c r="K10" s="8">
        <f>VLOOKUP(B10,[2]Planilha1!$A:$N,14,FALSE)</f>
        <v>26092</v>
      </c>
      <c r="L10" s="6" t="str">
        <f>VLOOKUP(B10,[2]Planilha1!$A:$R,16,FALSE)</f>
        <v>SP</v>
      </c>
      <c r="M10" s="6" t="str">
        <f>VLOOKUP(B10,[2]Planilha1!$A:$R,18,FALSE)</f>
        <v>SANTOS</v>
      </c>
      <c r="N10" s="6" t="s">
        <v>30</v>
      </c>
      <c r="O10" s="6" t="str">
        <f>VLOOKUP(B10,[2]Planilha1!$A:$R,9,FALSE)</f>
        <v>11085-090</v>
      </c>
      <c r="P10" s="6" t="str">
        <f>VLOOKUP(B10,[2]Planilha1!$A:$C,3,FALSE)</f>
        <v>R VIVALDO DE ALMEIDA NERY</v>
      </c>
      <c r="Q10" s="6" t="str">
        <f>VLOOKUP(B10,[2]Planilha1!$A:$G,7,FALSE)</f>
        <v>78</v>
      </c>
      <c r="R10" s="6" t="str">
        <f>VLOOKUP(B10,[2]Planilha1!$A:$H,8,FALSE)</f>
        <v>APTO 24</v>
      </c>
      <c r="S10" s="6" t="str">
        <f>VLOOKUP(B10,[2]Planilha1!$A:$D,4,FALSE)</f>
        <v>Saboo</v>
      </c>
      <c r="T10" s="6" t="str">
        <f>VLOOKUP(B10,[2]Planilha1!$A:$E,5,FALSE)</f>
        <v>SANTOS</v>
      </c>
      <c r="U10" s="6" t="s">
        <v>31</v>
      </c>
      <c r="V10" s="6" t="str">
        <f>VLOOKUP(B10,[2]Planilha1!$A:$R,13,FALSE)</f>
        <v>Parda</v>
      </c>
      <c r="W10" s="6" t="str">
        <f>VLOOKUP(B10,[2]Planilha1!$A:$B,2,FALSE)</f>
        <v>União Estável</v>
      </c>
      <c r="X10" s="6" t="str">
        <f>VLOOKUP(B10,[2]Planilha1!$A:$R,15,FALSE)</f>
        <v>189933707</v>
      </c>
      <c r="Y10" s="6" t="s">
        <v>32</v>
      </c>
      <c r="Z10" s="6" t="s">
        <v>31</v>
      </c>
    </row>
    <row r="11" spans="1:26" x14ac:dyDescent="0.25">
      <c r="A11" s="3">
        <v>237983</v>
      </c>
      <c r="B11" s="4" t="s">
        <v>60</v>
      </c>
      <c r="C11" s="5" t="str">
        <f>VLOOKUP(B11,[1]Sheet1!$A:$C,3,FALSE)</f>
        <v xml:space="preserve">moisesfloyd@msn.com </v>
      </c>
      <c r="D11" s="6" t="str">
        <f>VLOOKUP(B11,[2]Planilha1!$A:$R,10,FALSE)</f>
        <v>33844607</v>
      </c>
      <c r="E11" s="6" t="s">
        <v>26</v>
      </c>
      <c r="F11" s="6" t="s">
        <v>35</v>
      </c>
      <c r="G11" s="6" t="s">
        <v>28</v>
      </c>
      <c r="H11" s="6" t="s">
        <v>61</v>
      </c>
      <c r="I11" s="3">
        <v>237983</v>
      </c>
      <c r="J11" s="7"/>
      <c r="K11" s="8">
        <f>VLOOKUP(B11,[2]Planilha1!$A:$N,14,FALSE)</f>
        <v>24896</v>
      </c>
      <c r="L11" s="6" t="str">
        <f>VLOOKUP(B11,[2]Planilha1!$A:$R,16,FALSE)</f>
        <v>SP</v>
      </c>
      <c r="M11" s="6" t="str">
        <f>VLOOKUP(B11,[2]Planilha1!$A:$R,18,FALSE)</f>
        <v>SANTOS</v>
      </c>
      <c r="N11" s="6" t="s">
        <v>30</v>
      </c>
      <c r="O11" s="6" t="str">
        <f>VLOOKUP(B11,[2]Planilha1!$A:$R,9,FALSE)</f>
        <v>11472-110</v>
      </c>
      <c r="P11" s="6" t="str">
        <f>VLOOKUP(B11,[2]Planilha1!$A:$C,3,FALSE)</f>
        <v>AV Vereador Luis Carlos Romazzini</v>
      </c>
      <c r="Q11" s="6" t="str">
        <f>VLOOKUP(B11,[2]Planilha1!$A:$G,7,FALSE)</f>
        <v>75</v>
      </c>
      <c r="R11" s="6" t="str">
        <f>VLOOKUP(B11,[2]Planilha1!$A:$H,8,FALSE)</f>
        <v>BAP 34</v>
      </c>
      <c r="S11" s="6" t="str">
        <f>VLOOKUP(B11,[2]Planilha1!$A:$D,4,FALSE)</f>
        <v>Jardim Conceiçãozinh</v>
      </c>
      <c r="T11" s="6" t="str">
        <f>VLOOKUP(B11,[2]Planilha1!$A:$E,5,FALSE)</f>
        <v>GUARUJA</v>
      </c>
      <c r="U11" s="6" t="s">
        <v>31</v>
      </c>
      <c r="V11" s="6" t="str">
        <f>VLOOKUP(B11,[2]Planilha1!$A:$R,13,FALSE)</f>
        <v>Parda</v>
      </c>
      <c r="W11" s="6" t="str">
        <f>VLOOKUP(B11,[2]Planilha1!$A:$B,2,FALSE)</f>
        <v>Casado</v>
      </c>
      <c r="X11" s="6" t="str">
        <f>VLOOKUP(B11,[2]Planilha1!$A:$R,15,FALSE)</f>
        <v>142940612</v>
      </c>
      <c r="Y11" s="6" t="s">
        <v>32</v>
      </c>
      <c r="Z11" s="6" t="s">
        <v>31</v>
      </c>
    </row>
    <row r="12" spans="1:26" x14ac:dyDescent="0.25">
      <c r="A12" s="3">
        <v>237835</v>
      </c>
      <c r="B12" s="4" t="s">
        <v>62</v>
      </c>
      <c r="C12" s="5" t="str">
        <f>VLOOKUP(B12,[1]Sheet1!$A:$C,3,FALSE)</f>
        <v>ailtonmachadotim071@hotmail.com</v>
      </c>
      <c r="D12" s="6" t="str">
        <f>VLOOKUP(B12,[2]Planilha1!$A:$R,10,FALSE)</f>
        <v>30184030</v>
      </c>
      <c r="E12" s="6" t="s">
        <v>26</v>
      </c>
      <c r="F12" s="6" t="s">
        <v>63</v>
      </c>
      <c r="G12" s="6" t="s">
        <v>28</v>
      </c>
      <c r="H12" s="6" t="s">
        <v>64</v>
      </c>
      <c r="I12" s="3">
        <v>237835</v>
      </c>
      <c r="J12" s="7"/>
      <c r="K12" s="8">
        <f>VLOOKUP(B12,[2]Planilha1!$A:$N,14,FALSE)</f>
        <v>26343</v>
      </c>
      <c r="L12" s="6" t="str">
        <f>VLOOKUP(B12,[2]Planilha1!$A:$R,16,FALSE)</f>
        <v>SP</v>
      </c>
      <c r="M12" s="6" t="str">
        <f>VLOOKUP(B12,[2]Planilha1!$A:$R,18,FALSE)</f>
        <v>SANTOS</v>
      </c>
      <c r="N12" s="6" t="s">
        <v>30</v>
      </c>
      <c r="O12" s="6" t="str">
        <f>VLOOKUP(B12,[2]Planilha1!$A:$R,9,FALSE)</f>
        <v>11355-030</v>
      </c>
      <c r="P12" s="6" t="str">
        <f>VLOOKUP(B12,[2]Planilha1!$A:$C,3,FALSE)</f>
        <v>R Tambaú</v>
      </c>
      <c r="Q12" s="6" t="str">
        <f>VLOOKUP(B12,[2]Planilha1!$A:$G,7,FALSE)</f>
        <v>1105</v>
      </c>
      <c r="R12" s="6" t="str">
        <f>VLOOKUP(B12,[2]Planilha1!$A:$H,8,FALSE)</f>
        <v>CASA 2</v>
      </c>
      <c r="S12" s="6" t="str">
        <f>VLOOKUP(B12,[2]Planilha1!$A:$D,4,FALSE)</f>
        <v>Vila Nossa Senhora d</v>
      </c>
      <c r="T12" s="6" t="str">
        <f>VLOOKUP(B12,[2]Planilha1!$A:$E,5,FALSE)</f>
        <v>SAO VICENTE</v>
      </c>
      <c r="U12" s="6" t="s">
        <v>31</v>
      </c>
      <c r="V12" s="6" t="str">
        <f>VLOOKUP(B12,[2]Planilha1!$A:$R,13,FALSE)</f>
        <v>Parda</v>
      </c>
      <c r="W12" s="6" t="str">
        <f>VLOOKUP(B12,[2]Planilha1!$A:$B,2,FALSE)</f>
        <v>Casado</v>
      </c>
      <c r="X12" s="6" t="str">
        <f>VLOOKUP(B12,[2]Planilha1!$A:$R,15,FALSE)</f>
        <v>230333734</v>
      </c>
      <c r="Y12" s="6" t="s">
        <v>32</v>
      </c>
      <c r="Z12" s="6" t="s">
        <v>31</v>
      </c>
    </row>
    <row r="13" spans="1:26" x14ac:dyDescent="0.25">
      <c r="A13" s="3">
        <v>238059</v>
      </c>
      <c r="B13" s="4" t="s">
        <v>65</v>
      </c>
      <c r="C13" s="5" t="str">
        <f>VLOOKUP(B13,[1]Sheet1!$A:$C,3,FALSE)</f>
        <v>diegolr83@hotmail.com</v>
      </c>
      <c r="D13" s="6" t="str">
        <f>VLOOKUP(B13,[2]Planilha1!$A:$R,10,FALSE)</f>
        <v>33496892</v>
      </c>
      <c r="E13" s="6" t="s">
        <v>26</v>
      </c>
      <c r="F13" s="6" t="s">
        <v>66</v>
      </c>
      <c r="G13" s="6" t="s">
        <v>28</v>
      </c>
      <c r="H13" s="6" t="s">
        <v>67</v>
      </c>
      <c r="I13" s="3">
        <v>238059</v>
      </c>
      <c r="J13" s="7"/>
      <c r="K13" s="8">
        <f>VLOOKUP(B13,[2]Planilha1!$A:$N,14,FALSE)</f>
        <v>30526</v>
      </c>
      <c r="L13" s="6" t="str">
        <f>VLOOKUP(B13,[2]Planilha1!$A:$R,16,FALSE)</f>
        <v>SP</v>
      </c>
      <c r="M13" s="6" t="str">
        <f>VLOOKUP(B13,[2]Planilha1!$A:$R,18,FALSE)</f>
        <v>RIO DE JANEIRO</v>
      </c>
      <c r="N13" s="6" t="s">
        <v>30</v>
      </c>
      <c r="O13" s="6" t="str">
        <f>VLOOKUP(B13,[2]Planilha1!$A:$R,9,FALSE)</f>
        <v>11470-170</v>
      </c>
      <c r="P13" s="6" t="str">
        <f>VLOOKUP(B13,[2]Planilha1!$A:$C,3,FALSE)</f>
        <v>R Eduardo</v>
      </c>
      <c r="Q13" s="6" t="str">
        <f>VLOOKUP(B13,[2]Planilha1!$A:$G,7,FALSE)</f>
        <v>437</v>
      </c>
      <c r="R13" s="6" t="str">
        <f>VLOOKUP(B13,[2]Planilha1!$A:$H,8,FALSE)</f>
        <v>Sobrado esquina muro amar</v>
      </c>
      <c r="S13" s="6" t="str">
        <f>VLOOKUP(B13,[2]Planilha1!$A:$D,4,FALSE)</f>
        <v>Jardim Santana (Vice</v>
      </c>
      <c r="T13" s="6" t="str">
        <f>VLOOKUP(B13,[2]Planilha1!$A:$E,5,FALSE)</f>
        <v>GUARUJA</v>
      </c>
      <c r="U13" s="6" t="s">
        <v>31</v>
      </c>
      <c r="V13" s="6" t="str">
        <f>VLOOKUP(B13,[2]Planilha1!$A:$R,13,FALSE)</f>
        <v>Parda</v>
      </c>
      <c r="W13" s="6" t="str">
        <f>VLOOKUP(B13,[2]Planilha1!$A:$B,2,FALSE)</f>
        <v>Casado</v>
      </c>
      <c r="X13" s="6" t="str">
        <f>VLOOKUP(B13,[2]Planilha1!$A:$R,15,FALSE)</f>
        <v>202336251</v>
      </c>
      <c r="Y13" s="6" t="s">
        <v>32</v>
      </c>
      <c r="Z13" s="6" t="s">
        <v>31</v>
      </c>
    </row>
    <row r="14" spans="1:26" x14ac:dyDescent="0.25">
      <c r="A14" s="3">
        <v>238064</v>
      </c>
      <c r="B14" s="4" t="s">
        <v>68</v>
      </c>
      <c r="C14" s="5" t="str">
        <f>VLOOKUP(B14,[1]Sheet1!$A:$C,3,FALSE)</f>
        <v>Marialau557@gmail.com</v>
      </c>
      <c r="D14" s="6" t="str">
        <f>VLOOKUP(B14,[2]Planilha1!$A:$R,10,FALSE)</f>
        <v>991892374</v>
      </c>
      <c r="E14" s="6" t="s">
        <v>34</v>
      </c>
      <c r="F14" s="6" t="s">
        <v>69</v>
      </c>
      <c r="G14" s="6" t="s">
        <v>28</v>
      </c>
      <c r="H14" s="6" t="s">
        <v>70</v>
      </c>
      <c r="I14" s="3">
        <v>238064</v>
      </c>
      <c r="J14" s="7"/>
      <c r="K14" s="8">
        <f>VLOOKUP(B14,[2]Planilha1!$A:$N,14,FALSE)</f>
        <v>35877</v>
      </c>
      <c r="L14" s="6" t="str">
        <f>VLOOKUP(B14,[2]Planilha1!$A:$R,16,FALSE)</f>
        <v>PE</v>
      </c>
      <c r="M14" s="6" t="str">
        <f>VLOOKUP(B14,[2]Planilha1!$A:$R,18,FALSE)</f>
        <v>LIMOEIRO</v>
      </c>
      <c r="N14" s="6" t="s">
        <v>30</v>
      </c>
      <c r="O14" s="6" t="str">
        <f>VLOOKUP(B14,[2]Planilha1!$A:$R,9,FALSE)</f>
        <v>11420-500</v>
      </c>
      <c r="P14" s="6" t="str">
        <f>VLOOKUP(B14,[2]Planilha1!$A:$C,3,FALSE)</f>
        <v>R Nelson Horácio Conceição</v>
      </c>
      <c r="Q14" s="6" t="str">
        <f>VLOOKUP(B14,[2]Planilha1!$A:$G,7,FALSE)</f>
        <v>350</v>
      </c>
      <c r="R14" s="6" t="str">
        <f>VLOOKUP(B14,[2]Planilha1!$A:$H,8,FALSE)</f>
        <v>Casa</v>
      </c>
      <c r="S14" s="6" t="str">
        <f>VLOOKUP(B14,[2]Planilha1!$A:$D,4,FALSE)</f>
        <v>Jardim Las Palmas</v>
      </c>
      <c r="T14" s="6" t="str">
        <f>VLOOKUP(B14,[2]Planilha1!$A:$E,5,FALSE)</f>
        <v>GUARUJA</v>
      </c>
      <c r="U14" s="6" t="s">
        <v>31</v>
      </c>
      <c r="V14" s="6" t="str">
        <f>VLOOKUP(B14,[2]Planilha1!$A:$R,13,FALSE)</f>
        <v>Parda</v>
      </c>
      <c r="W14" s="6" t="str">
        <f>VLOOKUP(B14,[2]Planilha1!$A:$B,2,FALSE)</f>
        <v>Solteiro</v>
      </c>
      <c r="X14" s="6" t="str">
        <f>VLOOKUP(B14,[2]Planilha1!$A:$R,15,FALSE)</f>
        <v>9063386</v>
      </c>
      <c r="Y14" s="6" t="s">
        <v>32</v>
      </c>
      <c r="Z14" s="6" t="s">
        <v>31</v>
      </c>
    </row>
    <row r="15" spans="1:26" x14ac:dyDescent="0.25">
      <c r="A15" s="3">
        <v>237827</v>
      </c>
      <c r="B15" s="4" t="s">
        <v>71</v>
      </c>
      <c r="C15" s="5" t="str">
        <f>VLOOKUP(B15,[1]Sheet1!$A:$C,3,FALSE)</f>
        <v>edelmir_reis@hotmail.com</v>
      </c>
      <c r="D15" s="6" t="str">
        <f>VLOOKUP(B15,[2]Planilha1!$A:$R,10,FALSE)</f>
        <v>33240157</v>
      </c>
      <c r="E15" s="6" t="s">
        <v>26</v>
      </c>
      <c r="F15" s="6" t="s">
        <v>41</v>
      </c>
      <c r="G15" s="6" t="s">
        <v>28</v>
      </c>
      <c r="H15" s="6" t="s">
        <v>72</v>
      </c>
      <c r="I15" s="3">
        <v>237827</v>
      </c>
      <c r="J15" s="7"/>
      <c r="K15" s="8">
        <f>VLOOKUP(B15,[2]Planilha1!$A:$N,14,FALSE)</f>
        <v>26537</v>
      </c>
      <c r="L15" s="6" t="str">
        <f>VLOOKUP(B15,[2]Planilha1!$A:$R,16,FALSE)</f>
        <v>SP</v>
      </c>
      <c r="M15" s="6" t="str">
        <f>VLOOKUP(B15,[2]Planilha1!$A:$R,18,FALSE)</f>
        <v>SANTOS</v>
      </c>
      <c r="N15" s="6" t="s">
        <v>30</v>
      </c>
      <c r="O15" s="6" t="str">
        <f>VLOOKUP(B15,[2]Planilha1!$A:$R,9,FALSE)</f>
        <v>11533-050</v>
      </c>
      <c r="P15" s="6" t="str">
        <f>VLOOKUP(B15,[2]Planilha1!$A:$C,3,FALSE)</f>
        <v>R Maria do Carmo</v>
      </c>
      <c r="Q15" s="6" t="str">
        <f>VLOOKUP(B15,[2]Planilha1!$A:$G,7,FALSE)</f>
        <v>935</v>
      </c>
      <c r="R15" s="6" t="str">
        <f>VLOOKUP(B15,[2]Planilha1!$A:$H,8,FALSE)</f>
        <v>Apto 02</v>
      </c>
      <c r="S15" s="6" t="str">
        <f>VLOOKUP(B15,[2]Planilha1!$A:$D,4,FALSE)</f>
        <v>Jardim Casqueiro</v>
      </c>
      <c r="T15" s="6" t="str">
        <f>VLOOKUP(B15,[2]Planilha1!$A:$E,5,FALSE)</f>
        <v>CUBATAO</v>
      </c>
      <c r="U15" s="6" t="s">
        <v>31</v>
      </c>
      <c r="V15" s="6" t="str">
        <f>VLOOKUP(B15,[2]Planilha1!$A:$R,13,FALSE)</f>
        <v>Branca</v>
      </c>
      <c r="W15" s="6" t="str">
        <f>VLOOKUP(B15,[2]Planilha1!$A:$B,2,FALSE)</f>
        <v>Casado</v>
      </c>
      <c r="X15" s="6" t="str">
        <f>VLOOKUP(B15,[2]Planilha1!$A:$R,15,FALSE)</f>
        <v>227777852</v>
      </c>
      <c r="Y15" s="6" t="s">
        <v>32</v>
      </c>
      <c r="Z15" s="6" t="s">
        <v>31</v>
      </c>
    </row>
    <row r="16" spans="1:26" x14ac:dyDescent="0.25">
      <c r="A16" s="3">
        <v>238011</v>
      </c>
      <c r="B16" s="4" t="s">
        <v>73</v>
      </c>
      <c r="C16" s="5" t="str">
        <f>VLOOKUP(B16,[1]Sheet1!$A:$C,3,FALSE)</f>
        <v>marciomarquesdesouza@yahoo.com.br</v>
      </c>
      <c r="D16" s="6" t="str">
        <f>VLOOKUP(B16,[2]Planilha1!$A:$R,10,FALSE)</f>
        <v>974196635</v>
      </c>
      <c r="E16" s="6" t="s">
        <v>26</v>
      </c>
      <c r="F16" s="6" t="s">
        <v>35</v>
      </c>
      <c r="G16" s="6" t="s">
        <v>28</v>
      </c>
      <c r="H16" s="6" t="s">
        <v>74</v>
      </c>
      <c r="I16" s="3">
        <v>238011</v>
      </c>
      <c r="J16" s="7"/>
      <c r="K16" s="8">
        <f>VLOOKUP(B16,[2]Planilha1!$A:$N,14,FALSE)</f>
        <v>26262</v>
      </c>
      <c r="L16" s="6" t="str">
        <f>VLOOKUP(B16,[2]Planilha1!$A:$R,16,FALSE)</f>
        <v>SP</v>
      </c>
      <c r="M16" s="6" t="str">
        <f>VLOOKUP(B16,[2]Planilha1!$A:$R,18,FALSE)</f>
        <v>SANTOS</v>
      </c>
      <c r="N16" s="6" t="s">
        <v>30</v>
      </c>
      <c r="O16" s="6" t="str">
        <f>VLOOKUP(B16,[2]Planilha1!$A:$R,9,FALSE)</f>
        <v>11040-040</v>
      </c>
      <c r="P16" s="6" t="str">
        <f>VLOOKUP(B16,[2]Planilha1!$A:$C,3,FALSE)</f>
        <v>R Luiz Marques Gaspar</v>
      </c>
      <c r="Q16" s="6" t="str">
        <f>VLOOKUP(B16,[2]Planilha1!$A:$G,7,FALSE)</f>
        <v>75</v>
      </c>
      <c r="R16" s="6" t="str">
        <f>VLOOKUP(B16,[2]Planilha1!$A:$H,8,FALSE)</f>
        <v>AP 206 porta 3</v>
      </c>
      <c r="S16" s="6" t="str">
        <f>VLOOKUP(B16,[2]Planilha1!$A:$D,4,FALSE)</f>
        <v>Aparecida</v>
      </c>
      <c r="T16" s="6" t="str">
        <f>VLOOKUP(B16,[2]Planilha1!$A:$E,5,FALSE)</f>
        <v>SANTOS</v>
      </c>
      <c r="U16" s="6" t="s">
        <v>31</v>
      </c>
      <c r="V16" s="6" t="str">
        <f>VLOOKUP(B16,[2]Planilha1!$A:$R,13,FALSE)</f>
        <v>Parda</v>
      </c>
      <c r="W16" s="6" t="str">
        <f>VLOOKUP(B16,[2]Planilha1!$A:$B,2,FALSE)</f>
        <v>Casado</v>
      </c>
      <c r="X16" s="6" t="str">
        <f>VLOOKUP(B16,[2]Planilha1!$A:$R,15,FALSE)</f>
        <v>227789386</v>
      </c>
      <c r="Y16" s="6" t="s">
        <v>32</v>
      </c>
      <c r="Z16" s="6" t="s">
        <v>31</v>
      </c>
    </row>
    <row r="17" spans="1:26" x14ac:dyDescent="0.25">
      <c r="A17" s="3">
        <v>237866</v>
      </c>
      <c r="B17" s="4" t="s">
        <v>75</v>
      </c>
      <c r="C17" s="5" t="str">
        <f>VLOOKUP(B17,[1]Sheet1!$A:$C,3,FALSE)</f>
        <v xml:space="preserve">Wilsonrjunior@hotmail.com </v>
      </c>
      <c r="D17" s="6" t="str">
        <f>VLOOKUP(B17,[2]Planilha1!$A:$R,10,FALSE)</f>
        <v>35967270</v>
      </c>
      <c r="E17" s="6" t="s">
        <v>26</v>
      </c>
      <c r="F17" s="6" t="s">
        <v>41</v>
      </c>
      <c r="G17" s="6" t="s">
        <v>28</v>
      </c>
      <c r="H17" s="6" t="s">
        <v>76</v>
      </c>
      <c r="I17" s="3">
        <v>237866</v>
      </c>
      <c r="J17" s="7"/>
      <c r="K17" s="8">
        <f>VLOOKUP(B17,[2]Planilha1!$A:$N,14,FALSE)</f>
        <v>25141</v>
      </c>
      <c r="L17" s="6" t="str">
        <f>VLOOKUP(B17,[2]Planilha1!$A:$R,16,FALSE)</f>
        <v>SP</v>
      </c>
      <c r="M17" s="6" t="str">
        <f>VLOOKUP(B17,[2]Planilha1!$A:$R,18,FALSE)</f>
        <v>SANTOS</v>
      </c>
      <c r="N17" s="6" t="s">
        <v>30</v>
      </c>
      <c r="O17" s="6" t="str">
        <f>VLOOKUP(B17,[2]Planilha1!$A:$R,9,FALSE)</f>
        <v>11070-190</v>
      </c>
      <c r="P17" s="6" t="str">
        <f>VLOOKUP(B17,[2]Planilha1!$A:$C,3,FALSE)</f>
        <v>R Doutor Vital Brasil</v>
      </c>
      <c r="Q17" s="6" t="str">
        <f>VLOOKUP(B17,[2]Planilha1!$A:$G,7,FALSE)</f>
        <v>90</v>
      </c>
      <c r="R17" s="6" t="str">
        <f>VLOOKUP(B17,[2]Planilha1!$A:$H,8,FALSE)</f>
        <v>A Baixos</v>
      </c>
      <c r="S17" s="6" t="str">
        <f>VLOOKUP(B17,[2]Planilha1!$A:$D,4,FALSE)</f>
        <v>Vila Belmiro</v>
      </c>
      <c r="T17" s="6" t="str">
        <f>VLOOKUP(B17,[2]Planilha1!$A:$E,5,FALSE)</f>
        <v>SANTOS</v>
      </c>
      <c r="U17" s="6" t="s">
        <v>31</v>
      </c>
      <c r="V17" s="6" t="str">
        <f>VLOOKUP(B17,[2]Planilha1!$A:$R,13,FALSE)</f>
        <v>Parda</v>
      </c>
      <c r="W17" s="6" t="str">
        <f>VLOOKUP(B17,[2]Planilha1!$A:$B,2,FALSE)</f>
        <v>Casado</v>
      </c>
      <c r="X17" s="6" t="str">
        <f>VLOOKUP(B17,[2]Planilha1!$A:$R,15,FALSE)</f>
        <v>21935939</v>
      </c>
      <c r="Y17" s="6" t="s">
        <v>32</v>
      </c>
      <c r="Z17" s="6" t="s">
        <v>31</v>
      </c>
    </row>
    <row r="18" spans="1:26" x14ac:dyDescent="0.25">
      <c r="A18" s="3">
        <v>237962</v>
      </c>
      <c r="B18" s="4" t="s">
        <v>77</v>
      </c>
      <c r="C18" s="5" t="str">
        <f>VLOOKUP(B18,[1]Sheet1!$A:$C,3,FALSE)</f>
        <v xml:space="preserve">thiagomoreiraqueiroz@gmail.com </v>
      </c>
      <c r="D18" s="6" t="str">
        <f>VLOOKUP(B18,[2]Planilha1!$A:$R,10,FALSE)</f>
        <v>974041221</v>
      </c>
      <c r="E18" s="6" t="s">
        <v>26</v>
      </c>
      <c r="F18" s="6" t="s">
        <v>41</v>
      </c>
      <c r="G18" s="6" t="s">
        <v>28</v>
      </c>
      <c r="H18" s="6" t="s">
        <v>78</v>
      </c>
      <c r="I18" s="3">
        <v>237962</v>
      </c>
      <c r="J18" s="7"/>
      <c r="K18" s="8">
        <f>VLOOKUP(B18,[2]Planilha1!$A:$N,14,FALSE)</f>
        <v>34057</v>
      </c>
      <c r="L18" s="6" t="str">
        <f>VLOOKUP(B18,[2]Planilha1!$A:$R,16,FALSE)</f>
        <v>RJ</v>
      </c>
      <c r="M18" s="6" t="str">
        <f>VLOOKUP(B18,[2]Planilha1!$A:$R,18,FALSE)</f>
        <v>RIO DE JANEIRO</v>
      </c>
      <c r="N18" s="6" t="s">
        <v>30</v>
      </c>
      <c r="O18" s="6" t="str">
        <f>VLOOKUP(B18,[2]Planilha1!$A:$R,9,FALSE)</f>
        <v>11325-040</v>
      </c>
      <c r="P18" s="6" t="str">
        <f>VLOOKUP(B18,[2]Planilha1!$A:$C,3,FALSE)</f>
        <v>R Papa João XXIII</v>
      </c>
      <c r="Q18" s="6" t="str">
        <f>VLOOKUP(B18,[2]Planilha1!$A:$G,7,FALSE)</f>
        <v>341</v>
      </c>
      <c r="R18" s="6" t="str">
        <f>VLOOKUP(B18,[2]Planilha1!$A:$H,8,FALSE)</f>
        <v>Casa 3</v>
      </c>
      <c r="S18" s="6" t="str">
        <f>VLOOKUP(B18,[2]Planilha1!$A:$D,4,FALSE)</f>
        <v>Japuí</v>
      </c>
      <c r="T18" s="6" t="str">
        <f>VLOOKUP(B18,[2]Planilha1!$A:$E,5,FALSE)</f>
        <v>SAO VICENTE</v>
      </c>
      <c r="U18" s="6" t="s">
        <v>31</v>
      </c>
      <c r="V18" s="6" t="str">
        <f>VLOOKUP(B18,[2]Planilha1!$A:$R,13,FALSE)</f>
        <v>Parda</v>
      </c>
      <c r="W18" s="6" t="str">
        <f>VLOOKUP(B18,[2]Planilha1!$A:$B,2,FALSE)</f>
        <v>Casado</v>
      </c>
      <c r="X18" s="6" t="str">
        <f>VLOOKUP(B18,[2]Planilha1!$A:$R,15,FALSE)</f>
        <v>257819995</v>
      </c>
      <c r="Y18" s="6" t="s">
        <v>32</v>
      </c>
      <c r="Z18" s="6" t="s">
        <v>31</v>
      </c>
    </row>
    <row r="19" spans="1:26" x14ac:dyDescent="0.25">
      <c r="A19" s="3">
        <v>237911</v>
      </c>
      <c r="B19" s="4" t="s">
        <v>79</v>
      </c>
      <c r="C19" s="5" t="str">
        <f>VLOOKUP(B19,[1]Sheet1!$A:$C,3,FALSE)</f>
        <v>claudiolaviana@icloud.com</v>
      </c>
      <c r="D19" s="6" t="str">
        <f>VLOOKUP(B19,[2]Planilha1!$A:$R,10,FALSE)</f>
        <v>33799694</v>
      </c>
      <c r="E19" s="6" t="s">
        <v>26</v>
      </c>
      <c r="F19" s="6" t="s">
        <v>35</v>
      </c>
      <c r="G19" s="6" t="s">
        <v>28</v>
      </c>
      <c r="H19" s="6" t="s">
        <v>80</v>
      </c>
      <c r="I19" s="3">
        <v>237911</v>
      </c>
      <c r="J19" s="7"/>
      <c r="K19" s="8">
        <f>VLOOKUP(B19,[2]Planilha1!$A:$N,14,FALSE)</f>
        <v>26531</v>
      </c>
      <c r="L19" s="6" t="str">
        <f>VLOOKUP(B19,[2]Planilha1!$A:$R,16,FALSE)</f>
        <v>SP</v>
      </c>
      <c r="M19" s="6" t="str">
        <f>VLOOKUP(B19,[2]Planilha1!$A:$R,18,FALSE)</f>
        <v>SAO VICENTE</v>
      </c>
      <c r="N19" s="6" t="s">
        <v>30</v>
      </c>
      <c r="O19" s="6" t="str">
        <f>VLOOKUP(B19,[2]Planilha1!$A:$R,9,FALSE)</f>
        <v>11320-120</v>
      </c>
      <c r="P19" s="6" t="str">
        <f>VLOOKUP(B19,[2]Planilha1!$A:$C,3,FALSE)</f>
        <v>R RANGEL PESTANA</v>
      </c>
      <c r="Q19" s="6" t="str">
        <f>VLOOKUP(B19,[2]Planilha1!$A:$G,7,FALSE)</f>
        <v>66</v>
      </c>
      <c r="R19" s="6" t="str">
        <f>VLOOKUP(B19,[2]Planilha1!$A:$H,8,FALSE)</f>
        <v>APTO 81</v>
      </c>
      <c r="S19" s="6" t="str">
        <f>VLOOKUP(B19,[2]Planilha1!$A:$D,4,FALSE)</f>
        <v>Centro</v>
      </c>
      <c r="T19" s="6" t="str">
        <f>VLOOKUP(B19,[2]Planilha1!$A:$E,5,FALSE)</f>
        <v>SAO VICENTE</v>
      </c>
      <c r="U19" s="6" t="s">
        <v>31</v>
      </c>
      <c r="V19" s="6" t="str">
        <f>VLOOKUP(B19,[2]Planilha1!$A:$R,13,FALSE)</f>
        <v>Parda</v>
      </c>
      <c r="W19" s="6" t="str">
        <f>VLOOKUP(B19,[2]Planilha1!$A:$B,2,FALSE)</f>
        <v>Casado</v>
      </c>
      <c r="X19" s="6" t="str">
        <f>VLOOKUP(B19,[2]Planilha1!$A:$R,15,FALSE)</f>
        <v>245458736</v>
      </c>
      <c r="Y19" s="6" t="s">
        <v>32</v>
      </c>
      <c r="Z19" s="6" t="s">
        <v>31</v>
      </c>
    </row>
    <row r="20" spans="1:26" x14ac:dyDescent="0.25">
      <c r="A20" s="3">
        <v>237950</v>
      </c>
      <c r="B20" s="4" t="s">
        <v>81</v>
      </c>
      <c r="C20" s="5" t="str">
        <f>VLOOKUP(B20,[1]Sheet1!$A:$C,3,FALSE)</f>
        <v xml:space="preserve">ronald.marcos@gmail.com </v>
      </c>
      <c r="D20" s="6" t="str">
        <f>VLOOKUP(B20,[2]Planilha1!$A:$R,10,FALSE)</f>
        <v>33213661</v>
      </c>
      <c r="E20" s="6" t="s">
        <v>26</v>
      </c>
      <c r="F20" s="6" t="s">
        <v>35</v>
      </c>
      <c r="G20" s="6" t="s">
        <v>28</v>
      </c>
      <c r="H20" s="6" t="s">
        <v>82</v>
      </c>
      <c r="I20" s="3">
        <v>237950</v>
      </c>
      <c r="J20" s="7"/>
      <c r="K20" s="8">
        <f>VLOOKUP(B20,[2]Planilha1!$A:$N,14,FALSE)</f>
        <v>26986</v>
      </c>
      <c r="L20" s="6" t="str">
        <f>VLOOKUP(B20,[2]Planilha1!$A:$R,16,FALSE)</f>
        <v>SP</v>
      </c>
      <c r="M20" s="6" t="str">
        <f>VLOOKUP(B20,[2]Planilha1!$A:$R,18,FALSE)</f>
        <v>SANTOS</v>
      </c>
      <c r="N20" s="6" t="s">
        <v>30</v>
      </c>
      <c r="O20" s="6" t="str">
        <f>VLOOKUP(B20,[2]Planilha1!$A:$R,9,FALSE)</f>
        <v>11015-020</v>
      </c>
      <c r="P20" s="6" t="str">
        <f>VLOOKUP(B20,[2]Planilha1!$A:$C,3,FALSE)</f>
        <v>R SILVA JARDIM</v>
      </c>
      <c r="Q20" s="6" t="str">
        <f>VLOOKUP(B20,[2]Planilha1!$A:$G,7,FALSE)</f>
        <v>280</v>
      </c>
      <c r="R20" s="6" t="str">
        <f>VLOOKUP(B20,[2]Planilha1!$A:$H,8,FALSE)</f>
        <v>APTO 06</v>
      </c>
      <c r="S20" s="6" t="str">
        <f>VLOOKUP(B20,[2]Planilha1!$A:$D,4,FALSE)</f>
        <v>Vila Mathias</v>
      </c>
      <c r="T20" s="6" t="str">
        <f>VLOOKUP(B20,[2]Planilha1!$A:$E,5,FALSE)</f>
        <v>SANTOS</v>
      </c>
      <c r="U20" s="6" t="s">
        <v>31</v>
      </c>
      <c r="V20" s="6" t="str">
        <f>VLOOKUP(B20,[2]Planilha1!$A:$R,13,FALSE)</f>
        <v>Parda</v>
      </c>
      <c r="W20" s="6" t="str">
        <f>VLOOKUP(B20,[2]Planilha1!$A:$B,2,FALSE)</f>
        <v>Casado</v>
      </c>
      <c r="X20" s="6" t="str">
        <f>VLOOKUP(B20,[2]Planilha1!$A:$R,15,FALSE)</f>
        <v>245439572</v>
      </c>
      <c r="Y20" s="6" t="s">
        <v>32</v>
      </c>
      <c r="Z20" s="6" t="s">
        <v>31</v>
      </c>
    </row>
    <row r="21" spans="1:26" x14ac:dyDescent="0.25">
      <c r="A21" s="3">
        <v>237906</v>
      </c>
      <c r="B21" s="4" t="s">
        <v>83</v>
      </c>
      <c r="C21" s="5" t="str">
        <f>VLOOKUP(B21,[1]Sheet1!$A:$C,3,FALSE)</f>
        <v>lmserra72@gmail.com</v>
      </c>
      <c r="D21" s="6" t="str">
        <f>VLOOKUP(B21,[2]Planilha1!$A:$R,10,FALSE)</f>
        <v>974033018</v>
      </c>
      <c r="E21" s="6" t="s">
        <v>26</v>
      </c>
      <c r="F21" s="6" t="s">
        <v>35</v>
      </c>
      <c r="G21" s="6" t="s">
        <v>28</v>
      </c>
      <c r="H21" s="6" t="s">
        <v>84</v>
      </c>
      <c r="I21" s="3">
        <v>237906</v>
      </c>
      <c r="J21" s="7"/>
      <c r="K21" s="8">
        <f>VLOOKUP(B21,[2]Planilha1!$A:$N,14,FALSE)</f>
        <v>26603</v>
      </c>
      <c r="L21" s="6" t="str">
        <f>VLOOKUP(B21,[2]Planilha1!$A:$R,16,FALSE)</f>
        <v>SP</v>
      </c>
      <c r="M21" s="6" t="str">
        <f>VLOOKUP(B21,[2]Planilha1!$A:$R,18,FALSE)</f>
        <v>GUARUJA</v>
      </c>
      <c r="N21" s="6" t="s">
        <v>30</v>
      </c>
      <c r="O21" s="6" t="str">
        <f>VLOOKUP(B21,[2]Planilha1!$A:$R,9,FALSE)</f>
        <v>11461-290</v>
      </c>
      <c r="P21" s="6" t="str">
        <f>VLOOKUP(B21,[2]Planilha1!$A:$C,3,FALSE)</f>
        <v>R Antônio Francisco Arruda</v>
      </c>
      <c r="Q21" s="6" t="str">
        <f>VLOOKUP(B21,[2]Planilha1!$A:$G,7,FALSE)</f>
        <v>247</v>
      </c>
      <c r="R21" s="6" t="str">
        <f>VLOOKUP(B21,[2]Planilha1!$A:$H,8,FALSE)</f>
        <v/>
      </c>
      <c r="S21" s="6" t="str">
        <f>VLOOKUP(B21,[2]Planilha1!$A:$D,4,FALSE)</f>
        <v>Sítio Paecara (Vicen</v>
      </c>
      <c r="T21" s="6" t="str">
        <f>VLOOKUP(B21,[2]Planilha1!$A:$E,5,FALSE)</f>
        <v>GUARUJA</v>
      </c>
      <c r="U21" s="6" t="s">
        <v>31</v>
      </c>
      <c r="V21" s="6" t="str">
        <f>VLOOKUP(B21,[2]Planilha1!$A:$R,13,FALSE)</f>
        <v>Parda</v>
      </c>
      <c r="W21" s="6" t="str">
        <f>VLOOKUP(B21,[2]Planilha1!$A:$B,2,FALSE)</f>
        <v>Casado</v>
      </c>
      <c r="X21" s="6" t="str">
        <f>VLOOKUP(B21,[2]Planilha1!$A:$R,15,FALSE)</f>
        <v>24960814</v>
      </c>
      <c r="Y21" s="6" t="s">
        <v>32</v>
      </c>
      <c r="Z21" s="6" t="s">
        <v>31</v>
      </c>
    </row>
    <row r="22" spans="1:26" x14ac:dyDescent="0.25">
      <c r="A22" s="3">
        <v>196948</v>
      </c>
      <c r="B22" s="4" t="s">
        <v>85</v>
      </c>
      <c r="C22" s="5" t="str">
        <f>VLOOKUP(B22,[1]Sheet1!$A:$C,3,FALSE)</f>
        <v>macena878@gmail.com</v>
      </c>
      <c r="D22" s="6" t="str">
        <f>VLOOKUP(B22,[2]Planilha1!$A:$R,10,FALSE)</f>
        <v>991865911</v>
      </c>
      <c r="E22" s="6" t="s">
        <v>26</v>
      </c>
      <c r="F22" s="6" t="s">
        <v>35</v>
      </c>
      <c r="G22" s="6" t="s">
        <v>28</v>
      </c>
      <c r="H22" s="6" t="s">
        <v>86</v>
      </c>
      <c r="I22" s="3">
        <v>196948</v>
      </c>
      <c r="J22" s="7"/>
      <c r="K22" s="8">
        <f>VLOOKUP(B22,[2]Planilha1!$A:$N,14,FALSE)</f>
        <v>27119</v>
      </c>
      <c r="L22" s="6" t="str">
        <f>VLOOKUP(B22,[2]Planilha1!$A:$R,16,FALSE)</f>
        <v>SP</v>
      </c>
      <c r="M22" s="6" t="str">
        <f>VLOOKUP(B22,[2]Planilha1!$A:$R,18,FALSE)</f>
        <v>SANTOS</v>
      </c>
      <c r="N22" s="6" t="s">
        <v>30</v>
      </c>
      <c r="O22" s="6" t="str">
        <f>VLOOKUP(B22,[2]Planilha1!$A:$R,9,FALSE)</f>
        <v>11087-001</v>
      </c>
      <c r="P22" s="6" t="str">
        <f>VLOOKUP(B22,[2]Planilha1!$A:$C,3,FALSE)</f>
        <v>AV AFONSO SCHMIDT</v>
      </c>
      <c r="Q22" s="6" t="str">
        <f>VLOOKUP(B22,[2]Planilha1!$A:$G,7,FALSE)</f>
        <v>491</v>
      </c>
      <c r="R22" s="6" t="str">
        <f>VLOOKUP(B22,[2]Planilha1!$A:$H,8,FALSE)</f>
        <v>AP 44 BL G</v>
      </c>
      <c r="S22" s="6" t="str">
        <f>VLOOKUP(B22,[2]Planilha1!$A:$D,4,FALSE)</f>
        <v>Castelo</v>
      </c>
      <c r="T22" s="6" t="str">
        <f>VLOOKUP(B22,[2]Planilha1!$A:$E,5,FALSE)</f>
        <v>SANTOS</v>
      </c>
      <c r="U22" s="6" t="s">
        <v>31</v>
      </c>
      <c r="V22" s="6" t="str">
        <f>VLOOKUP(B22,[2]Planilha1!$A:$R,13,FALSE)</f>
        <v>Mulato</v>
      </c>
      <c r="W22" s="6" t="str">
        <f>VLOOKUP(B22,[2]Planilha1!$A:$B,2,FALSE)</f>
        <v>Casado</v>
      </c>
      <c r="X22" s="6" t="str">
        <f>VLOOKUP(B22,[2]Planilha1!$A:$R,15,FALSE)</f>
        <v>246797265</v>
      </c>
      <c r="Y22" s="6" t="s">
        <v>32</v>
      </c>
      <c r="Z22" s="6" t="s">
        <v>31</v>
      </c>
    </row>
    <row r="23" spans="1:26" x14ac:dyDescent="0.25">
      <c r="A23" s="3">
        <v>238067</v>
      </c>
      <c r="B23" s="4" t="s">
        <v>87</v>
      </c>
      <c r="C23" s="5" t="str">
        <f>VLOOKUP(B23,[1]Sheet1!$A:$C,3,FALSE)</f>
        <v>daniemax@yahoo.com.br</v>
      </c>
      <c r="D23" s="6" t="str">
        <f>VLOOKUP(B23,[2]Planilha1!$A:$R,10,FALSE)</f>
        <v>991052765</v>
      </c>
      <c r="E23" s="6" t="s">
        <v>26</v>
      </c>
      <c r="F23" s="6" t="s">
        <v>35</v>
      </c>
      <c r="G23" s="6" t="s">
        <v>28</v>
      </c>
      <c r="H23" s="6" t="s">
        <v>88</v>
      </c>
      <c r="I23" s="3">
        <v>238067</v>
      </c>
      <c r="J23" s="7"/>
      <c r="K23" s="8">
        <f>VLOOKUP(B23,[2]Planilha1!$A:$N,14,FALSE)</f>
        <v>27015</v>
      </c>
      <c r="L23" s="6" t="str">
        <f>VLOOKUP(B23,[2]Planilha1!$A:$R,16,FALSE)</f>
        <v>SP</v>
      </c>
      <c r="M23" s="6" t="str">
        <f>VLOOKUP(B23,[2]Planilha1!$A:$R,18,FALSE)</f>
        <v>SANTOS</v>
      </c>
      <c r="N23" s="6" t="s">
        <v>30</v>
      </c>
      <c r="O23" s="6" t="str">
        <f>VLOOKUP(B23,[2]Planilha1!$A:$R,9,FALSE)</f>
        <v>11015-151</v>
      </c>
      <c r="P23" s="6" t="str">
        <f>VLOOKUP(B23,[2]Planilha1!$A:$C,3,FALSE)</f>
        <v>R Luiz Gama</v>
      </c>
      <c r="Q23" s="6" t="str">
        <f>VLOOKUP(B23,[2]Planilha1!$A:$G,7,FALSE)</f>
        <v>145</v>
      </c>
      <c r="R23" s="6" t="str">
        <f>VLOOKUP(B23,[2]Planilha1!$A:$H,8,FALSE)</f>
        <v>AP 14</v>
      </c>
      <c r="S23" s="6" t="str">
        <f>VLOOKUP(B23,[2]Planilha1!$A:$D,4,FALSE)</f>
        <v>Macuco</v>
      </c>
      <c r="T23" s="6" t="str">
        <f>VLOOKUP(B23,[2]Planilha1!$A:$E,5,FALSE)</f>
        <v>SANTOS</v>
      </c>
      <c r="U23" s="6" t="s">
        <v>31</v>
      </c>
      <c r="V23" s="6" t="str">
        <f>VLOOKUP(B23,[2]Planilha1!$A:$R,13,FALSE)</f>
        <v>Parda</v>
      </c>
      <c r="W23" s="6" t="str">
        <f>VLOOKUP(B23,[2]Planilha1!$A:$B,2,FALSE)</f>
        <v>Casado</v>
      </c>
      <c r="X23" s="6" t="str">
        <f>VLOOKUP(B23,[2]Planilha1!$A:$R,15,FALSE)</f>
        <v>272135379</v>
      </c>
      <c r="Y23" s="6" t="s">
        <v>32</v>
      </c>
      <c r="Z23" s="6" t="s">
        <v>31</v>
      </c>
    </row>
    <row r="24" spans="1:26" x14ac:dyDescent="0.25">
      <c r="A24" s="3">
        <v>238015</v>
      </c>
      <c r="B24" s="4" t="s">
        <v>89</v>
      </c>
      <c r="C24" s="5" t="str">
        <f>VLOOKUP(B24,[1]Sheet1!$A:$C,3,FALSE)</f>
        <v>Cestarimartins@hotmail.com</v>
      </c>
      <c r="D24" s="6" t="str">
        <f>VLOOKUP(B24,[2]Planilha1!$A:$R,10,FALSE)</f>
        <v>991049418</v>
      </c>
      <c r="E24" s="6" t="s">
        <v>26</v>
      </c>
      <c r="F24" s="6" t="s">
        <v>35</v>
      </c>
      <c r="G24" s="6" t="s">
        <v>28</v>
      </c>
      <c r="H24" s="6" t="s">
        <v>90</v>
      </c>
      <c r="I24" s="3">
        <v>238015</v>
      </c>
      <c r="J24" s="7"/>
      <c r="K24" s="8">
        <f>VLOOKUP(B24,[2]Planilha1!$A:$N,14,FALSE)</f>
        <v>27106</v>
      </c>
      <c r="L24" s="6" t="str">
        <f>VLOOKUP(B24,[2]Planilha1!$A:$R,16,FALSE)</f>
        <v>SP</v>
      </c>
      <c r="M24" s="6" t="str">
        <f>VLOOKUP(B24,[2]Planilha1!$A:$R,18,FALSE)</f>
        <v>SANTOS</v>
      </c>
      <c r="N24" s="6" t="s">
        <v>30</v>
      </c>
      <c r="O24" s="6" t="str">
        <f>VLOOKUP(B24,[2]Planilha1!$A:$R,9,FALSE)</f>
        <v>11030-251</v>
      </c>
      <c r="P24" s="6" t="str">
        <f>VLOOKUP(B24,[2]Planilha1!$A:$C,3,FALSE)</f>
        <v>AV General San Martin</v>
      </c>
      <c r="Q24" s="6" t="str">
        <f>VLOOKUP(B24,[2]Planilha1!$A:$G,7,FALSE)</f>
        <v>77</v>
      </c>
      <c r="R24" s="6" t="str">
        <f>VLOOKUP(B24,[2]Planilha1!$A:$H,8,FALSE)</f>
        <v>Apto 33</v>
      </c>
      <c r="S24" s="6" t="str">
        <f>VLOOKUP(B24,[2]Planilha1!$A:$D,4,FALSE)</f>
        <v>Ponta da Praia</v>
      </c>
      <c r="T24" s="6" t="str">
        <f>VLOOKUP(B24,[2]Planilha1!$A:$E,5,FALSE)</f>
        <v>SANTOS</v>
      </c>
      <c r="U24" s="6" t="s">
        <v>31</v>
      </c>
      <c r="V24" s="6" t="str">
        <f>VLOOKUP(B24,[2]Planilha1!$A:$R,13,FALSE)</f>
        <v>Parda</v>
      </c>
      <c r="W24" s="6" t="str">
        <f>VLOOKUP(B24,[2]Planilha1!$A:$B,2,FALSE)</f>
        <v>Solteiro</v>
      </c>
      <c r="X24" s="6" t="str">
        <f>VLOOKUP(B24,[2]Planilha1!$A:$R,15,FALSE)</f>
        <v>274215974</v>
      </c>
      <c r="Y24" s="6" t="s">
        <v>32</v>
      </c>
      <c r="Z24" s="6" t="s">
        <v>31</v>
      </c>
    </row>
    <row r="25" spans="1:26" x14ac:dyDescent="0.25">
      <c r="A25" s="3">
        <v>237978</v>
      </c>
      <c r="B25" s="4" t="s">
        <v>91</v>
      </c>
      <c r="C25" s="5" t="str">
        <f>VLOOKUP(B25,[1]Sheet1!$A:$C,3,FALSE)</f>
        <v>f.melo@btp.com.br</v>
      </c>
      <c r="D25" s="6" t="str">
        <f>VLOOKUP(B25,[2]Planilha1!$A:$R,10,FALSE)</f>
        <v>33017260</v>
      </c>
      <c r="E25" s="6" t="s">
        <v>26</v>
      </c>
      <c r="F25" s="6" t="s">
        <v>92</v>
      </c>
      <c r="G25" s="6" t="s">
        <v>28</v>
      </c>
      <c r="H25" s="6" t="s">
        <v>93</v>
      </c>
      <c r="I25" s="3">
        <v>237978</v>
      </c>
      <c r="J25" s="7"/>
      <c r="K25" s="8">
        <f>VLOOKUP(B25,[2]Planilha1!$A:$N,14,FALSE)</f>
        <v>26959</v>
      </c>
      <c r="L25" s="6" t="str">
        <f>VLOOKUP(B25,[2]Planilha1!$A:$R,16,FALSE)</f>
        <v>SP</v>
      </c>
      <c r="M25" s="6" t="str">
        <f>VLOOKUP(B25,[2]Planilha1!$A:$R,18,FALSE)</f>
        <v>VINHEDO</v>
      </c>
      <c r="N25" s="6" t="s">
        <v>30</v>
      </c>
      <c r="O25" s="6" t="str">
        <f>VLOOKUP(B25,[2]Planilha1!$A:$R,9,FALSE)</f>
        <v>11702-160</v>
      </c>
      <c r="P25" s="6" t="str">
        <f>VLOOKUP(B25,[2]Planilha1!$A:$C,3,FALSE)</f>
        <v>R Antilhas</v>
      </c>
      <c r="Q25" s="6" t="str">
        <f>VLOOKUP(B25,[2]Planilha1!$A:$G,7,FALSE)</f>
        <v>670</v>
      </c>
      <c r="R25" s="6" t="str">
        <f>VLOOKUP(B25,[2]Planilha1!$A:$H,8,FALSE)</f>
        <v>APT. 94</v>
      </c>
      <c r="S25" s="6" t="str">
        <f>VLOOKUP(B25,[2]Planilha1!$A:$D,4,FALSE)</f>
        <v>Guilhermina</v>
      </c>
      <c r="T25" s="6" t="str">
        <f>VLOOKUP(B25,[2]Planilha1!$A:$E,5,FALSE)</f>
        <v>PRAIA GRANDE</v>
      </c>
      <c r="U25" s="6" t="s">
        <v>31</v>
      </c>
      <c r="V25" s="6" t="str">
        <f>VLOOKUP(B25,[2]Planilha1!$A:$R,13,FALSE)</f>
        <v>Parda</v>
      </c>
      <c r="W25" s="6" t="str">
        <f>VLOOKUP(B25,[2]Planilha1!$A:$B,2,FALSE)</f>
        <v>Casado</v>
      </c>
      <c r="X25" s="6" t="str">
        <f>VLOOKUP(B25,[2]Planilha1!$A:$R,15,FALSE)</f>
        <v>242712885</v>
      </c>
      <c r="Y25" s="6" t="s">
        <v>32</v>
      </c>
      <c r="Z25" s="6" t="s">
        <v>31</v>
      </c>
    </row>
    <row r="26" spans="1:26" x14ac:dyDescent="0.25">
      <c r="A26" s="3">
        <v>237922</v>
      </c>
      <c r="B26" s="4" t="s">
        <v>94</v>
      </c>
      <c r="C26" s="5" t="str">
        <f>VLOOKUP(B26,[1]Sheet1!$A:$C,3,FALSE)</f>
        <v>ricardo.vieiras@outlook.com.br</v>
      </c>
      <c r="D26" s="6" t="str">
        <f>VLOOKUP(B26,[2]Planilha1!$A:$R,10,FALSE)</f>
        <v>981349272</v>
      </c>
      <c r="E26" s="6" t="s">
        <v>26</v>
      </c>
      <c r="F26" s="6" t="s">
        <v>95</v>
      </c>
      <c r="G26" s="6" t="s">
        <v>28</v>
      </c>
      <c r="H26" s="6" t="s">
        <v>96</v>
      </c>
      <c r="I26" s="3">
        <v>237922</v>
      </c>
      <c r="J26" s="7"/>
      <c r="K26" s="8">
        <f>VLOOKUP(B26,[2]Planilha1!$A:$N,14,FALSE)</f>
        <v>27277</v>
      </c>
      <c r="L26" s="6" t="str">
        <f>VLOOKUP(B26,[2]Planilha1!$A:$R,16,FALSE)</f>
        <v>SP</v>
      </c>
      <c r="M26" s="6" t="str">
        <f>VLOOKUP(B26,[2]Planilha1!$A:$R,18,FALSE)</f>
        <v>SANTOS</v>
      </c>
      <c r="N26" s="6" t="s">
        <v>30</v>
      </c>
      <c r="O26" s="6" t="str">
        <f>VLOOKUP(B26,[2]Planilha1!$A:$R,9,FALSE)</f>
        <v>11348-100</v>
      </c>
      <c r="P26" s="6" t="str">
        <f>VLOOKUP(B26,[2]Planilha1!$A:$C,3,FALSE)</f>
        <v>R PASCHOAL GZEBIEN</v>
      </c>
      <c r="Q26" s="6" t="str">
        <f>VLOOKUP(B26,[2]Planilha1!$A:$G,7,FALSE)</f>
        <v>740</v>
      </c>
      <c r="R26" s="6" t="str">
        <f>VLOOKUP(B26,[2]Planilha1!$A:$H,8,FALSE)</f>
        <v/>
      </c>
      <c r="S26" s="6" t="str">
        <f>VLOOKUP(B26,[2]Planilha1!$A:$D,4,FALSE)</f>
        <v>Parque Continental</v>
      </c>
      <c r="T26" s="6" t="str">
        <f>VLOOKUP(B26,[2]Planilha1!$A:$E,5,FALSE)</f>
        <v>SAO VICENTE</v>
      </c>
      <c r="U26" s="6" t="s">
        <v>31</v>
      </c>
      <c r="V26" s="6" t="str">
        <f>VLOOKUP(B26,[2]Planilha1!$A:$R,13,FALSE)</f>
        <v>Parda</v>
      </c>
      <c r="W26" s="6" t="str">
        <f>VLOOKUP(B26,[2]Planilha1!$A:$B,2,FALSE)</f>
        <v>Casado</v>
      </c>
      <c r="X26" s="6" t="str">
        <f>VLOOKUP(B26,[2]Planilha1!$A:$R,15,FALSE)</f>
        <v>255142870</v>
      </c>
      <c r="Y26" s="6" t="s">
        <v>32</v>
      </c>
      <c r="Z26" s="6" t="s">
        <v>31</v>
      </c>
    </row>
    <row r="27" spans="1:26" x14ac:dyDescent="0.25">
      <c r="A27" s="3">
        <v>237863</v>
      </c>
      <c r="B27" s="4" t="s">
        <v>97</v>
      </c>
      <c r="C27" s="5" t="str">
        <f>VLOOKUP(B27,[1]Sheet1!$A:$C,3,FALSE)</f>
        <v>ger.roqueiro2010@hotmail.com</v>
      </c>
      <c r="D27" s="6" t="str">
        <f>VLOOKUP(B27,[2]Planilha1!$A:$R,10,FALSE)</f>
        <v>34624821</v>
      </c>
      <c r="E27" s="6" t="s">
        <v>26</v>
      </c>
      <c r="F27" s="6" t="s">
        <v>35</v>
      </c>
      <c r="G27" s="6" t="s">
        <v>28</v>
      </c>
      <c r="H27" s="17" t="s">
        <v>98</v>
      </c>
      <c r="I27" s="3">
        <v>237863</v>
      </c>
      <c r="J27" s="18"/>
      <c r="K27" s="8">
        <f>VLOOKUP(B27,[2]Planilha1!$A:$N,14,FALSE)</f>
        <v>26407</v>
      </c>
      <c r="L27" s="6" t="str">
        <f>VLOOKUP(B27,[2]Planilha1!$A:$R,16,FALSE)</f>
        <v>SP</v>
      </c>
      <c r="M27" s="6" t="str">
        <f>VLOOKUP(B27,[2]Planilha1!$A:$R,18,FALSE)</f>
        <v>SAO VICENTE</v>
      </c>
      <c r="N27" s="6" t="s">
        <v>30</v>
      </c>
      <c r="O27" s="6" t="str">
        <f>VLOOKUP(B27,[2]Planilha1!$A:$R,9,FALSE)</f>
        <v>11350-270</v>
      </c>
      <c r="P27" s="6" t="str">
        <f>VLOOKUP(B27,[2]Planilha1!$A:$C,3,FALSE)</f>
        <v>R Francisco Dias Jorge</v>
      </c>
      <c r="Q27" s="6" t="str">
        <f>VLOOKUP(B27,[2]Planilha1!$A:$G,7,FALSE)</f>
        <v>586</v>
      </c>
      <c r="R27" s="6" t="str">
        <f>VLOOKUP(B27,[2]Planilha1!$A:$H,8,FALSE)</f>
        <v/>
      </c>
      <c r="S27" s="6" t="str">
        <f>VLOOKUP(B27,[2]Planilha1!$A:$D,4,FALSE)</f>
        <v>Cidade Nautica</v>
      </c>
      <c r="T27" s="6" t="str">
        <f>VLOOKUP(B27,[2]Planilha1!$A:$E,5,FALSE)</f>
        <v>SAO VICENTE</v>
      </c>
      <c r="U27" s="6" t="s">
        <v>31</v>
      </c>
      <c r="V27" s="6" t="str">
        <f>VLOOKUP(B27,[2]Planilha1!$A:$R,13,FALSE)</f>
        <v>Parda</v>
      </c>
      <c r="W27" s="6" t="str">
        <f>VLOOKUP(B27,[2]Planilha1!$A:$B,2,FALSE)</f>
        <v>Solteiro</v>
      </c>
      <c r="X27" s="6" t="str">
        <f>VLOOKUP(B27,[2]Planilha1!$A:$R,15,FALSE)</f>
        <v>22679339</v>
      </c>
      <c r="Y27" s="6" t="s">
        <v>32</v>
      </c>
      <c r="Z27" s="6" t="s">
        <v>31</v>
      </c>
    </row>
    <row r="28" spans="1:26" x14ac:dyDescent="0.25">
      <c r="A28" s="3">
        <v>38897</v>
      </c>
      <c r="B28" s="4" t="s">
        <v>99</v>
      </c>
      <c r="C28" s="5" t="str">
        <f>VLOOKUP(B28,[1]Sheet1!$A:$C,3,FALSE)</f>
        <v xml:space="preserve">flajmelo@yahoo.com.br </v>
      </c>
      <c r="D28" s="6" t="str">
        <f>VLOOKUP(B28,[2]Planilha1!$A:$R,10,FALSE)</f>
        <v>991191011</v>
      </c>
      <c r="E28" s="6" t="s">
        <v>26</v>
      </c>
      <c r="F28" s="6" t="s">
        <v>69</v>
      </c>
      <c r="G28" s="6" t="s">
        <v>28</v>
      </c>
      <c r="H28" s="6" t="s">
        <v>100</v>
      </c>
      <c r="I28" s="3">
        <v>38897</v>
      </c>
      <c r="J28" s="7"/>
      <c r="K28" s="8">
        <f>VLOOKUP(B28,[2]Planilha1!$A:$N,14,FALSE)</f>
        <v>26432</v>
      </c>
      <c r="L28" s="6" t="str">
        <f>VLOOKUP(B28,[2]Planilha1!$A:$R,16,FALSE)</f>
        <v>SP</v>
      </c>
      <c r="M28" s="6" t="str">
        <f>VLOOKUP(B28,[2]Planilha1!$A:$R,18,FALSE)</f>
        <v>SANTOS</v>
      </c>
      <c r="N28" s="6" t="s">
        <v>30</v>
      </c>
      <c r="O28" s="6" t="str">
        <f>VLOOKUP(B28,[2]Planilha1!$A:$R,9,FALSE)</f>
        <v>11070-370</v>
      </c>
      <c r="P28" s="6" t="str">
        <f>VLOOKUP(B28,[2]Planilha1!$A:$C,3,FALSE)</f>
        <v>R Doutor Guilherme Álvaro</v>
      </c>
      <c r="Q28" s="6" t="str">
        <f>VLOOKUP(B28,[2]Planilha1!$A:$G,7,FALSE)</f>
        <v>42</v>
      </c>
      <c r="R28" s="6" t="str">
        <f>VLOOKUP(B28,[2]Planilha1!$A:$H,8,FALSE)</f>
        <v>ap 101b</v>
      </c>
      <c r="S28" s="6" t="str">
        <f>VLOOKUP(B28,[2]Planilha1!$A:$D,4,FALSE)</f>
        <v>Marapé</v>
      </c>
      <c r="T28" s="6" t="str">
        <f>VLOOKUP(B28,[2]Planilha1!$A:$E,5,FALSE)</f>
        <v>SANTOS</v>
      </c>
      <c r="U28" s="6" t="s">
        <v>31</v>
      </c>
      <c r="V28" s="6" t="str">
        <f>VLOOKUP(B28,[2]Planilha1!$A:$R,13,FALSE)</f>
        <v>Parda</v>
      </c>
      <c r="W28" s="6" t="str">
        <f>VLOOKUP(B28,[2]Planilha1!$A:$B,2,FALSE)</f>
        <v>Casado</v>
      </c>
      <c r="X28" s="6" t="str">
        <f>VLOOKUP(B28,[2]Planilha1!$A:$R,15,FALSE)</f>
        <v>230344902</v>
      </c>
      <c r="Y28" s="6" t="s">
        <v>32</v>
      </c>
      <c r="Z28" s="6" t="s">
        <v>31</v>
      </c>
    </row>
    <row r="29" spans="1:26" x14ac:dyDescent="0.25">
      <c r="A29" s="3">
        <v>237969</v>
      </c>
      <c r="B29" s="4" t="s">
        <v>101</v>
      </c>
      <c r="C29" s="5" t="str">
        <f>VLOOKUP(B29,[1]Sheet1!$A:$C,3,FALSE)</f>
        <v>atanes1978@gmail.com</v>
      </c>
      <c r="D29" s="6" t="str">
        <f>VLOOKUP(B29,[2]Planilha1!$A:$R,10,FALSE)</f>
        <v/>
      </c>
      <c r="E29" s="6" t="s">
        <v>26</v>
      </c>
      <c r="F29" s="6" t="s">
        <v>35</v>
      </c>
      <c r="G29" s="6" t="s">
        <v>28</v>
      </c>
      <c r="H29" s="6" t="s">
        <v>102</v>
      </c>
      <c r="I29" s="3">
        <v>237969</v>
      </c>
      <c r="J29" s="7"/>
      <c r="K29" s="8">
        <f>VLOOKUP(B29,[2]Planilha1!$A:$N,14,FALSE)</f>
        <v>28852</v>
      </c>
      <c r="L29" s="6" t="str">
        <f>VLOOKUP(B29,[2]Planilha1!$A:$R,16,FALSE)</f>
        <v>SP</v>
      </c>
      <c r="M29" s="6" t="str">
        <f>VLOOKUP(B29,[2]Planilha1!$A:$R,18,FALSE)</f>
        <v>SANTOS</v>
      </c>
      <c r="N29" s="6" t="s">
        <v>30</v>
      </c>
      <c r="O29" s="6" t="str">
        <f>VLOOKUP(B29,[2]Planilha1!$A:$R,9,FALSE)</f>
        <v>11015-013</v>
      </c>
      <c r="P29" s="6" t="str">
        <f>VLOOKUP(B29,[2]Planilha1!$A:$C,3,FALSE)</f>
        <v>R Campos Mello</v>
      </c>
      <c r="Q29" s="6" t="str">
        <f>VLOOKUP(B29,[2]Planilha1!$A:$G,7,FALSE)</f>
        <v>349</v>
      </c>
      <c r="R29" s="6" t="str">
        <f>VLOOKUP(B29,[2]Planilha1!$A:$H,8,FALSE)</f>
        <v/>
      </c>
      <c r="S29" s="6" t="str">
        <f>VLOOKUP(B29,[2]Planilha1!$A:$D,4,FALSE)</f>
        <v>Encruzilhada</v>
      </c>
      <c r="T29" s="6" t="str">
        <f>VLOOKUP(B29,[2]Planilha1!$A:$E,5,FALSE)</f>
        <v>SANTOS</v>
      </c>
      <c r="U29" s="6" t="s">
        <v>31</v>
      </c>
      <c r="V29" s="6" t="str">
        <f>VLOOKUP(B29,[2]Planilha1!$A:$R,13,FALSE)</f>
        <v>Parda</v>
      </c>
      <c r="W29" s="6" t="str">
        <f>VLOOKUP(B29,[2]Planilha1!$A:$B,2,FALSE)</f>
        <v>Casado</v>
      </c>
      <c r="X29" s="6" t="str">
        <f>VLOOKUP(B29,[2]Planilha1!$A:$R,15,FALSE)</f>
        <v>302680330</v>
      </c>
      <c r="Y29" s="6" t="s">
        <v>32</v>
      </c>
      <c r="Z29" s="6" t="s">
        <v>31</v>
      </c>
    </row>
    <row r="30" spans="1:26" x14ac:dyDescent="0.25">
      <c r="A30" s="3">
        <v>238072</v>
      </c>
      <c r="B30" s="4" t="s">
        <v>103</v>
      </c>
      <c r="C30" s="5" t="str">
        <f>VLOOKUP(B30,[1]Sheet1!$A:$C,3,FALSE)</f>
        <v>marciosantos080476@gmail.com</v>
      </c>
      <c r="D30" s="6" t="str">
        <f>VLOOKUP(B30,[2]Planilha1!$A:$R,10,FALSE)</f>
        <v>974221289</v>
      </c>
      <c r="E30" s="6" t="s">
        <v>26</v>
      </c>
      <c r="F30" s="6" t="s">
        <v>35</v>
      </c>
      <c r="G30" s="6" t="s">
        <v>28</v>
      </c>
      <c r="H30" s="6" t="s">
        <v>104</v>
      </c>
      <c r="I30" s="3">
        <v>238072</v>
      </c>
      <c r="J30" s="7"/>
      <c r="K30" s="8">
        <f>VLOOKUP(B30,[2]Planilha1!$A:$N,14,FALSE)</f>
        <v>29003</v>
      </c>
      <c r="L30" s="6" t="str">
        <f>VLOOKUP(B30,[2]Planilha1!$A:$R,16,FALSE)</f>
        <v>SE</v>
      </c>
      <c r="M30" s="6" t="str">
        <f>VLOOKUP(B30,[2]Planilha1!$A:$R,18,FALSE)</f>
        <v>AQUIDABA</v>
      </c>
      <c r="N30" s="6" t="s">
        <v>30</v>
      </c>
      <c r="O30" s="6" t="str">
        <f>VLOOKUP(B30,[2]Planilha1!$A:$R,9,FALSE)</f>
        <v>11085-405</v>
      </c>
      <c r="P30" s="6" t="str">
        <f>VLOOKUP(B30,[2]Planilha1!$A:$C,3,FALSE)</f>
        <v>TV São Jorge</v>
      </c>
      <c r="Q30" s="6" t="str">
        <f>VLOOKUP(B30,[2]Planilha1!$A:$G,7,FALSE)</f>
        <v>22</v>
      </c>
      <c r="R30" s="6" t="str">
        <f>VLOOKUP(B30,[2]Planilha1!$A:$H,8,FALSE)</f>
        <v/>
      </c>
      <c r="S30" s="6" t="str">
        <f>VLOOKUP(B30,[2]Planilha1!$A:$D,4,FALSE)</f>
        <v>Chico de Paula</v>
      </c>
      <c r="T30" s="6" t="str">
        <f>VLOOKUP(B30,[2]Planilha1!$A:$E,5,FALSE)</f>
        <v>SANTOS</v>
      </c>
      <c r="U30" s="6" t="s">
        <v>31</v>
      </c>
      <c r="V30" s="6" t="str">
        <f>VLOOKUP(B30,[2]Planilha1!$A:$R,13,FALSE)</f>
        <v>Parda</v>
      </c>
      <c r="W30" s="6" t="str">
        <f>VLOOKUP(B30,[2]Planilha1!$A:$B,2,FALSE)</f>
        <v>Solteiro</v>
      </c>
      <c r="X30" s="6" t="str">
        <f>VLOOKUP(B30,[2]Planilha1!$A:$R,15,FALSE)</f>
        <v>309465254</v>
      </c>
      <c r="Y30" s="6" t="s">
        <v>32</v>
      </c>
      <c r="Z30" s="6" t="s">
        <v>31</v>
      </c>
    </row>
    <row r="31" spans="1:26" x14ac:dyDescent="0.25">
      <c r="A31" s="3">
        <v>237926</v>
      </c>
      <c r="B31" s="4" t="s">
        <v>105</v>
      </c>
      <c r="C31" s="5" t="str">
        <f>VLOOKUP(B31,[1]Sheet1!$A:$C,3,FALSE)</f>
        <v>luizfernandoecoporto@gmail.com</v>
      </c>
      <c r="D31" s="6" t="str">
        <f>VLOOKUP(B31,[2]Planilha1!$A:$R,10,FALSE)</f>
        <v>33949018</v>
      </c>
      <c r="E31" s="6" t="s">
        <v>26</v>
      </c>
      <c r="F31" s="6" t="s">
        <v>27</v>
      </c>
      <c r="G31" s="6" t="s">
        <v>28</v>
      </c>
      <c r="H31" s="6" t="s">
        <v>106</v>
      </c>
      <c r="I31" s="3">
        <v>237926</v>
      </c>
      <c r="J31" s="7"/>
      <c r="K31" s="8">
        <f>VLOOKUP(B31,[2]Planilha1!$A:$N,14,FALSE)</f>
        <v>29231</v>
      </c>
      <c r="L31" s="6" t="str">
        <f>VLOOKUP(B31,[2]Planilha1!$A:$R,16,FALSE)</f>
        <v>SP</v>
      </c>
      <c r="M31" s="6" t="str">
        <f>VLOOKUP(B31,[2]Planilha1!$A:$R,18,FALSE)</f>
        <v>SANTOS</v>
      </c>
      <c r="N31" s="6" t="s">
        <v>30</v>
      </c>
      <c r="O31" s="6" t="str">
        <f>VLOOKUP(B31,[2]Planilha1!$A:$R,9,FALSE)</f>
        <v>11015-131</v>
      </c>
      <c r="P31" s="6" t="str">
        <f>VLOOKUP(B31,[2]Planilha1!$A:$C,3,FALSE)</f>
        <v>R João Guerra</v>
      </c>
      <c r="Q31" s="6" t="str">
        <f>VLOOKUP(B31,[2]Planilha1!$A:$G,7,FALSE)</f>
        <v>217</v>
      </c>
      <c r="R31" s="6" t="str">
        <f>VLOOKUP(B31,[2]Planilha1!$A:$H,8,FALSE)</f>
        <v>BL A APTO 32</v>
      </c>
      <c r="S31" s="6" t="str">
        <f>VLOOKUP(B31,[2]Planilha1!$A:$D,4,FALSE)</f>
        <v>Macuco</v>
      </c>
      <c r="T31" s="6" t="str">
        <f>VLOOKUP(B31,[2]Planilha1!$A:$E,5,FALSE)</f>
        <v>SANTOS</v>
      </c>
      <c r="U31" s="6" t="s">
        <v>31</v>
      </c>
      <c r="V31" s="6" t="str">
        <f>VLOOKUP(B31,[2]Planilha1!$A:$R,13,FALSE)</f>
        <v>Parda</v>
      </c>
      <c r="W31" s="6" t="str">
        <f>VLOOKUP(B31,[2]Planilha1!$A:$B,2,FALSE)</f>
        <v>Casado</v>
      </c>
      <c r="X31" s="6" t="str">
        <f>VLOOKUP(B31,[2]Planilha1!$A:$R,15,FALSE)</f>
        <v>30130449X</v>
      </c>
      <c r="Y31" s="6" t="s">
        <v>32</v>
      </c>
      <c r="Z31" s="6" t="s">
        <v>31</v>
      </c>
    </row>
    <row r="32" spans="1:26" x14ac:dyDescent="0.25">
      <c r="A32" s="3">
        <v>222306</v>
      </c>
      <c r="B32" s="4" t="s">
        <v>107</v>
      </c>
      <c r="C32" s="5" t="str">
        <f>VLOOKUP(B32,[1]Sheet1!$A:$C,3,FALSE)</f>
        <v>gifaerafa@gmail.com</v>
      </c>
      <c r="D32" s="6" t="str">
        <f>VLOOKUP(B32,[2]Planilha1!$A:$R,10,FALSE)</f>
        <v>997165797</v>
      </c>
      <c r="E32" s="6" t="s">
        <v>26</v>
      </c>
      <c r="F32" s="6" t="s">
        <v>95</v>
      </c>
      <c r="G32" s="6" t="s">
        <v>28</v>
      </c>
      <c r="H32" s="6" t="s">
        <v>108</v>
      </c>
      <c r="I32" s="3">
        <v>222306</v>
      </c>
      <c r="J32" s="7"/>
      <c r="K32" s="8">
        <f>VLOOKUP(B32,[2]Planilha1!$A:$N,14,FALSE)</f>
        <v>28949</v>
      </c>
      <c r="L32" s="6" t="str">
        <f>VLOOKUP(B32,[2]Planilha1!$A:$R,16,FALSE)</f>
        <v>MG</v>
      </c>
      <c r="M32" s="6" t="str">
        <f>VLOOKUP(B32,[2]Planilha1!$A:$R,18,FALSE)</f>
        <v>SANTOS</v>
      </c>
      <c r="N32" s="6" t="s">
        <v>30</v>
      </c>
      <c r="O32" s="6" t="str">
        <f>VLOOKUP(B32,[2]Planilha1!$A:$R,9,FALSE)</f>
        <v>11040-271</v>
      </c>
      <c r="P32" s="6" t="str">
        <f>VLOOKUP(B32,[2]Planilha1!$A:$C,3,FALSE)</f>
        <v>R Vergueiro Steidel</v>
      </c>
      <c r="Q32" s="6" t="str">
        <f>VLOOKUP(B32,[2]Planilha1!$A:$G,7,FALSE)</f>
        <v>341</v>
      </c>
      <c r="R32" s="6" t="str">
        <f>VLOOKUP(B32,[2]Planilha1!$A:$H,8,FALSE)</f>
        <v>Apto 406 porta 3</v>
      </c>
      <c r="S32" s="6" t="str">
        <f>VLOOKUP(B32,[2]Planilha1!$A:$D,4,FALSE)</f>
        <v>Aparecida</v>
      </c>
      <c r="T32" s="6" t="str">
        <f>VLOOKUP(B32,[2]Planilha1!$A:$E,5,FALSE)</f>
        <v>SANTOS</v>
      </c>
      <c r="U32" s="6" t="s">
        <v>31</v>
      </c>
      <c r="V32" s="6" t="str">
        <f>VLOOKUP(B32,[2]Planilha1!$A:$R,13,FALSE)</f>
        <v>Parda</v>
      </c>
      <c r="W32" s="6" t="str">
        <f>VLOOKUP(B32,[2]Planilha1!$A:$B,2,FALSE)</f>
        <v>Casado</v>
      </c>
      <c r="X32" s="6" t="str">
        <f>VLOOKUP(B32,[2]Planilha1!$A:$R,15,FALSE)</f>
        <v>11629527</v>
      </c>
      <c r="Y32" s="6" t="s">
        <v>32</v>
      </c>
      <c r="Z32" s="6" t="s">
        <v>31</v>
      </c>
    </row>
    <row r="33" spans="1:26" x14ac:dyDescent="0.25">
      <c r="A33" s="3">
        <v>237830</v>
      </c>
      <c r="B33" s="4" t="s">
        <v>109</v>
      </c>
      <c r="C33" s="5" t="str">
        <f>VLOOKUP(B33,[1]Sheet1!$A:$C,3,FALSE)</f>
        <v>paulaflorindosantos@gmail.com</v>
      </c>
      <c r="D33" s="6" t="str">
        <f>VLOOKUP(B33,[2]Planilha1!$A:$R,10,FALSE)</f>
        <v>991334221</v>
      </c>
      <c r="E33" s="6" t="s">
        <v>34</v>
      </c>
      <c r="F33" s="6" t="s">
        <v>35</v>
      </c>
      <c r="G33" s="6" t="s">
        <v>28</v>
      </c>
      <c r="H33" s="6" t="s">
        <v>110</v>
      </c>
      <c r="I33" s="3">
        <v>237830</v>
      </c>
      <c r="J33" s="7"/>
      <c r="K33" s="8">
        <f>VLOOKUP(B33,[2]Planilha1!$A:$N,14,FALSE)</f>
        <v>30438</v>
      </c>
      <c r="L33" s="6" t="str">
        <f>VLOOKUP(B33,[2]Planilha1!$A:$R,16,FALSE)</f>
        <v>SP</v>
      </c>
      <c r="M33" s="6" t="str">
        <f>VLOOKUP(B33,[2]Planilha1!$A:$R,18,FALSE)</f>
        <v>SAO VICENTE</v>
      </c>
      <c r="N33" s="6" t="s">
        <v>30</v>
      </c>
      <c r="O33" s="6" t="str">
        <f>VLOOKUP(B33,[2]Planilha1!$A:$R,9,FALSE)</f>
        <v>11350-270</v>
      </c>
      <c r="P33" s="6" t="str">
        <f>VLOOKUP(B33,[2]Planilha1!$A:$C,3,FALSE)</f>
        <v>R FRANCISCO DIAS JORGE</v>
      </c>
      <c r="Q33" s="6" t="str">
        <f>VLOOKUP(B33,[2]Planilha1!$A:$G,7,FALSE)</f>
        <v>260</v>
      </c>
      <c r="R33" s="6" t="str">
        <f>VLOOKUP(B33,[2]Planilha1!$A:$H,8,FALSE)</f>
        <v/>
      </c>
      <c r="S33" s="6" t="str">
        <f>VLOOKUP(B33,[2]Planilha1!$A:$D,4,FALSE)</f>
        <v>Cidade Nautica</v>
      </c>
      <c r="T33" s="6" t="str">
        <f>VLOOKUP(B33,[2]Planilha1!$A:$E,5,FALSE)</f>
        <v>SAO VICENTE</v>
      </c>
      <c r="U33" s="6" t="s">
        <v>31</v>
      </c>
      <c r="V33" s="6" t="str">
        <f>VLOOKUP(B33,[2]Planilha1!$A:$R,13,FALSE)</f>
        <v>Parda</v>
      </c>
      <c r="W33" s="6" t="str">
        <f>VLOOKUP(B33,[2]Planilha1!$A:$B,2,FALSE)</f>
        <v>Casado</v>
      </c>
      <c r="X33" s="6" t="str">
        <f>VLOOKUP(B33,[2]Planilha1!$A:$R,15,FALSE)</f>
        <v>339743013</v>
      </c>
      <c r="Y33" s="6" t="s">
        <v>32</v>
      </c>
      <c r="Z33" s="6" t="s">
        <v>31</v>
      </c>
    </row>
    <row r="34" spans="1:26" x14ac:dyDescent="0.25">
      <c r="A34" s="3">
        <v>238050</v>
      </c>
      <c r="B34" s="4" t="s">
        <v>111</v>
      </c>
      <c r="C34" s="5" t="str">
        <f>VLOOKUP(B34,[1]Sheet1!$A:$C,3,FALSE)</f>
        <v>walterfneto81@yahoo.com.br</v>
      </c>
      <c r="D34" s="6" t="str">
        <f>VLOOKUP(B34,[2]Planilha1!$A:$R,10,FALSE)</f>
        <v>982334957</v>
      </c>
      <c r="E34" s="6" t="s">
        <v>26</v>
      </c>
      <c r="F34" s="6" t="s">
        <v>41</v>
      </c>
      <c r="G34" s="6" t="s">
        <v>28</v>
      </c>
      <c r="H34" s="6" t="s">
        <v>112</v>
      </c>
      <c r="I34" s="3">
        <v>238050</v>
      </c>
      <c r="J34" s="7"/>
      <c r="K34" s="8">
        <f>VLOOKUP(B34,[2]Planilha1!$A:$N,14,FALSE)</f>
        <v>29609</v>
      </c>
      <c r="L34" s="6" t="str">
        <f>VLOOKUP(B34,[2]Planilha1!$A:$R,16,FALSE)</f>
        <v>SP</v>
      </c>
      <c r="M34" s="6" t="str">
        <f>VLOOKUP(B34,[2]Planilha1!$A:$R,18,FALSE)</f>
        <v>SANTOS</v>
      </c>
      <c r="N34" s="6" t="s">
        <v>30</v>
      </c>
      <c r="O34" s="6" t="str">
        <f>VLOOKUP(B34,[2]Planilha1!$A:$R,9,FALSE)</f>
        <v>11025-011</v>
      </c>
      <c r="P34" s="6" t="str">
        <f>VLOOKUP(B34,[2]Planilha1!$A:$C,3,FALSE)</f>
        <v>R Nabuco de Araújo</v>
      </c>
      <c r="Q34" s="6" t="str">
        <f>VLOOKUP(B34,[2]Planilha1!$A:$G,7,FALSE)</f>
        <v>491</v>
      </c>
      <c r="R34" s="6" t="str">
        <f>VLOOKUP(B34,[2]Planilha1!$A:$H,8,FALSE)</f>
        <v>63</v>
      </c>
      <c r="S34" s="6" t="str">
        <f>VLOOKUP(B34,[2]Planilha1!$A:$D,4,FALSE)</f>
        <v>Embaré</v>
      </c>
      <c r="T34" s="6" t="str">
        <f>VLOOKUP(B34,[2]Planilha1!$A:$E,5,FALSE)</f>
        <v>SANTOS</v>
      </c>
      <c r="U34" s="6" t="s">
        <v>31</v>
      </c>
      <c r="V34" s="6" t="str">
        <f>VLOOKUP(B34,[2]Planilha1!$A:$R,13,FALSE)</f>
        <v>Parda</v>
      </c>
      <c r="W34" s="6" t="str">
        <f>VLOOKUP(B34,[2]Planilha1!$A:$B,2,FALSE)</f>
        <v>Solteiro</v>
      </c>
      <c r="X34" s="6" t="str">
        <f>VLOOKUP(B34,[2]Planilha1!$A:$R,15,FALSE)</f>
        <v>292862635</v>
      </c>
      <c r="Y34" s="6" t="s">
        <v>32</v>
      </c>
      <c r="Z34" s="6" t="s">
        <v>31</v>
      </c>
    </row>
    <row r="35" spans="1:26" x14ac:dyDescent="0.25">
      <c r="A35" s="3">
        <v>238061</v>
      </c>
      <c r="B35" s="4" t="s">
        <v>113</v>
      </c>
      <c r="C35" s="5" t="str">
        <f>VLOOKUP(B35,[1]Sheet1!$A:$C,3,FALSE)</f>
        <v>fts1980@hotmail.com</v>
      </c>
      <c r="D35" s="6" t="str">
        <f>VLOOKUP(B35,[2]Planilha1!$A:$R,10,FALSE)</f>
        <v>974043027</v>
      </c>
      <c r="E35" s="6" t="s">
        <v>26</v>
      </c>
      <c r="F35" s="6" t="s">
        <v>114</v>
      </c>
      <c r="G35" s="6" t="s">
        <v>28</v>
      </c>
      <c r="H35" s="6" t="s">
        <v>115</v>
      </c>
      <c r="I35" s="3">
        <v>238061</v>
      </c>
      <c r="J35" s="7"/>
      <c r="K35" s="8">
        <f>VLOOKUP(B35,[2]Planilha1!$A:$N,14,FALSE)</f>
        <v>29508</v>
      </c>
      <c r="L35" s="6" t="str">
        <f>VLOOKUP(B35,[2]Planilha1!$A:$R,16,FALSE)</f>
        <v>SP</v>
      </c>
      <c r="M35" s="6" t="str">
        <f>VLOOKUP(B35,[2]Planilha1!$A:$R,18,FALSE)</f>
        <v>PAULO AFONSO</v>
      </c>
      <c r="N35" s="6" t="s">
        <v>30</v>
      </c>
      <c r="O35" s="6" t="str">
        <f>VLOOKUP(B35,[2]Planilha1!$A:$R,9,FALSE)</f>
        <v>11704-160</v>
      </c>
      <c r="P35" s="6" t="str">
        <f>VLOOKUP(B35,[2]Planilha1!$A:$C,3,FALSE)</f>
        <v>R Guimarães Rosa</v>
      </c>
      <c r="Q35" s="6" t="str">
        <f>VLOOKUP(B35,[2]Planilha1!$A:$G,7,FALSE)</f>
        <v>547</v>
      </c>
      <c r="R35" s="6" t="str">
        <f>VLOOKUP(B35,[2]Planilha1!$A:$H,8,FALSE)</f>
        <v>apartamento 36</v>
      </c>
      <c r="S35" s="6" t="str">
        <f>VLOOKUP(B35,[2]Planilha1!$A:$D,4,FALSE)</f>
        <v>Ocian</v>
      </c>
      <c r="T35" s="6" t="str">
        <f>VLOOKUP(B35,[2]Planilha1!$A:$E,5,FALSE)</f>
        <v>PRAIA GRANDE</v>
      </c>
      <c r="U35" s="6" t="s">
        <v>31</v>
      </c>
      <c r="V35" s="6" t="str">
        <f>VLOOKUP(B35,[2]Planilha1!$A:$R,13,FALSE)</f>
        <v>Branca</v>
      </c>
      <c r="W35" s="6" t="str">
        <f>VLOOKUP(B35,[2]Planilha1!$A:$B,2,FALSE)</f>
        <v>Casado</v>
      </c>
      <c r="X35" s="6" t="str">
        <f>VLOOKUP(B35,[2]Planilha1!$A:$R,15,FALSE)</f>
        <v>29408485X</v>
      </c>
      <c r="Y35" s="6" t="s">
        <v>32</v>
      </c>
      <c r="Z35" s="6" t="s">
        <v>31</v>
      </c>
    </row>
    <row r="36" spans="1:26" x14ac:dyDescent="0.25">
      <c r="A36" s="3">
        <v>237939</v>
      </c>
      <c r="B36" s="4" t="s">
        <v>116</v>
      </c>
      <c r="C36" s="5" t="str">
        <f>VLOOKUP(B36,[1]Sheet1!$A:$C,3,FALSE)</f>
        <v>a.sdasilva@btp.com.br</v>
      </c>
      <c r="D36" s="6" t="str">
        <f>VLOOKUP(B36,[2]Planilha1!$A:$R,10,FALSE)</f>
        <v>981707431</v>
      </c>
      <c r="E36" s="6" t="s">
        <v>26</v>
      </c>
      <c r="F36" s="6" t="s">
        <v>27</v>
      </c>
      <c r="G36" s="6" t="s">
        <v>28</v>
      </c>
      <c r="H36" s="6" t="s">
        <v>117</v>
      </c>
      <c r="I36" s="3">
        <v>237939</v>
      </c>
      <c r="J36" s="7"/>
      <c r="K36" s="8">
        <f>VLOOKUP(B36,[2]Planilha1!$A:$N,14,FALSE)</f>
        <v>29615</v>
      </c>
      <c r="L36" s="6" t="str">
        <f>VLOOKUP(B36,[2]Planilha1!$A:$R,16,FALSE)</f>
        <v>SP</v>
      </c>
      <c r="M36" s="6" t="str">
        <f>VLOOKUP(B36,[2]Planilha1!$A:$R,18,FALSE)</f>
        <v>GUARUJA</v>
      </c>
      <c r="N36" s="6" t="s">
        <v>30</v>
      </c>
      <c r="O36" s="6" t="str">
        <f>VLOOKUP(B36,[2]Planilha1!$A:$R,9,FALSE)</f>
        <v>11450-435</v>
      </c>
      <c r="P36" s="6" t="str">
        <f>VLOOKUP(B36,[2]Planilha1!$A:$C,3,FALSE)</f>
        <v>R Projetada Dezesseis</v>
      </c>
      <c r="Q36" s="6" t="str">
        <f>VLOOKUP(B36,[2]Planilha1!$A:$G,7,FALSE)</f>
        <v>19</v>
      </c>
      <c r="R36" s="6" t="str">
        <f>VLOOKUP(B36,[2]Planilha1!$A:$H,8,FALSE)</f>
        <v>CA 1</v>
      </c>
      <c r="S36" s="6" t="str">
        <f>VLOOKUP(B36,[2]Planilha1!$A:$D,4,FALSE)</f>
        <v>Sítio Paecara (Vicen</v>
      </c>
      <c r="T36" s="6" t="str">
        <f>VLOOKUP(B36,[2]Planilha1!$A:$E,5,FALSE)</f>
        <v>GUARUJA</v>
      </c>
      <c r="U36" s="6" t="s">
        <v>31</v>
      </c>
      <c r="V36" s="6" t="str">
        <f>VLOOKUP(B36,[2]Planilha1!$A:$R,13,FALSE)</f>
        <v>Parda</v>
      </c>
      <c r="W36" s="6" t="str">
        <f>VLOOKUP(B36,[2]Planilha1!$A:$B,2,FALSE)</f>
        <v>Casado</v>
      </c>
      <c r="X36" s="6" t="str">
        <f>VLOOKUP(B36,[2]Planilha1!$A:$R,15,FALSE)</f>
        <v>281357766</v>
      </c>
      <c r="Y36" s="6" t="s">
        <v>32</v>
      </c>
      <c r="Z36" s="6" t="s">
        <v>31</v>
      </c>
    </row>
    <row r="37" spans="1:26" x14ac:dyDescent="0.25">
      <c r="A37" s="3">
        <v>238062</v>
      </c>
      <c r="B37" s="4" t="s">
        <v>118</v>
      </c>
      <c r="C37" s="5" t="str">
        <f>VLOOKUP(B37,[1]Sheet1!$A:$C,3,FALSE)</f>
        <v>guilherme.gas@hotmail.com</v>
      </c>
      <c r="D37" s="6" t="str">
        <f>VLOOKUP(B37,[2]Planilha1!$A:$R,10,FALSE)</f>
        <v>33416294</v>
      </c>
      <c r="E37" s="6" t="s">
        <v>26</v>
      </c>
      <c r="F37" s="6" t="s">
        <v>41</v>
      </c>
      <c r="G37" s="6" t="s">
        <v>28</v>
      </c>
      <c r="H37" s="6" t="s">
        <v>119</v>
      </c>
      <c r="I37" s="3">
        <v>238062</v>
      </c>
      <c r="J37" s="7"/>
      <c r="K37" s="8">
        <f>VLOOKUP(B37,[2]Planilha1!$A:$N,14,FALSE)</f>
        <v>30147</v>
      </c>
      <c r="L37" s="6" t="str">
        <f>VLOOKUP(B37,[2]Planilha1!$A:$R,16,FALSE)</f>
        <v>SP</v>
      </c>
      <c r="M37" s="6" t="str">
        <f>VLOOKUP(B37,[2]Planilha1!$A:$R,18,FALSE)</f>
        <v>GUARUJA</v>
      </c>
      <c r="N37" s="6" t="s">
        <v>30</v>
      </c>
      <c r="O37" s="6" t="str">
        <f>VLOOKUP(B37,[2]Planilha1!$A:$R,9,FALSE)</f>
        <v>11450-260</v>
      </c>
      <c r="P37" s="6" t="str">
        <f>VLOOKUP(B37,[2]Planilha1!$A:$C,3,FALSE)</f>
        <v>R Doutor Guilherme Guinle</v>
      </c>
      <c r="Q37" s="6" t="str">
        <f>VLOOKUP(B37,[2]Planilha1!$A:$G,7,FALSE)</f>
        <v>180</v>
      </c>
      <c r="R37" s="6" t="str">
        <f>VLOOKUP(B37,[2]Planilha1!$A:$H,8,FALSE)</f>
        <v>CS A</v>
      </c>
      <c r="S37" s="6" t="str">
        <f>VLOOKUP(B37,[2]Planilha1!$A:$D,4,FALSE)</f>
        <v>Sítio Paecara (Vicen</v>
      </c>
      <c r="T37" s="6" t="str">
        <f>VLOOKUP(B37,[2]Planilha1!$A:$E,5,FALSE)</f>
        <v>GUARUJA</v>
      </c>
      <c r="U37" s="6" t="s">
        <v>31</v>
      </c>
      <c r="V37" s="6" t="str">
        <f>VLOOKUP(B37,[2]Planilha1!$A:$R,13,FALSE)</f>
        <v>Parda</v>
      </c>
      <c r="W37" s="6" t="str">
        <f>VLOOKUP(B37,[2]Planilha1!$A:$B,2,FALSE)</f>
        <v>Casado</v>
      </c>
      <c r="X37" s="6" t="str">
        <f>VLOOKUP(B37,[2]Planilha1!$A:$R,15,FALSE)</f>
        <v>359103637</v>
      </c>
      <c r="Y37" s="6" t="s">
        <v>32</v>
      </c>
      <c r="Z37" s="6" t="s">
        <v>31</v>
      </c>
    </row>
    <row r="38" spans="1:26" x14ac:dyDescent="0.25">
      <c r="A38" s="3">
        <v>237832</v>
      </c>
      <c r="B38" s="4" t="s">
        <v>120</v>
      </c>
      <c r="C38" s="5" t="str">
        <f>VLOOKUP(B38,[1]Sheet1!$A:$C,3,FALSE)</f>
        <v>nenem_lima_@hotmail.com</v>
      </c>
      <c r="D38" s="6" t="str">
        <f>VLOOKUP(B38,[2]Planilha1!$A:$R,10,FALSE)</f>
        <v>997896285</v>
      </c>
      <c r="E38" s="6" t="s">
        <v>26</v>
      </c>
      <c r="F38" s="6" t="s">
        <v>35</v>
      </c>
      <c r="G38" s="6" t="s">
        <v>28</v>
      </c>
      <c r="H38" s="6" t="s">
        <v>121</v>
      </c>
      <c r="I38" s="3">
        <v>237832</v>
      </c>
      <c r="J38" s="7"/>
      <c r="K38" s="8">
        <f>VLOOKUP(B38,[2]Planilha1!$A:$N,14,FALSE)</f>
        <v>31089</v>
      </c>
      <c r="L38" s="6" t="str">
        <f>VLOOKUP(B38,[2]Planilha1!$A:$R,16,FALSE)</f>
        <v>SP</v>
      </c>
      <c r="M38" s="6" t="str">
        <f>VLOOKUP(B38,[2]Planilha1!$A:$R,18,FALSE)</f>
        <v>CUBATAO</v>
      </c>
      <c r="N38" s="6" t="s">
        <v>30</v>
      </c>
      <c r="O38" s="6" t="str">
        <f>VLOOKUP(B38,[2]Planilha1!$A:$R,9,FALSE)</f>
        <v>11718-260</v>
      </c>
      <c r="P38" s="6" t="str">
        <f>VLOOKUP(B38,[2]Planilha1!$A:$C,3,FALSE)</f>
        <v>R Nilo José Mafra</v>
      </c>
      <c r="Q38" s="6" t="str">
        <f>VLOOKUP(B38,[2]Planilha1!$A:$G,7,FALSE)</f>
        <v>409</v>
      </c>
      <c r="R38" s="6" t="str">
        <f>VLOOKUP(B38,[2]Planilha1!$A:$H,8,FALSE)</f>
        <v>CASA4</v>
      </c>
      <c r="S38" s="6" t="str">
        <f>VLOOKUP(B38,[2]Planilha1!$A:$D,4,FALSE)</f>
        <v>Quietude</v>
      </c>
      <c r="T38" s="6" t="str">
        <f>VLOOKUP(B38,[2]Planilha1!$A:$E,5,FALSE)</f>
        <v>PRAIA GRANDE</v>
      </c>
      <c r="U38" s="6" t="s">
        <v>31</v>
      </c>
      <c r="V38" s="6" t="str">
        <f>VLOOKUP(B38,[2]Planilha1!$A:$R,13,FALSE)</f>
        <v>Preta/Negra</v>
      </c>
      <c r="W38" s="6" t="str">
        <f>VLOOKUP(B38,[2]Planilha1!$A:$B,2,FALSE)</f>
        <v>Casado</v>
      </c>
      <c r="X38" s="6" t="str">
        <f>VLOOKUP(B38,[2]Planilha1!$A:$R,15,FALSE)</f>
        <v>443968305</v>
      </c>
      <c r="Y38" s="6" t="s">
        <v>32</v>
      </c>
      <c r="Z38" s="6" t="s">
        <v>31</v>
      </c>
    </row>
    <row r="39" spans="1:26" x14ac:dyDescent="0.25">
      <c r="A39" s="3">
        <v>237937</v>
      </c>
      <c r="B39" s="4" t="s">
        <v>122</v>
      </c>
      <c r="C39" s="5" t="str">
        <f>VLOOKUP(B39,[1]Sheet1!$A:$C,3,FALSE)</f>
        <v xml:space="preserve">gtorresteixeira@yahoo.com.br </v>
      </c>
      <c r="D39" s="6" t="str">
        <f>VLOOKUP(B39,[2]Planilha1!$A:$R,10,FALSE)</f>
        <v>991911219</v>
      </c>
      <c r="E39" s="6" t="s">
        <v>26</v>
      </c>
      <c r="F39" s="6" t="s">
        <v>35</v>
      </c>
      <c r="G39" s="6" t="s">
        <v>28</v>
      </c>
      <c r="H39" s="6" t="s">
        <v>123</v>
      </c>
      <c r="I39" s="3">
        <v>237937</v>
      </c>
      <c r="J39" s="7"/>
      <c r="K39" s="8">
        <f>VLOOKUP(B39,[2]Planilha1!$A:$N,14,FALSE)</f>
        <v>30005</v>
      </c>
      <c r="L39" s="6" t="str">
        <f>VLOOKUP(B39,[2]Planilha1!$A:$R,16,FALSE)</f>
        <v>SP</v>
      </c>
      <c r="M39" s="6" t="str">
        <f>VLOOKUP(B39,[2]Planilha1!$A:$R,18,FALSE)</f>
        <v>SANTOS</v>
      </c>
      <c r="N39" s="6" t="s">
        <v>30</v>
      </c>
      <c r="O39" s="6" t="str">
        <f>VLOOKUP(B39,[2]Planilha1!$A:$R,9,FALSE)</f>
        <v>11380-030</v>
      </c>
      <c r="P39" s="6" t="str">
        <f>VLOOKUP(B39,[2]Planilha1!$A:$C,3,FALSE)</f>
        <v>R FRANCISCO SA</v>
      </c>
      <c r="Q39" s="6" t="str">
        <f>VLOOKUP(B39,[2]Planilha1!$A:$G,7,FALSE)</f>
        <v>83</v>
      </c>
      <c r="R39" s="6" t="str">
        <f>VLOOKUP(B39,[2]Planilha1!$A:$H,8,FALSE)</f>
        <v>ALTOS</v>
      </c>
      <c r="S39" s="6" t="str">
        <f>VLOOKUP(B39,[2]Planilha1!$A:$D,4,FALSE)</f>
        <v>Vila Sao Jorge</v>
      </c>
      <c r="T39" s="6" t="str">
        <f>VLOOKUP(B39,[2]Planilha1!$A:$E,5,FALSE)</f>
        <v>SAO VICENTE</v>
      </c>
      <c r="U39" s="6" t="s">
        <v>31</v>
      </c>
      <c r="V39" s="6" t="str">
        <f>VLOOKUP(B39,[2]Planilha1!$A:$R,13,FALSE)</f>
        <v>Parda</v>
      </c>
      <c r="W39" s="6" t="str">
        <f>VLOOKUP(B39,[2]Planilha1!$A:$B,2,FALSE)</f>
        <v>União Estável</v>
      </c>
      <c r="X39" s="6" t="str">
        <f>VLOOKUP(B39,[2]Planilha1!$A:$R,15,FALSE)</f>
        <v>442150994</v>
      </c>
      <c r="Y39" s="6" t="s">
        <v>32</v>
      </c>
      <c r="Z39" s="6" t="s">
        <v>31</v>
      </c>
    </row>
    <row r="40" spans="1:26" x14ac:dyDescent="0.25">
      <c r="A40" s="3">
        <v>237838</v>
      </c>
      <c r="B40" s="4" t="s">
        <v>124</v>
      </c>
      <c r="C40" s="5" t="str">
        <f>VLOOKUP(B40,[1]Sheet1!$A:$C,3,FALSE)</f>
        <v>claudio.stoss39@gmail.com</v>
      </c>
      <c r="D40" s="6" t="str">
        <f>VLOOKUP(B40,[2]Planilha1!$A:$R,10,FALSE)</f>
        <v>974058385</v>
      </c>
      <c r="E40" s="6" t="s">
        <v>26</v>
      </c>
      <c r="F40" s="6" t="s">
        <v>35</v>
      </c>
      <c r="G40" s="6" t="s">
        <v>28</v>
      </c>
      <c r="H40" s="6" t="s">
        <v>125</v>
      </c>
      <c r="I40" s="3">
        <v>237838</v>
      </c>
      <c r="J40" s="7"/>
      <c r="K40" s="8">
        <f>VLOOKUP(B40,[2]Planilha1!$A:$N,14,FALSE)</f>
        <v>27068</v>
      </c>
      <c r="L40" s="6" t="str">
        <f>VLOOKUP(B40,[2]Planilha1!$A:$R,16,FALSE)</f>
        <v>SP</v>
      </c>
      <c r="M40" s="6" t="str">
        <f>VLOOKUP(B40,[2]Planilha1!$A:$R,18,FALSE)</f>
        <v>SANTOS</v>
      </c>
      <c r="N40" s="6" t="s">
        <v>30</v>
      </c>
      <c r="O40" s="6" t="str">
        <f>VLOOKUP(B40,[2]Planilha1!$A:$R,9,FALSE)</f>
        <v>11070-011</v>
      </c>
      <c r="P40" s="6" t="str">
        <f>VLOOKUP(B40,[2]Planilha1!$A:$C,3,FALSE)</f>
        <v>R JOSE ALFREDO ALBERTINI</v>
      </c>
      <c r="Q40" s="6" t="str">
        <f>VLOOKUP(B40,[2]Planilha1!$A:$G,7,FALSE)</f>
        <v>300</v>
      </c>
      <c r="R40" s="6" t="str">
        <f>VLOOKUP(B40,[2]Planilha1!$A:$H,8,FALSE)</f>
        <v/>
      </c>
      <c r="S40" s="6" t="str">
        <f>VLOOKUP(B40,[2]Planilha1!$A:$D,4,FALSE)</f>
        <v>Marapé</v>
      </c>
      <c r="T40" s="6" t="str">
        <f>VLOOKUP(B40,[2]Planilha1!$A:$E,5,FALSE)</f>
        <v>SANTOS</v>
      </c>
      <c r="U40" s="6" t="s">
        <v>31</v>
      </c>
      <c r="V40" s="6" t="str">
        <f>VLOOKUP(B40,[2]Planilha1!$A:$R,13,FALSE)</f>
        <v>Parda</v>
      </c>
      <c r="W40" s="6" t="str">
        <f>VLOOKUP(B40,[2]Planilha1!$A:$B,2,FALSE)</f>
        <v>Casado</v>
      </c>
      <c r="X40" s="6" t="str">
        <f>VLOOKUP(B40,[2]Planilha1!$A:$R,15,FALSE)</f>
        <v>245718989</v>
      </c>
      <c r="Y40" s="6" t="s">
        <v>32</v>
      </c>
      <c r="Z40" s="6" t="s">
        <v>31</v>
      </c>
    </row>
    <row r="41" spans="1:26" x14ac:dyDescent="0.25">
      <c r="A41" s="3">
        <v>237929</v>
      </c>
      <c r="B41" s="4" t="s">
        <v>126</v>
      </c>
      <c r="C41" s="5" t="str">
        <f>VLOOKUP(B41,[1]Sheet1!$A:$C,3,FALSE)</f>
        <v xml:space="preserve">nikesagold@gmail.com </v>
      </c>
      <c r="D41" s="6" t="str">
        <f>VLOOKUP(B41,[2]Planilha1!$A:$R,10,FALSE)</f>
        <v>34621794</v>
      </c>
      <c r="E41" s="6" t="s">
        <v>26</v>
      </c>
      <c r="F41" s="6" t="s">
        <v>41</v>
      </c>
      <c r="G41" s="6" t="s">
        <v>28</v>
      </c>
      <c r="H41" s="6" t="s">
        <v>127</v>
      </c>
      <c r="I41" s="3">
        <v>237929</v>
      </c>
      <c r="J41" s="7"/>
      <c r="K41" s="8">
        <f>VLOOKUP(B41,[2]Planilha1!$A:$N,14,FALSE)</f>
        <v>28318</v>
      </c>
      <c r="L41" s="6" t="str">
        <f>VLOOKUP(B41,[2]Planilha1!$A:$R,16,FALSE)</f>
        <v>SP</v>
      </c>
      <c r="M41" s="6" t="str">
        <f>VLOOKUP(B41,[2]Planilha1!$A:$R,18,FALSE)</f>
        <v>SANTOS</v>
      </c>
      <c r="N41" s="6" t="s">
        <v>30</v>
      </c>
      <c r="O41" s="6" t="str">
        <f>VLOOKUP(B41,[2]Planilha1!$A:$R,9,FALSE)</f>
        <v>11340-360</v>
      </c>
      <c r="P41" s="6" t="str">
        <f>VLOOKUP(B41,[2]Planilha1!$A:$C,3,FALSE)</f>
        <v>R Miguel Pasquarelli</v>
      </c>
      <c r="Q41" s="6" t="str">
        <f>VLOOKUP(B41,[2]Planilha1!$A:$G,7,FALSE)</f>
        <v>289</v>
      </c>
      <c r="R41" s="6" t="str">
        <f>VLOOKUP(B41,[2]Planilha1!$A:$H,8,FALSE)</f>
        <v/>
      </c>
      <c r="S41" s="6" t="str">
        <f>VLOOKUP(B41,[2]Planilha1!$A:$D,4,FALSE)</f>
        <v>Esplanada dos Barrei</v>
      </c>
      <c r="T41" s="6" t="str">
        <f>VLOOKUP(B41,[2]Planilha1!$A:$E,5,FALSE)</f>
        <v>SAO VICENTE</v>
      </c>
      <c r="U41" s="6" t="s">
        <v>31</v>
      </c>
      <c r="V41" s="6" t="str">
        <f>VLOOKUP(B41,[2]Planilha1!$A:$R,13,FALSE)</f>
        <v>Parda</v>
      </c>
      <c r="W41" s="6" t="str">
        <f>VLOOKUP(B41,[2]Planilha1!$A:$B,2,FALSE)</f>
        <v>Casado</v>
      </c>
      <c r="X41" s="6" t="str">
        <f>VLOOKUP(B41,[2]Planilha1!$A:$R,15,FALSE)</f>
        <v>309761086</v>
      </c>
      <c r="Y41" s="6" t="s">
        <v>32</v>
      </c>
      <c r="Z41" s="6" t="s">
        <v>31</v>
      </c>
    </row>
    <row r="42" spans="1:26" x14ac:dyDescent="0.25">
      <c r="A42" s="3">
        <v>237861</v>
      </c>
      <c r="B42" s="4" t="s">
        <v>128</v>
      </c>
      <c r="C42" s="5" t="str">
        <f>VLOOKUP(B42,[1]Sheet1!$A:$C,3,FALSE)</f>
        <v>w.vaz@btp.com.br</v>
      </c>
      <c r="D42" s="6" t="str">
        <f>VLOOKUP(B42,[2]Planilha1!$A:$R,10,FALSE)</f>
        <v>33266789</v>
      </c>
      <c r="E42" s="6" t="s">
        <v>26</v>
      </c>
      <c r="F42" s="6" t="s">
        <v>129</v>
      </c>
      <c r="G42" s="6" t="s">
        <v>28</v>
      </c>
      <c r="H42" s="6" t="s">
        <v>130</v>
      </c>
      <c r="I42" s="3">
        <v>237861</v>
      </c>
      <c r="J42" s="7"/>
      <c r="K42" s="8">
        <f>VLOOKUP(B42,[2]Planilha1!$A:$N,14,FALSE)</f>
        <v>27876</v>
      </c>
      <c r="L42" s="6" t="str">
        <f>VLOOKUP(B42,[2]Planilha1!$A:$R,16,FALSE)</f>
        <v>SP</v>
      </c>
      <c r="M42" s="6" t="str">
        <f>VLOOKUP(B42,[2]Planilha1!$A:$R,18,FALSE)</f>
        <v>GUARUJA</v>
      </c>
      <c r="N42" s="6" t="s">
        <v>30</v>
      </c>
      <c r="O42" s="6" t="str">
        <f>VLOOKUP(B42,[2]Planilha1!$A:$R,9,FALSE)</f>
        <v>11470-000</v>
      </c>
      <c r="P42" s="6" t="str">
        <f>VLOOKUP(B42,[2]Planilha1!$A:$C,3,FALSE)</f>
        <v>AV Alvorada</v>
      </c>
      <c r="Q42" s="6" t="str">
        <f>VLOOKUP(B42,[2]Planilha1!$A:$G,7,FALSE)</f>
        <v>1073</v>
      </c>
      <c r="R42" s="6" t="str">
        <f>VLOOKUP(B42,[2]Planilha1!$A:$H,8,FALSE)</f>
        <v/>
      </c>
      <c r="S42" s="6" t="str">
        <f>VLOOKUP(B42,[2]Planilha1!$A:$D,4,FALSE)</f>
        <v>Jardim Alvorada (Vic</v>
      </c>
      <c r="T42" s="6" t="str">
        <f>VLOOKUP(B42,[2]Planilha1!$A:$E,5,FALSE)</f>
        <v>GUARUJA</v>
      </c>
      <c r="U42" s="6" t="s">
        <v>31</v>
      </c>
      <c r="V42" s="6" t="str">
        <f>VLOOKUP(B42,[2]Planilha1!$A:$R,13,FALSE)</f>
        <v>Branca</v>
      </c>
      <c r="W42" s="6" t="str">
        <f>VLOOKUP(B42,[2]Planilha1!$A:$B,2,FALSE)</f>
        <v>Casado</v>
      </c>
      <c r="X42" s="6" t="str">
        <f>VLOOKUP(B42,[2]Planilha1!$A:$R,15,FALSE)</f>
        <v>274214994</v>
      </c>
      <c r="Y42" s="6" t="s">
        <v>32</v>
      </c>
      <c r="Z42" s="6" t="s">
        <v>31</v>
      </c>
    </row>
    <row r="43" spans="1:26" x14ac:dyDescent="0.25">
      <c r="A43" s="3">
        <v>237945</v>
      </c>
      <c r="B43" s="4" t="s">
        <v>131</v>
      </c>
      <c r="C43" s="5" t="str">
        <f>VLOOKUP(B43,[1]Sheet1!$A:$C,3,FALSE)</f>
        <v xml:space="preserve">fabinhosurfsampa@hotmail.com </v>
      </c>
      <c r="D43" s="6" t="str">
        <f>VLOOKUP(B43,[2]Planilha1!$A:$R,10,FALSE)</f>
        <v/>
      </c>
      <c r="E43" s="6" t="s">
        <v>26</v>
      </c>
      <c r="F43" s="6" t="s">
        <v>41</v>
      </c>
      <c r="G43" s="6" t="s">
        <v>28</v>
      </c>
      <c r="H43" s="6" t="s">
        <v>132</v>
      </c>
      <c r="I43" s="3">
        <v>237945</v>
      </c>
      <c r="J43" s="7"/>
      <c r="K43" s="8">
        <f>VLOOKUP(B43,[2]Planilha1!$A:$N,14,FALSE)</f>
        <v>27796</v>
      </c>
      <c r="L43" s="6" t="str">
        <f>VLOOKUP(B43,[2]Planilha1!$A:$R,16,FALSE)</f>
        <v>SP</v>
      </c>
      <c r="M43" s="6" t="str">
        <f>VLOOKUP(B43,[2]Planilha1!$A:$R,18,FALSE)</f>
        <v>SANTOS</v>
      </c>
      <c r="N43" s="6" t="s">
        <v>30</v>
      </c>
      <c r="O43" s="6" t="str">
        <f>VLOOKUP(B43,[2]Planilha1!$A:$R,9,FALSE)</f>
        <v>11725-420</v>
      </c>
      <c r="P43" s="6" t="str">
        <f>VLOOKUP(B43,[2]Planilha1!$A:$C,3,FALSE)</f>
        <v>R José Bonifácio</v>
      </c>
      <c r="Q43" s="6" t="str">
        <f>VLOOKUP(B43,[2]Planilha1!$A:$G,7,FALSE)</f>
        <v>856</v>
      </c>
      <c r="R43" s="6" t="str">
        <f>VLOOKUP(B43,[2]Planilha1!$A:$H,8,FALSE)</f>
        <v/>
      </c>
      <c r="S43" s="6" t="str">
        <f>VLOOKUP(B43,[2]Planilha1!$A:$D,4,FALSE)</f>
        <v>Sitio do Campo</v>
      </c>
      <c r="T43" s="6" t="str">
        <f>VLOOKUP(B43,[2]Planilha1!$A:$E,5,FALSE)</f>
        <v>PRAIA GRANDE</v>
      </c>
      <c r="U43" s="6" t="s">
        <v>31</v>
      </c>
      <c r="V43" s="6" t="str">
        <f>VLOOKUP(B43,[2]Planilha1!$A:$R,13,FALSE)</f>
        <v>Parda</v>
      </c>
      <c r="W43" s="6" t="str">
        <f>VLOOKUP(B43,[2]Planilha1!$A:$B,2,FALSE)</f>
        <v>Solteiro</v>
      </c>
      <c r="X43" s="6" t="str">
        <f>VLOOKUP(B43,[2]Planilha1!$A:$R,15,FALSE)</f>
        <v>261889989</v>
      </c>
      <c r="Y43" s="6" t="s">
        <v>32</v>
      </c>
      <c r="Z43" s="6" t="s">
        <v>31</v>
      </c>
    </row>
    <row r="44" spans="1:26" x14ac:dyDescent="0.25">
      <c r="A44" s="3">
        <v>237944</v>
      </c>
      <c r="B44" s="4" t="s">
        <v>133</v>
      </c>
      <c r="C44" s="5" t="str">
        <f>VLOOKUP(B44,[1]Sheet1!$A:$C,3,FALSE)</f>
        <v>jeffersonnicmilly@hotmail.com</v>
      </c>
      <c r="D44" s="6" t="str">
        <f>VLOOKUP(B44,[2]Planilha1!$A:$R,10,FALSE)</f>
        <v>991076010</v>
      </c>
      <c r="E44" s="6" t="s">
        <v>26</v>
      </c>
      <c r="F44" s="6" t="s">
        <v>35</v>
      </c>
      <c r="G44" s="6" t="s">
        <v>28</v>
      </c>
      <c r="H44" s="6" t="s">
        <v>134</v>
      </c>
      <c r="I44" s="3">
        <v>237944</v>
      </c>
      <c r="J44" s="7"/>
      <c r="K44" s="8">
        <f>VLOOKUP(B44,[2]Planilha1!$A:$N,14,FALSE)</f>
        <v>28071</v>
      </c>
      <c r="L44" s="6" t="str">
        <f>VLOOKUP(B44,[2]Planilha1!$A:$R,16,FALSE)</f>
        <v>SP</v>
      </c>
      <c r="M44" s="6" t="str">
        <f>VLOOKUP(B44,[2]Planilha1!$A:$R,18,FALSE)</f>
        <v>SAO VICENTE</v>
      </c>
      <c r="N44" s="6" t="s">
        <v>30</v>
      </c>
      <c r="O44" s="6" t="str">
        <f>VLOOKUP(B44,[2]Planilha1!$A:$R,9,FALSE)</f>
        <v>11370-460</v>
      </c>
      <c r="P44" s="6" t="str">
        <f>VLOOKUP(B44,[2]Planilha1!$A:$C,3,FALSE)</f>
        <v>R Guilherme Guinler</v>
      </c>
      <c r="Q44" s="6" t="str">
        <f>VLOOKUP(B44,[2]Planilha1!$A:$G,7,FALSE)</f>
        <v>185</v>
      </c>
      <c r="R44" s="6" t="str">
        <f>VLOOKUP(B44,[2]Planilha1!$A:$H,8,FALSE)</f>
        <v/>
      </c>
      <c r="S44" s="6" t="str">
        <f>VLOOKUP(B44,[2]Planilha1!$A:$D,4,FALSE)</f>
        <v>Jardim Nosso Lar</v>
      </c>
      <c r="T44" s="6" t="str">
        <f>VLOOKUP(B44,[2]Planilha1!$A:$E,5,FALSE)</f>
        <v>SAO VICENTE</v>
      </c>
      <c r="U44" s="6" t="s">
        <v>31</v>
      </c>
      <c r="V44" s="6" t="str">
        <f>VLOOKUP(B44,[2]Planilha1!$A:$R,13,FALSE)</f>
        <v>Parda</v>
      </c>
      <c r="W44" s="6" t="str">
        <f>VLOOKUP(B44,[2]Planilha1!$A:$B,2,FALSE)</f>
        <v>União Estável</v>
      </c>
      <c r="X44" s="6" t="str">
        <f>VLOOKUP(B44,[2]Planilha1!$A:$R,15,FALSE)</f>
        <v>30130773</v>
      </c>
      <c r="Y44" s="6" t="s">
        <v>32</v>
      </c>
      <c r="Z44" s="6" t="s">
        <v>31</v>
      </c>
    </row>
    <row r="45" spans="1:26" x14ac:dyDescent="0.25">
      <c r="A45" s="3">
        <v>237916</v>
      </c>
      <c r="B45" s="4" t="s">
        <v>135</v>
      </c>
      <c r="C45" s="5" t="str">
        <f>VLOOKUP(B45,[1]Sheet1!$A:$C,3,FALSE)</f>
        <v>gersonildomrneses77@gmail.com</v>
      </c>
      <c r="D45" s="6" t="str">
        <f>VLOOKUP(B45,[2]Planilha1!$A:$R,10,FALSE)</f>
        <v>22028926</v>
      </c>
      <c r="E45" s="6" t="s">
        <v>26</v>
      </c>
      <c r="F45" s="6" t="s">
        <v>95</v>
      </c>
      <c r="G45" s="6" t="s">
        <v>28</v>
      </c>
      <c r="H45" s="6" t="s">
        <v>136</v>
      </c>
      <c r="I45" s="3">
        <v>237916</v>
      </c>
      <c r="J45" s="7"/>
      <c r="K45" s="8">
        <f>VLOOKUP(B45,[2]Planilha1!$A:$N,14,FALSE)</f>
        <v>27811</v>
      </c>
      <c r="L45" s="6" t="str">
        <f>VLOOKUP(B45,[2]Planilha1!$A:$R,16,FALSE)</f>
        <v>SP</v>
      </c>
      <c r="M45" s="6" t="str">
        <f>VLOOKUP(B45,[2]Planilha1!$A:$R,18,FALSE)</f>
        <v>COARACI</v>
      </c>
      <c r="N45" s="6" t="s">
        <v>30</v>
      </c>
      <c r="O45" s="6" t="str">
        <f>VLOOKUP(B45,[2]Planilha1!$A:$R,9,FALSE)</f>
        <v>11040-130</v>
      </c>
      <c r="P45" s="6" t="str">
        <f>VLOOKUP(B45,[2]Planilha1!$A:$C,3,FALSE)</f>
        <v>AV ALVARO ALVIN</v>
      </c>
      <c r="Q45" s="6" t="str">
        <f>VLOOKUP(B45,[2]Planilha1!$A:$G,7,FALSE)</f>
        <v>122</v>
      </c>
      <c r="R45" s="6" t="str">
        <f>VLOOKUP(B45,[2]Planilha1!$A:$H,8,FALSE)</f>
        <v>APTO 32</v>
      </c>
      <c r="S45" s="6" t="str">
        <f>VLOOKUP(B45,[2]Planilha1!$A:$D,4,FALSE)</f>
        <v>Embaré</v>
      </c>
      <c r="T45" s="6" t="str">
        <f>VLOOKUP(B45,[2]Planilha1!$A:$E,5,FALSE)</f>
        <v>SANTOS</v>
      </c>
      <c r="U45" s="6" t="s">
        <v>31</v>
      </c>
      <c r="V45" s="6" t="str">
        <f>VLOOKUP(B45,[2]Planilha1!$A:$R,13,FALSE)</f>
        <v>Parda</v>
      </c>
      <c r="W45" s="6" t="str">
        <f>VLOOKUP(B45,[2]Planilha1!$A:$B,2,FALSE)</f>
        <v>Casado</v>
      </c>
      <c r="X45" s="6" t="str">
        <f>VLOOKUP(B45,[2]Planilha1!$A:$R,15,FALSE)</f>
        <v>290953078</v>
      </c>
      <c r="Y45" s="6" t="s">
        <v>32</v>
      </c>
      <c r="Z45" s="6" t="s">
        <v>31</v>
      </c>
    </row>
    <row r="46" spans="1:26" x14ac:dyDescent="0.25">
      <c r="A46" s="3">
        <v>237964</v>
      </c>
      <c r="B46" s="4" t="s">
        <v>137</v>
      </c>
      <c r="C46" s="5" t="str">
        <f>VLOOKUP(B46,[1]Sheet1!$A:$C,3,FALSE)</f>
        <v>araujopaulo77@outlook.com</v>
      </c>
      <c r="D46" s="6" t="str">
        <f>VLOOKUP(B46,[2]Planilha1!$A:$R,10,FALSE)</f>
        <v>974234266</v>
      </c>
      <c r="E46" s="6" t="s">
        <v>26</v>
      </c>
      <c r="F46" s="6" t="s">
        <v>138</v>
      </c>
      <c r="G46" s="6" t="s">
        <v>28</v>
      </c>
      <c r="H46" s="6" t="s">
        <v>139</v>
      </c>
      <c r="I46" s="3">
        <v>237964</v>
      </c>
      <c r="J46" s="7"/>
      <c r="K46" s="8">
        <f>VLOOKUP(B46,[2]Planilha1!$A:$N,14,FALSE)</f>
        <v>28230</v>
      </c>
      <c r="L46" s="6" t="str">
        <f>VLOOKUP(B46,[2]Planilha1!$A:$R,16,FALSE)</f>
        <v>SP</v>
      </c>
      <c r="M46" s="6" t="str">
        <f>VLOOKUP(B46,[2]Planilha1!$A:$R,18,FALSE)</f>
        <v>SANTOS</v>
      </c>
      <c r="N46" s="6" t="s">
        <v>30</v>
      </c>
      <c r="O46" s="6" t="str">
        <f>VLOOKUP(B46,[2]Planilha1!$A:$R,9,FALSE)</f>
        <v>11702-200</v>
      </c>
      <c r="P46" s="6" t="str">
        <f>VLOOKUP(B46,[2]Planilha1!$A:$C,3,FALSE)</f>
        <v>AV PRESIDENTE KENNEDY</v>
      </c>
      <c r="Q46" s="6" t="str">
        <f>VLOOKUP(B46,[2]Planilha1!$A:$G,7,FALSE)</f>
        <v>32130</v>
      </c>
      <c r="R46" s="6" t="str">
        <f>VLOOKUP(B46,[2]Planilha1!$A:$H,8,FALSE)</f>
        <v>CASA 1</v>
      </c>
      <c r="S46" s="6" t="str">
        <f>VLOOKUP(B46,[2]Planilha1!$A:$D,4,FALSE)</f>
        <v>Guilhermina</v>
      </c>
      <c r="T46" s="6" t="str">
        <f>VLOOKUP(B46,[2]Planilha1!$A:$E,5,FALSE)</f>
        <v>PRAIA GRANDE</v>
      </c>
      <c r="U46" s="6" t="s">
        <v>31</v>
      </c>
      <c r="V46" s="6" t="str">
        <f>VLOOKUP(B46,[2]Planilha1!$A:$R,13,FALSE)</f>
        <v>Parda</v>
      </c>
      <c r="W46" s="6" t="str">
        <f>VLOOKUP(B46,[2]Planilha1!$A:$B,2,FALSE)</f>
        <v>Casado</v>
      </c>
      <c r="X46" s="6" t="str">
        <f>VLOOKUP(B46,[2]Planilha1!$A:$R,15,FALSE)</f>
        <v>268858664</v>
      </c>
      <c r="Y46" s="6" t="s">
        <v>32</v>
      </c>
      <c r="Z46" s="6" t="s">
        <v>31</v>
      </c>
    </row>
    <row r="47" spans="1:26" x14ac:dyDescent="0.25">
      <c r="A47" s="3">
        <v>237822</v>
      </c>
      <c r="B47" s="4" t="s">
        <v>140</v>
      </c>
      <c r="C47" s="5" t="str">
        <f>VLOOKUP(B47,[1]Sheet1!$A:$C,3,FALSE)</f>
        <v>a_tamaio@hotmail.com</v>
      </c>
      <c r="D47" s="6">
        <v>997253345</v>
      </c>
      <c r="E47" s="6" t="s">
        <v>26</v>
      </c>
      <c r="F47" s="6" t="s">
        <v>66</v>
      </c>
      <c r="G47" s="6" t="s">
        <v>28</v>
      </c>
      <c r="H47" s="6" t="s">
        <v>141</v>
      </c>
      <c r="I47" s="3">
        <v>237822</v>
      </c>
      <c r="J47" s="7"/>
      <c r="K47" s="8">
        <v>28235</v>
      </c>
      <c r="L47" s="6" t="s">
        <v>31</v>
      </c>
      <c r="M47" s="6" t="s">
        <v>43</v>
      </c>
      <c r="N47" s="6" t="s">
        <v>30</v>
      </c>
      <c r="O47" s="6" t="s">
        <v>142</v>
      </c>
      <c r="P47" s="6" t="s">
        <v>143</v>
      </c>
      <c r="Q47" s="6">
        <v>450</v>
      </c>
      <c r="R47" s="6"/>
      <c r="S47" s="6" t="s">
        <v>144</v>
      </c>
      <c r="T47" s="6" t="s">
        <v>43</v>
      </c>
      <c r="U47" s="6" t="s">
        <v>31</v>
      </c>
      <c r="V47" s="6" t="s">
        <v>47</v>
      </c>
      <c r="W47" s="6" t="str">
        <f>VLOOKUP(B47,[2]Planilha1!$A:$B,2,FALSE)</f>
        <v>Casado</v>
      </c>
      <c r="X47" s="6">
        <v>294878713</v>
      </c>
      <c r="Y47" s="6" t="s">
        <v>32</v>
      </c>
      <c r="Z47" s="6" t="s">
        <v>31</v>
      </c>
    </row>
    <row r="48" spans="1:26" x14ac:dyDescent="0.25">
      <c r="A48" s="19"/>
      <c r="B48" s="10" t="s">
        <v>145</v>
      </c>
      <c r="C48" s="11" t="str">
        <f>VLOOKUP(B48,[1]Sheet1!$A:$C,3,FALSE)</f>
        <v>robisonrosario@gmail.com</v>
      </c>
      <c r="D48" s="12" t="str">
        <f>VLOOKUP(B48,[2]Planilha1!$A:$R,10,FALSE)</f>
        <v>32919161</v>
      </c>
      <c r="E48" s="12" t="s">
        <v>26</v>
      </c>
      <c r="F48" s="12" t="s">
        <v>27</v>
      </c>
      <c r="G48" s="12" t="s">
        <v>28</v>
      </c>
      <c r="H48" s="12" t="s">
        <v>146</v>
      </c>
      <c r="I48" s="19"/>
      <c r="J48" s="20" t="s">
        <v>50</v>
      </c>
      <c r="K48" s="15">
        <f>VLOOKUP(B48,[2]Planilha1!$A:$N,14,FALSE)</f>
        <v>28516</v>
      </c>
      <c r="L48" s="12" t="str">
        <f>VLOOKUP(B48,[2]Planilha1!$A:$R,16,FALSE)</f>
        <v>SP</v>
      </c>
      <c r="M48" s="12" t="str">
        <f>VLOOKUP(B48,[2]Planilha1!$A:$R,18,FALSE)</f>
        <v>SANTOS</v>
      </c>
      <c r="N48" s="12" t="s">
        <v>30</v>
      </c>
      <c r="O48" s="12" t="str">
        <f>VLOOKUP(B48,[2]Planilha1!$A:$R,9,FALSE)</f>
        <v>11015-230</v>
      </c>
      <c r="P48" s="12" t="str">
        <f>VLOOKUP(B48,[2]Planilha1!$A:$C,3,FALSE)</f>
        <v>R Santos Dumont</v>
      </c>
      <c r="Q48" s="12" t="str">
        <f>VLOOKUP(B48,[2]Planilha1!$A:$G,7,FALSE)</f>
        <v>172</v>
      </c>
      <c r="R48" s="12" t="str">
        <f>VLOOKUP(B48,[2]Planilha1!$A:$H,8,FALSE)</f>
        <v>AP 166</v>
      </c>
      <c r="S48" s="12" t="str">
        <f>VLOOKUP(B48,[2]Planilha1!$A:$D,4,FALSE)</f>
        <v>Estuário</v>
      </c>
      <c r="T48" s="12" t="str">
        <f>VLOOKUP(B48,[2]Planilha1!$A:$E,5,FALSE)</f>
        <v>SANTOS</v>
      </c>
      <c r="U48" s="12" t="s">
        <v>31</v>
      </c>
      <c r="V48" s="12" t="str">
        <f>VLOOKUP(B48,[2]Planilha1!$A:$R,13,FALSE)</f>
        <v>Parda</v>
      </c>
      <c r="W48" s="12" t="str">
        <f>VLOOKUP(B48,[2]Planilha1!$A:$B,2,FALSE)</f>
        <v>Divorciado</v>
      </c>
      <c r="X48" s="12" t="str">
        <f>VLOOKUP(B48,[2]Planilha1!$A:$R,15,FALSE)</f>
        <v>275590422</v>
      </c>
      <c r="Y48" s="12" t="s">
        <v>32</v>
      </c>
      <c r="Z48" s="12" t="s">
        <v>31</v>
      </c>
    </row>
    <row r="49" spans="1:26" x14ac:dyDescent="0.25">
      <c r="A49" s="3">
        <v>237961</v>
      </c>
      <c r="B49" s="4" t="s">
        <v>147</v>
      </c>
      <c r="C49" s="5" t="str">
        <f>VLOOKUP(B49,[1]Sheet1!$A:$C,3,FALSE)</f>
        <v xml:space="preserve">fabiocostasul@hotmail.com </v>
      </c>
      <c r="D49" s="6" t="str">
        <f>VLOOKUP(B49,[2]Planilha1!$A:$R,10,FALSE)</f>
        <v>997440410</v>
      </c>
      <c r="E49" s="6" t="s">
        <v>26</v>
      </c>
      <c r="F49" s="6" t="s">
        <v>41</v>
      </c>
      <c r="G49" s="6" t="s">
        <v>28</v>
      </c>
      <c r="H49" s="6" t="s">
        <v>148</v>
      </c>
      <c r="I49" s="3">
        <v>237961</v>
      </c>
      <c r="J49" s="7"/>
      <c r="K49" s="8">
        <f>VLOOKUP(B49,[2]Planilha1!$A:$N,14,FALSE)</f>
        <v>28154</v>
      </c>
      <c r="L49" s="6" t="str">
        <f>VLOOKUP(B49,[2]Planilha1!$A:$R,16,FALSE)</f>
        <v>SP</v>
      </c>
      <c r="M49" s="6" t="str">
        <f>VLOOKUP(B49,[2]Planilha1!$A:$R,18,FALSE)</f>
        <v>SANTO ANDRE</v>
      </c>
      <c r="N49" s="6" t="s">
        <v>30</v>
      </c>
      <c r="O49" s="6" t="str">
        <f>VLOOKUP(B49,[2]Planilha1!$A:$R,9,FALSE)</f>
        <v>11390-001</v>
      </c>
      <c r="P49" s="6" t="str">
        <f>VLOOKUP(B49,[2]Planilha1!$A:$C,3,FALSE)</f>
        <v>AV Antônio Emmerick</v>
      </c>
      <c r="Q49" s="6" t="str">
        <f>VLOOKUP(B49,[2]Planilha1!$A:$G,7,FALSE)</f>
        <v>499</v>
      </c>
      <c r="R49" s="6" t="str">
        <f>VLOOKUP(B49,[2]Planilha1!$A:$H,8,FALSE)</f>
        <v>AP 104</v>
      </c>
      <c r="S49" s="6" t="str">
        <f>VLOOKUP(B49,[2]Planilha1!$A:$D,4,FALSE)</f>
        <v>Vila Cascatinha</v>
      </c>
      <c r="T49" s="6" t="str">
        <f>VLOOKUP(B49,[2]Planilha1!$A:$E,5,FALSE)</f>
        <v>SAO VICENTE</v>
      </c>
      <c r="U49" s="6" t="s">
        <v>31</v>
      </c>
      <c r="V49" s="6" t="str">
        <f>VLOOKUP(B49,[2]Planilha1!$A:$R,13,FALSE)</f>
        <v>Parda</v>
      </c>
      <c r="W49" s="6" t="str">
        <f>VLOOKUP(B49,[2]Planilha1!$A:$B,2,FALSE)</f>
        <v>Casado</v>
      </c>
      <c r="X49" s="6" t="str">
        <f>VLOOKUP(B49,[2]Planilha1!$A:$R,15,FALSE)</f>
        <v>307934305</v>
      </c>
      <c r="Y49" s="6" t="s">
        <v>32</v>
      </c>
      <c r="Z49" s="6" t="s">
        <v>31</v>
      </c>
    </row>
    <row r="50" spans="1:26" x14ac:dyDescent="0.25">
      <c r="A50" s="16">
        <v>238008</v>
      </c>
      <c r="B50" s="4" t="s">
        <v>149</v>
      </c>
      <c r="C50" s="5" t="str">
        <f>VLOOKUP(B50,[1]Sheet1!$A:$C,3,FALSE)</f>
        <v>cleiton-alves.r@hotmail.com</v>
      </c>
      <c r="D50" s="6" t="str">
        <f>VLOOKUP(B50,[2]Planilha1!$A:$R,10,FALSE)</f>
        <v>981916297</v>
      </c>
      <c r="E50" s="6" t="s">
        <v>26</v>
      </c>
      <c r="F50" s="6" t="s">
        <v>63</v>
      </c>
      <c r="G50" s="6" t="s">
        <v>28</v>
      </c>
      <c r="H50" s="6" t="s">
        <v>150</v>
      </c>
      <c r="I50" s="16">
        <v>238008</v>
      </c>
      <c r="J50" s="7"/>
      <c r="K50" s="8">
        <f>VLOOKUP(B50,[2]Planilha1!$A:$N,14,FALSE)</f>
        <v>28790</v>
      </c>
      <c r="L50" s="6" t="str">
        <f>VLOOKUP(B50,[2]Planilha1!$A:$R,16,FALSE)</f>
        <v>SP</v>
      </c>
      <c r="M50" s="6" t="str">
        <f>VLOOKUP(B50,[2]Planilha1!$A:$R,18,FALSE)</f>
        <v>SAO VICENTE</v>
      </c>
      <c r="N50" s="6" t="s">
        <v>30</v>
      </c>
      <c r="O50" s="6" t="str">
        <f>VLOOKUP(B50,[2]Planilha1!$A:$R,9,FALSE)</f>
        <v>11704-070</v>
      </c>
      <c r="P50" s="6" t="str">
        <f>VLOOKUP(B50,[2]Planilha1!$A:$C,3,FALSE)</f>
        <v>R Líbero Badaró</v>
      </c>
      <c r="Q50" s="6" t="str">
        <f>VLOOKUP(B50,[2]Planilha1!$A:$G,7,FALSE)</f>
        <v>759</v>
      </c>
      <c r="R50" s="6" t="str">
        <f>VLOOKUP(B50,[2]Planilha1!$A:$H,8,FALSE)</f>
        <v>CASA</v>
      </c>
      <c r="S50" s="6" t="str">
        <f>VLOOKUP(B50,[2]Planilha1!$A:$D,4,FALSE)</f>
        <v>Cidade ocian</v>
      </c>
      <c r="T50" s="6" t="str">
        <f>VLOOKUP(B50,[2]Planilha1!$A:$E,5,FALSE)</f>
        <v>PRAIA GRANDE</v>
      </c>
      <c r="U50" s="6" t="s">
        <v>31</v>
      </c>
      <c r="V50" s="6" t="str">
        <f>VLOOKUP(B50,[2]Planilha1!$A:$R,13,FALSE)</f>
        <v>Parda</v>
      </c>
      <c r="W50" s="6" t="str">
        <f>VLOOKUP(B50,[2]Planilha1!$A:$B,2,FALSE)</f>
        <v>Casado</v>
      </c>
      <c r="X50" s="6" t="str">
        <f>VLOOKUP(B50,[2]Planilha1!$A:$R,15,FALSE)</f>
        <v>305898978</v>
      </c>
      <c r="Y50" s="6" t="s">
        <v>32</v>
      </c>
      <c r="Z50" s="6" t="s">
        <v>31</v>
      </c>
    </row>
    <row r="51" spans="1:26" x14ac:dyDescent="0.25">
      <c r="A51" s="3">
        <v>237936</v>
      </c>
      <c r="B51" s="4" t="s">
        <v>151</v>
      </c>
      <c r="C51" s="5" t="str">
        <f>VLOOKUP(B51,[1]Sheet1!$A:$C,3,FALSE)</f>
        <v>vitorefe@hotmail.com</v>
      </c>
      <c r="D51" s="6" t="str">
        <f>VLOOKUP(B51,[2]Planilha1!$A:$R,10,FALSE)</f>
        <v>974020599</v>
      </c>
      <c r="E51" s="6" t="s">
        <v>26</v>
      </c>
      <c r="F51" s="6" t="s">
        <v>35</v>
      </c>
      <c r="G51" s="6" t="s">
        <v>28</v>
      </c>
      <c r="H51" s="6" t="s">
        <v>152</v>
      </c>
      <c r="I51" s="3">
        <v>237936</v>
      </c>
      <c r="J51" s="7"/>
      <c r="K51" s="8">
        <f>VLOOKUP(B51,[2]Planilha1!$A:$N,14,FALSE)</f>
        <v>29801</v>
      </c>
      <c r="L51" s="6" t="str">
        <f>VLOOKUP(B51,[2]Planilha1!$A:$R,16,FALSE)</f>
        <v>SP</v>
      </c>
      <c r="M51" s="6" t="str">
        <f>VLOOKUP(B51,[2]Planilha1!$A:$R,18,FALSE)</f>
        <v>GUARUJA</v>
      </c>
      <c r="N51" s="6" t="s">
        <v>30</v>
      </c>
      <c r="O51" s="6" t="str">
        <f>VLOOKUP(B51,[2]Planilha1!$A:$R,9,FALSE)</f>
        <v>11453-030</v>
      </c>
      <c r="P51" s="6" t="str">
        <f>VLOOKUP(B51,[2]Planilha1!$A:$C,3,FALSE)</f>
        <v>R João Baptista Furlani</v>
      </c>
      <c r="Q51" s="6" t="str">
        <f>VLOOKUP(B51,[2]Planilha1!$A:$G,7,FALSE)</f>
        <v>352</v>
      </c>
      <c r="R51" s="6" t="str">
        <f>VLOOKUP(B51,[2]Planilha1!$A:$H,8,FALSE)</f>
        <v>CASA 2</v>
      </c>
      <c r="S51" s="6" t="str">
        <f>VLOOKUP(B51,[2]Planilha1!$A:$D,4,FALSE)</f>
        <v>Jardim Progresso (Vi</v>
      </c>
      <c r="T51" s="6" t="str">
        <f>VLOOKUP(B51,[2]Planilha1!$A:$E,5,FALSE)</f>
        <v>GUARUJA</v>
      </c>
      <c r="U51" s="6" t="s">
        <v>31</v>
      </c>
      <c r="V51" s="6" t="str">
        <f>VLOOKUP(B51,[2]Planilha1!$A:$R,13,FALSE)</f>
        <v>Parda</v>
      </c>
      <c r="W51" s="6" t="str">
        <f>VLOOKUP(B51,[2]Planilha1!$A:$B,2,FALSE)</f>
        <v>Casado</v>
      </c>
      <c r="X51" s="6" t="str">
        <f>VLOOKUP(B51,[2]Planilha1!$A:$R,15,FALSE)</f>
        <v>348958286</v>
      </c>
      <c r="Y51" s="6" t="s">
        <v>32</v>
      </c>
      <c r="Z51" s="6" t="s">
        <v>31</v>
      </c>
    </row>
    <row r="52" spans="1:26" x14ac:dyDescent="0.25">
      <c r="A52" s="3">
        <v>237928</v>
      </c>
      <c r="B52" s="4" t="s">
        <v>153</v>
      </c>
      <c r="C52" s="5" t="str">
        <f>VLOOKUP(B52,[1]Sheet1!$A:$C,3,FALSE)</f>
        <v>maracaipeanderson@gmail.com</v>
      </c>
      <c r="D52" s="6" t="str">
        <f>VLOOKUP(B52,[2]Planilha1!$A:$R,10,FALSE)</f>
        <v>33594943</v>
      </c>
      <c r="E52" s="6" t="s">
        <v>26</v>
      </c>
      <c r="F52" s="6" t="s">
        <v>41</v>
      </c>
      <c r="G52" s="6" t="s">
        <v>28</v>
      </c>
      <c r="H52" s="6" t="s">
        <v>154</v>
      </c>
      <c r="I52" s="3">
        <v>237928</v>
      </c>
      <c r="J52" s="7"/>
      <c r="K52" s="8">
        <f>VLOOKUP(B52,[2]Planilha1!$A:$N,14,FALSE)</f>
        <v>29510</v>
      </c>
      <c r="L52" s="6" t="str">
        <f>VLOOKUP(B52,[2]Planilha1!$A:$R,16,FALSE)</f>
        <v>SP</v>
      </c>
      <c r="M52" s="6" t="str">
        <f>VLOOKUP(B52,[2]Planilha1!$A:$R,18,FALSE)</f>
        <v>GUARUJA</v>
      </c>
      <c r="N52" s="6" t="s">
        <v>30</v>
      </c>
      <c r="O52" s="6" t="str">
        <f>VLOOKUP(B52,[2]Planilha1!$A:$R,9,FALSE)</f>
        <v>11495-012</v>
      </c>
      <c r="P52" s="6" t="str">
        <f>VLOOKUP(B52,[2]Planilha1!$A:$C,3,FALSE)</f>
        <v>AV ODILON MAXIMIANO DOS SANTOS</v>
      </c>
      <c r="Q52" s="6" t="str">
        <f>VLOOKUP(B52,[2]Planilha1!$A:$G,7,FALSE)</f>
        <v>79</v>
      </c>
      <c r="R52" s="6" t="str">
        <f>VLOOKUP(B52,[2]Planilha1!$A:$H,8,FALSE)</f>
        <v>Casa</v>
      </c>
      <c r="S52" s="6" t="str">
        <f>VLOOKUP(B52,[2]Planilha1!$A:$D,4,FALSE)</f>
        <v>Morrinhos</v>
      </c>
      <c r="T52" s="6" t="str">
        <f>VLOOKUP(B52,[2]Planilha1!$A:$E,5,FALSE)</f>
        <v>GUARUJA</v>
      </c>
      <c r="U52" s="6" t="s">
        <v>31</v>
      </c>
      <c r="V52" s="6" t="str">
        <f>VLOOKUP(B52,[2]Planilha1!$A:$R,13,FALSE)</f>
        <v>Parda</v>
      </c>
      <c r="W52" s="6" t="str">
        <f>VLOOKUP(B52,[2]Planilha1!$A:$B,2,FALSE)</f>
        <v>Divorciado</v>
      </c>
      <c r="X52" s="6" t="str">
        <f>VLOOKUP(B52,[2]Planilha1!$A:$R,15,FALSE)</f>
        <v>320704142</v>
      </c>
      <c r="Y52" s="6" t="s">
        <v>32</v>
      </c>
      <c r="Z52" s="6" t="s">
        <v>31</v>
      </c>
    </row>
    <row r="53" spans="1:26" x14ac:dyDescent="0.25">
      <c r="A53" s="3">
        <v>237917</v>
      </c>
      <c r="B53" s="4" t="s">
        <v>155</v>
      </c>
      <c r="C53" s="5" t="str">
        <f>VLOOKUP(B53,[1]Sheet1!$A:$C,3,FALSE)</f>
        <v>Diascastro17@gmail.com</v>
      </c>
      <c r="D53" s="6" t="str">
        <f>VLOOKUP(B53,[2]Planilha1!$A:$R,10,FALSE)</f>
        <v>996202127</v>
      </c>
      <c r="E53" s="6" t="s">
        <v>26</v>
      </c>
      <c r="F53" s="6" t="s">
        <v>41</v>
      </c>
      <c r="G53" s="6" t="s">
        <v>28</v>
      </c>
      <c r="H53" s="6" t="s">
        <v>156</v>
      </c>
      <c r="I53" s="3">
        <v>237917</v>
      </c>
      <c r="J53" s="7"/>
      <c r="K53" s="8">
        <f>VLOOKUP(B53,[2]Planilha1!$A:$N,14,FALSE)</f>
        <v>29237</v>
      </c>
      <c r="L53" s="6" t="str">
        <f>VLOOKUP(B53,[2]Planilha1!$A:$R,16,FALSE)</f>
        <v>SP</v>
      </c>
      <c r="M53" s="6" t="str">
        <f>VLOOKUP(B53,[2]Planilha1!$A:$R,18,FALSE)</f>
        <v>SAO PAULO</v>
      </c>
      <c r="N53" s="6" t="s">
        <v>30</v>
      </c>
      <c r="O53" s="6" t="str">
        <f>VLOOKUP(B53,[2]Planilha1!$A:$R,9,FALSE)</f>
        <v>11700-290</v>
      </c>
      <c r="P53" s="6" t="str">
        <f>VLOOKUP(B53,[2]Planilha1!$A:$C,3,FALSE)</f>
        <v>R Tiradentes</v>
      </c>
      <c r="Q53" s="6" t="str">
        <f>VLOOKUP(B53,[2]Planilha1!$A:$G,7,FALSE)</f>
        <v>771</v>
      </c>
      <c r="R53" s="6" t="str">
        <f>VLOOKUP(B53,[2]Planilha1!$A:$H,8,FALSE)</f>
        <v>Casa 1</v>
      </c>
      <c r="S53" s="6" t="str">
        <f>VLOOKUP(B53,[2]Planilha1!$A:$D,4,FALSE)</f>
        <v>Canto do Forte</v>
      </c>
      <c r="T53" s="6" t="str">
        <f>VLOOKUP(B53,[2]Planilha1!$A:$E,5,FALSE)</f>
        <v>PRAIA GRANDE</v>
      </c>
      <c r="U53" s="6" t="s">
        <v>31</v>
      </c>
      <c r="V53" s="6" t="str">
        <f>VLOOKUP(B53,[2]Planilha1!$A:$R,13,FALSE)</f>
        <v>Parda</v>
      </c>
      <c r="W53" s="6" t="str">
        <f>VLOOKUP(B53,[2]Planilha1!$A:$B,2,FALSE)</f>
        <v>Casado</v>
      </c>
      <c r="X53" s="6" t="str">
        <f>VLOOKUP(B53,[2]Planilha1!$A:$R,15,FALSE)</f>
        <v>285779242</v>
      </c>
      <c r="Y53" s="6" t="s">
        <v>32</v>
      </c>
      <c r="Z53" s="6" t="s">
        <v>31</v>
      </c>
    </row>
    <row r="54" spans="1:26" x14ac:dyDescent="0.25">
      <c r="A54" s="3">
        <v>238071</v>
      </c>
      <c r="B54" s="4" t="s">
        <v>157</v>
      </c>
      <c r="C54" s="5" t="str">
        <f>VLOOKUP(B54,[1]Sheet1!$A:$C,3,FALSE)</f>
        <v>ricop180@hotmail.com</v>
      </c>
      <c r="D54" s="6" t="str">
        <f>VLOOKUP(B54,[2]Planilha1!$A:$R,10,FALSE)</f>
        <v>34722317</v>
      </c>
      <c r="E54" s="6" t="s">
        <v>26</v>
      </c>
      <c r="F54" s="6" t="s">
        <v>41</v>
      </c>
      <c r="G54" s="6" t="s">
        <v>28</v>
      </c>
      <c r="H54" s="6" t="s">
        <v>158</v>
      </c>
      <c r="I54" s="3">
        <v>238071</v>
      </c>
      <c r="J54" s="7"/>
      <c r="K54" s="8">
        <f>VLOOKUP(B54,[2]Planilha1!$A:$N,14,FALSE)</f>
        <v>29371</v>
      </c>
      <c r="L54" s="6" t="str">
        <f>VLOOKUP(B54,[2]Planilha1!$A:$R,16,FALSE)</f>
        <v>SP</v>
      </c>
      <c r="M54" s="6" t="str">
        <f>VLOOKUP(B54,[2]Planilha1!$A:$R,18,FALSE)</f>
        <v>IGARASSU</v>
      </c>
      <c r="N54" s="6" t="s">
        <v>30</v>
      </c>
      <c r="O54" s="6" t="str">
        <f>VLOOKUP(B54,[2]Planilha1!$A:$R,9,FALSE)</f>
        <v>11722-180</v>
      </c>
      <c r="P54" s="6" t="str">
        <f>VLOOKUP(B54,[2]Planilha1!$A:$C,3,FALSE)</f>
        <v>R Pedro Assis de Moraes</v>
      </c>
      <c r="Q54" s="6" t="str">
        <f>VLOOKUP(B54,[2]Planilha1!$A:$G,7,FALSE)</f>
        <v>175</v>
      </c>
      <c r="R54" s="6" t="str">
        <f>VLOOKUP(B54,[2]Planilha1!$A:$H,8,FALSE)</f>
        <v>casa 07</v>
      </c>
      <c r="S54" s="6" t="str">
        <f>VLOOKUP(B54,[2]Planilha1!$A:$D,4,FALSE)</f>
        <v>Vila Sonia</v>
      </c>
      <c r="T54" s="6" t="str">
        <f>VLOOKUP(B54,[2]Planilha1!$A:$E,5,FALSE)</f>
        <v>PRAIA GRANDE</v>
      </c>
      <c r="U54" s="6" t="s">
        <v>159</v>
      </c>
      <c r="V54" s="6" t="str">
        <f>VLOOKUP(B54,[2]Planilha1!$A:$R,13,FALSE)</f>
        <v>Branca</v>
      </c>
      <c r="W54" s="6" t="str">
        <f>VLOOKUP(B54,[2]Planilha1!$A:$B,2,FALSE)</f>
        <v>Viúvo</v>
      </c>
      <c r="X54" s="6" t="str">
        <f>VLOOKUP(B54,[2]Planilha1!$A:$R,15,FALSE)</f>
        <v>303477404</v>
      </c>
      <c r="Y54" s="6" t="s">
        <v>32</v>
      </c>
      <c r="Z54" s="6" t="s">
        <v>31</v>
      </c>
    </row>
    <row r="55" spans="1:26" x14ac:dyDescent="0.25">
      <c r="A55" s="19"/>
      <c r="B55" s="10" t="s">
        <v>160</v>
      </c>
      <c r="C55" s="11" t="str">
        <f>VLOOKUP(B55,[1]Sheet1!$A:$C,3,FALSE)</f>
        <v>danielasdias@bol.com.br</v>
      </c>
      <c r="D55" s="12" t="str">
        <f>VLOOKUP(B55,[2]Planilha1!$A:$R,10,FALSE)</f>
        <v>942809317</v>
      </c>
      <c r="E55" s="12" t="s">
        <v>34</v>
      </c>
      <c r="F55" s="12" t="s">
        <v>41</v>
      </c>
      <c r="G55" s="12" t="s">
        <v>28</v>
      </c>
      <c r="H55" s="12" t="s">
        <v>161</v>
      </c>
      <c r="I55" s="19"/>
      <c r="J55" s="20" t="s">
        <v>50</v>
      </c>
      <c r="K55" s="15">
        <f>VLOOKUP(B55,[2]Planilha1!$A:$N,14,FALSE)</f>
        <v>28877</v>
      </c>
      <c r="L55" s="12" t="str">
        <f>VLOOKUP(B55,[2]Planilha1!$A:$R,16,FALSE)</f>
        <v>SP</v>
      </c>
      <c r="M55" s="12" t="str">
        <f>VLOOKUP(B55,[2]Planilha1!$A:$R,18,FALSE)</f>
        <v>SANTOS</v>
      </c>
      <c r="N55" s="12" t="s">
        <v>30</v>
      </c>
      <c r="O55" s="12" t="str">
        <f>VLOOKUP(B55,[2]Planilha1!$A:$R,9,FALSE)</f>
        <v>11345-045</v>
      </c>
      <c r="P55" s="12" t="str">
        <f>VLOOKUP(B55,[2]Planilha1!$A:$C,3,FALSE)</f>
        <v>R IRMA MARIA ALBERTA</v>
      </c>
      <c r="Q55" s="12" t="str">
        <f>VLOOKUP(B55,[2]Planilha1!$A:$G,7,FALSE)</f>
        <v>105</v>
      </c>
      <c r="R55" s="12" t="str">
        <f>VLOOKUP(B55,[2]Planilha1!$A:$H,8,FALSE)</f>
        <v>BLOCO 4 APARTAMENTO 405</v>
      </c>
      <c r="S55" s="12" t="str">
        <f>VLOOKUP(B55,[2]Planilha1!$A:$D,4,FALSE)</f>
        <v>Samarita</v>
      </c>
      <c r="T55" s="12" t="str">
        <f>VLOOKUP(B55,[2]Planilha1!$A:$E,5,FALSE)</f>
        <v>SAO VICENTE</v>
      </c>
      <c r="U55" s="12" t="s">
        <v>31</v>
      </c>
      <c r="V55" s="12" t="str">
        <f>VLOOKUP(B55,[2]Planilha1!$A:$R,13,FALSE)</f>
        <v>Parda</v>
      </c>
      <c r="W55" s="12" t="str">
        <f>VLOOKUP(B55,[2]Planilha1!$A:$B,2,FALSE)</f>
        <v>Solteiro</v>
      </c>
      <c r="X55" s="12" t="str">
        <f>VLOOKUP(B55,[2]Planilha1!$A:$R,15,FALSE)</f>
        <v>295017648</v>
      </c>
      <c r="Y55" s="12" t="s">
        <v>32</v>
      </c>
      <c r="Z55" s="12" t="s">
        <v>31</v>
      </c>
    </row>
    <row r="56" spans="1:26" x14ac:dyDescent="0.25">
      <c r="A56" s="3">
        <v>238056</v>
      </c>
      <c r="B56" s="4" t="s">
        <v>162</v>
      </c>
      <c r="C56" s="5" t="str">
        <f>VLOOKUP(B56,[1]Sheet1!$A:$C,3,FALSE)</f>
        <v>daniela.190582@gmail.com</v>
      </c>
      <c r="D56" s="6" t="str">
        <f>VLOOKUP(B56,[2]Planilha1!$A:$R,10,FALSE)</f>
        <v/>
      </c>
      <c r="E56" s="6" t="s">
        <v>34</v>
      </c>
      <c r="F56" s="6" t="s">
        <v>66</v>
      </c>
      <c r="G56" s="6" t="s">
        <v>28</v>
      </c>
      <c r="H56" s="6" t="s">
        <v>163</v>
      </c>
      <c r="I56" s="3">
        <v>238056</v>
      </c>
      <c r="J56" s="7"/>
      <c r="K56" s="8">
        <f>VLOOKUP(B56,[2]Planilha1!$A:$N,14,FALSE)</f>
        <v>30090</v>
      </c>
      <c r="L56" s="6" t="str">
        <f>VLOOKUP(B56,[2]Planilha1!$A:$R,16,FALSE)</f>
        <v>SP</v>
      </c>
      <c r="M56" s="6" t="str">
        <f>VLOOKUP(B56,[2]Planilha1!$A:$R,18,FALSE)</f>
        <v>SAO VICENTE</v>
      </c>
      <c r="N56" s="6" t="s">
        <v>30</v>
      </c>
      <c r="O56" s="6" t="str">
        <f>VLOOKUP(B56,[2]Planilha1!$A:$R,9,FALSE)</f>
        <v>11335-370</v>
      </c>
      <c r="P56" s="6" t="str">
        <f>VLOOKUP(B56,[2]Planilha1!$A:$C,3,FALSE)</f>
        <v>R Francisco Maciel dos Santos</v>
      </c>
      <c r="Q56" s="6" t="str">
        <f>VLOOKUP(B56,[2]Planilha1!$A:$G,7,FALSE)</f>
        <v>16</v>
      </c>
      <c r="R56" s="6" t="str">
        <f>VLOOKUP(B56,[2]Planilha1!$A:$H,8,FALSE)</f>
        <v/>
      </c>
      <c r="S56" s="6" t="str">
        <f>VLOOKUP(B56,[2]Planilha1!$A:$D,4,FALSE)</f>
        <v>Vila Mateo Bei</v>
      </c>
      <c r="T56" s="6" t="str">
        <f>VLOOKUP(B56,[2]Planilha1!$A:$E,5,FALSE)</f>
        <v>SAO VICENTE</v>
      </c>
      <c r="U56" s="6" t="s">
        <v>31</v>
      </c>
      <c r="V56" s="6" t="str">
        <f>VLOOKUP(B56,[2]Planilha1!$A:$R,13,FALSE)</f>
        <v>Parda</v>
      </c>
      <c r="W56" s="6" t="str">
        <f>VLOOKUP(B56,[2]Planilha1!$A:$B,2,FALSE)</f>
        <v>Solteiro</v>
      </c>
      <c r="X56" s="6" t="str">
        <f>VLOOKUP(B56,[2]Planilha1!$A:$R,15,FALSE)</f>
        <v>350435741</v>
      </c>
      <c r="Y56" s="6" t="s">
        <v>32</v>
      </c>
      <c r="Z56" s="6" t="s">
        <v>31</v>
      </c>
    </row>
    <row r="57" spans="1:26" x14ac:dyDescent="0.25">
      <c r="A57" s="3">
        <v>236104</v>
      </c>
      <c r="B57" s="4" t="s">
        <v>164</v>
      </c>
      <c r="C57" s="5" t="str">
        <f>VLOOKUP(B57,[1]Sheet1!$A:$C,3,FALSE)</f>
        <v>albertooliveira.carlos12@gmail.com</v>
      </c>
      <c r="D57" s="6" t="str">
        <f>VLOOKUP(B57,[2]Planilha1!$A:$R,10,FALSE)</f>
        <v>982084548</v>
      </c>
      <c r="E57" s="6" t="s">
        <v>26</v>
      </c>
      <c r="F57" s="6" t="s">
        <v>35</v>
      </c>
      <c r="G57" s="6" t="s">
        <v>28</v>
      </c>
      <c r="H57" s="6" t="s">
        <v>165</v>
      </c>
      <c r="I57" s="3">
        <v>236104</v>
      </c>
      <c r="J57" s="7"/>
      <c r="K57" s="8">
        <f>VLOOKUP(B57,[2]Planilha1!$A:$N,14,FALSE)</f>
        <v>29476</v>
      </c>
      <c r="L57" s="6" t="str">
        <f>VLOOKUP(B57,[2]Planilha1!$A:$R,16,FALSE)</f>
        <v>SP</v>
      </c>
      <c r="M57" s="6" t="str">
        <f>VLOOKUP(B57,[2]Planilha1!$A:$R,18,FALSE)</f>
        <v>SANTOS</v>
      </c>
      <c r="N57" s="6" t="s">
        <v>30</v>
      </c>
      <c r="O57" s="6" t="str">
        <f>VLOOKUP(B57,[2]Planilha1!$A:$R,9,FALSE)</f>
        <v>11340-290</v>
      </c>
      <c r="P57" s="6" t="str">
        <f>VLOOKUP(B57,[2]Planilha1!$A:$C,3,FALSE)</f>
        <v>R SEBASTIAO PAES DE ALCANTARA</v>
      </c>
      <c r="Q57" s="6" t="str">
        <f>VLOOKUP(B57,[2]Planilha1!$A:$G,7,FALSE)</f>
        <v>28</v>
      </c>
      <c r="R57" s="6" t="str">
        <f>VLOOKUP(B57,[2]Planilha1!$A:$H,8,FALSE)</f>
        <v>CASA</v>
      </c>
      <c r="S57" s="6" t="str">
        <f>VLOOKUP(B57,[2]Planilha1!$A:$D,4,FALSE)</f>
        <v>Esplanada dos Barrei</v>
      </c>
      <c r="T57" s="6" t="str">
        <f>VLOOKUP(B57,[2]Planilha1!$A:$E,5,FALSE)</f>
        <v>SAO VICENTE</v>
      </c>
      <c r="U57" s="6" t="s">
        <v>31</v>
      </c>
      <c r="V57" s="6" t="str">
        <f>VLOOKUP(B57,[2]Planilha1!$A:$R,13,FALSE)</f>
        <v>Parda</v>
      </c>
      <c r="W57" s="6" t="str">
        <f>VLOOKUP(B57,[2]Planilha1!$A:$B,2,FALSE)</f>
        <v>Casado</v>
      </c>
      <c r="X57" s="6" t="str">
        <f>VLOOKUP(B57,[2]Planilha1!$A:$R,15,FALSE)</f>
        <v>270327551</v>
      </c>
      <c r="Y57" s="6" t="s">
        <v>32</v>
      </c>
      <c r="Z57" s="6" t="s">
        <v>31</v>
      </c>
    </row>
    <row r="58" spans="1:26" x14ac:dyDescent="0.25">
      <c r="A58" s="19"/>
      <c r="B58" s="10" t="s">
        <v>166</v>
      </c>
      <c r="C58" s="11" t="str">
        <f>VLOOKUP(B58,[1]Sheet1!$A:$C,3,FALSE)</f>
        <v>cuidaresalvar@hotmail.com</v>
      </c>
      <c r="D58" s="12" t="str">
        <f>VLOOKUP(B58,[2]Planilha1!$A:$R,10,FALSE)</f>
        <v>991889076</v>
      </c>
      <c r="E58" s="12" t="s">
        <v>26</v>
      </c>
      <c r="F58" s="12" t="s">
        <v>167</v>
      </c>
      <c r="G58" s="12" t="s">
        <v>28</v>
      </c>
      <c r="H58" s="12" t="s">
        <v>168</v>
      </c>
      <c r="I58" s="19"/>
      <c r="J58" s="20" t="s">
        <v>50</v>
      </c>
      <c r="K58" s="15">
        <f>VLOOKUP(B58,[2]Planilha1!$A:$N,14,FALSE)</f>
        <v>29285</v>
      </c>
      <c r="L58" s="12" t="str">
        <f>VLOOKUP(B58,[2]Planilha1!$A:$R,16,FALSE)</f>
        <v>SP</v>
      </c>
      <c r="M58" s="12" t="str">
        <f>VLOOKUP(B58,[2]Planilha1!$A:$R,18,FALSE)</f>
        <v>SANTOS</v>
      </c>
      <c r="N58" s="12" t="s">
        <v>30</v>
      </c>
      <c r="O58" s="12" t="str">
        <f>VLOOKUP(B58,[2]Planilha1!$A:$R,9,FALSE)</f>
        <v>11460-230</v>
      </c>
      <c r="P58" s="12" t="str">
        <f>VLOOKUP(B58,[2]Planilha1!$A:$C,3,FALSE)</f>
        <v>R Bertioga</v>
      </c>
      <c r="Q58" s="12" t="str">
        <f>VLOOKUP(B58,[2]Planilha1!$A:$G,7,FALSE)</f>
        <v>104</v>
      </c>
      <c r="R58" s="12" t="str">
        <f>VLOOKUP(B58,[2]Planilha1!$A:$H,8,FALSE)</f>
        <v>casa 3</v>
      </c>
      <c r="S58" s="12" t="str">
        <f>VLOOKUP(B58,[2]Planilha1!$A:$D,4,FALSE)</f>
        <v>Sítio Paecara (Vicen</v>
      </c>
      <c r="T58" s="12" t="str">
        <f>VLOOKUP(B58,[2]Planilha1!$A:$E,5,FALSE)</f>
        <v>GUARUJA</v>
      </c>
      <c r="U58" s="12" t="s">
        <v>31</v>
      </c>
      <c r="V58" s="12" t="str">
        <f>VLOOKUP(B58,[2]Planilha1!$A:$R,13,FALSE)</f>
        <v>Parda</v>
      </c>
      <c r="W58" s="12" t="str">
        <f>VLOOKUP(B58,[2]Planilha1!$A:$B,2,FALSE)</f>
        <v>Casado</v>
      </c>
      <c r="X58" s="12" t="str">
        <f>VLOOKUP(B58,[2]Planilha1!$A:$R,15,FALSE)</f>
        <v>27006331</v>
      </c>
      <c r="Y58" s="12" t="s">
        <v>32</v>
      </c>
      <c r="Z58" s="12" t="s">
        <v>31</v>
      </c>
    </row>
    <row r="59" spans="1:26" x14ac:dyDescent="0.25">
      <c r="A59" s="16">
        <v>237947</v>
      </c>
      <c r="B59" s="4" t="s">
        <v>169</v>
      </c>
      <c r="C59" s="5" t="str">
        <f>VLOOKUP(B59,[1]Sheet1!$A:$C,3,FALSE)</f>
        <v>adrianosl_silva@hotmail.com</v>
      </c>
      <c r="D59" s="6" t="str">
        <f>VLOOKUP(B59,[2]Planilha1!$A:$R,10,FALSE)</f>
        <v/>
      </c>
      <c r="E59" s="6" t="s">
        <v>26</v>
      </c>
      <c r="F59" s="6" t="s">
        <v>41</v>
      </c>
      <c r="G59" s="6" t="s">
        <v>28</v>
      </c>
      <c r="H59" s="6" t="s">
        <v>170</v>
      </c>
      <c r="I59" s="16">
        <v>237947</v>
      </c>
      <c r="J59" s="7"/>
      <c r="K59" s="8">
        <f>VLOOKUP(B59,[2]Planilha1!$A:$N,14,FALSE)</f>
        <v>30032</v>
      </c>
      <c r="L59" s="6" t="str">
        <f>VLOOKUP(B59,[2]Planilha1!$A:$R,16,FALSE)</f>
        <v>SP</v>
      </c>
      <c r="M59" s="6" t="str">
        <f>VLOOKUP(B59,[2]Planilha1!$A:$R,18,FALSE)</f>
        <v>GUARUJA</v>
      </c>
      <c r="N59" s="6" t="s">
        <v>30</v>
      </c>
      <c r="O59" s="6" t="str">
        <f>VLOOKUP(B59,[2]Planilha1!$A:$R,9,FALSE)</f>
        <v>11330-750</v>
      </c>
      <c r="P59" s="6" t="str">
        <f>VLOOKUP(B59,[2]Planilha1!$A:$C,3,FALSE)</f>
        <v>AV  BRASIL</v>
      </c>
      <c r="Q59" s="6" t="str">
        <f>VLOOKUP(B59,[2]Planilha1!$A:$G,7,FALSE)</f>
        <v>279</v>
      </c>
      <c r="R59" s="6" t="str">
        <f>VLOOKUP(B59,[2]Planilha1!$A:$H,8,FALSE)</f>
        <v/>
      </c>
      <c r="S59" s="6" t="str">
        <f>VLOOKUP(B59,[2]Planilha1!$A:$D,4,FALSE)</f>
        <v>Vila Margarida</v>
      </c>
      <c r="T59" s="6" t="str">
        <f>VLOOKUP(B59,[2]Planilha1!$A:$E,5,FALSE)</f>
        <v>SAO VICENTE</v>
      </c>
      <c r="U59" s="6" t="s">
        <v>31</v>
      </c>
      <c r="V59" s="6" t="str">
        <f>VLOOKUP(B59,[2]Planilha1!$A:$R,13,FALSE)</f>
        <v>Parda</v>
      </c>
      <c r="W59" s="6" t="str">
        <f>VLOOKUP(B59,[2]Planilha1!$A:$B,2,FALSE)</f>
        <v>Casado</v>
      </c>
      <c r="X59" s="6" t="str">
        <f>VLOOKUP(B59,[2]Planilha1!$A:$R,15,FALSE)</f>
        <v>339741405</v>
      </c>
      <c r="Y59" s="6" t="s">
        <v>32</v>
      </c>
      <c r="Z59" s="6" t="s">
        <v>31</v>
      </c>
    </row>
    <row r="60" spans="1:26" x14ac:dyDescent="0.25">
      <c r="A60" s="3">
        <v>237951</v>
      </c>
      <c r="B60" s="4" t="s">
        <v>171</v>
      </c>
      <c r="C60" s="5" t="str">
        <f>VLOOKUP(B60,[1]Sheet1!$A:$C,3,FALSE)</f>
        <v>marciomendes.21@hotmail.com</v>
      </c>
      <c r="D60" s="6" t="str">
        <f>VLOOKUP(B60,[2]Planilha1!$A:$R,10,FALSE)</f>
        <v>992107748</v>
      </c>
      <c r="E60" s="6" t="s">
        <v>26</v>
      </c>
      <c r="F60" s="6" t="s">
        <v>114</v>
      </c>
      <c r="G60" s="6" t="s">
        <v>28</v>
      </c>
      <c r="H60" s="6" t="s">
        <v>172</v>
      </c>
      <c r="I60" s="3">
        <v>237951</v>
      </c>
      <c r="J60" s="7"/>
      <c r="K60" s="8">
        <f>VLOOKUP(B60,[2]Planilha1!$A:$N,14,FALSE)</f>
        <v>28835</v>
      </c>
      <c r="L60" s="6" t="str">
        <f>VLOOKUP(B60,[2]Planilha1!$A:$R,16,FALSE)</f>
        <v>SP</v>
      </c>
      <c r="M60" s="6" t="str">
        <f>VLOOKUP(B60,[2]Planilha1!$A:$R,18,FALSE)</f>
        <v>SAO VICENTE</v>
      </c>
      <c r="N60" s="6" t="s">
        <v>30</v>
      </c>
      <c r="O60" s="6" t="str">
        <f>VLOOKUP(B60,[2]Planilha1!$A:$R,9,FALSE)</f>
        <v>11365-010</v>
      </c>
      <c r="P60" s="6" t="str">
        <f>VLOOKUP(B60,[2]Planilha1!$A:$C,3,FALSE)</f>
        <v>R MACHADO DE ASSIS</v>
      </c>
      <c r="Q60" s="6" t="str">
        <f>VLOOKUP(B60,[2]Planilha1!$A:$G,7,FALSE)</f>
        <v>444</v>
      </c>
      <c r="R60" s="6" t="str">
        <f>VLOOKUP(B60,[2]Planilha1!$A:$H,8,FALSE)</f>
        <v>FUNDOS</v>
      </c>
      <c r="S60" s="6" t="str">
        <f>VLOOKUP(B60,[2]Planilha1!$A:$D,4,FALSE)</f>
        <v>Parque Sao Vicente</v>
      </c>
      <c r="T60" s="6" t="str">
        <f>VLOOKUP(B60,[2]Planilha1!$A:$E,5,FALSE)</f>
        <v>SAO VICENTE</v>
      </c>
      <c r="U60" s="6" t="s">
        <v>31</v>
      </c>
      <c r="V60" s="6" t="str">
        <f>VLOOKUP(B60,[2]Planilha1!$A:$R,13,FALSE)</f>
        <v>Parda</v>
      </c>
      <c r="W60" s="6" t="str">
        <f>VLOOKUP(B60,[2]Planilha1!$A:$B,2,FALSE)</f>
        <v>Casado</v>
      </c>
      <c r="X60" s="6" t="str">
        <f>VLOOKUP(B60,[2]Planilha1!$A:$R,15,FALSE)</f>
        <v>301799362</v>
      </c>
      <c r="Y60" s="6" t="s">
        <v>32</v>
      </c>
      <c r="Z60" s="6" t="s">
        <v>31</v>
      </c>
    </row>
    <row r="61" spans="1:26" x14ac:dyDescent="0.25">
      <c r="A61" s="3">
        <v>237905</v>
      </c>
      <c r="B61" s="4" t="s">
        <v>173</v>
      </c>
      <c r="C61" s="5" t="str">
        <f>VLOOKUP(B61,[1]Sheet1!$A:$C,3,FALSE)</f>
        <v xml:space="preserve">fabioolsilva2@gmail.com </v>
      </c>
      <c r="D61" s="6" t="str">
        <f>VLOOKUP(B61,[2]Planilha1!$A:$R,10,FALSE)</f>
        <v>981146255</v>
      </c>
      <c r="E61" s="6" t="s">
        <v>26</v>
      </c>
      <c r="F61" s="6" t="s">
        <v>174</v>
      </c>
      <c r="G61" s="6" t="s">
        <v>28</v>
      </c>
      <c r="H61" s="6" t="s">
        <v>175</v>
      </c>
      <c r="I61" s="3">
        <v>237905</v>
      </c>
      <c r="J61" s="7"/>
      <c r="K61" s="8">
        <f>VLOOKUP(B61,[2]Planilha1!$A:$N,14,FALSE)</f>
        <v>29671</v>
      </c>
      <c r="L61" s="6" t="str">
        <f>VLOOKUP(B61,[2]Planilha1!$A:$R,16,FALSE)</f>
        <v>SP</v>
      </c>
      <c r="M61" s="6" t="str">
        <f>VLOOKUP(B61,[2]Planilha1!$A:$R,18,FALSE)</f>
        <v>SANTOS</v>
      </c>
      <c r="N61" s="6" t="s">
        <v>30</v>
      </c>
      <c r="O61" s="6" t="str">
        <f>VLOOKUP(B61,[2]Planilha1!$A:$R,9,FALSE)</f>
        <v>11085-691</v>
      </c>
      <c r="P61" s="6" t="str">
        <f>VLOOKUP(B61,[2]Planilha1!$A:$C,3,FALSE)</f>
        <v>AV Eleonor Roosevelt</v>
      </c>
      <c r="Q61" s="6" t="str">
        <f>VLOOKUP(B61,[2]Planilha1!$A:$G,7,FALSE)</f>
        <v>313</v>
      </c>
      <c r="R61" s="6" t="str">
        <f>VLOOKUP(B61,[2]Planilha1!$A:$H,8,FALSE)</f>
        <v/>
      </c>
      <c r="S61" s="6" t="str">
        <f>VLOOKUP(B61,[2]Planilha1!$A:$D,4,FALSE)</f>
        <v>São Jorge</v>
      </c>
      <c r="T61" s="6" t="str">
        <f>VLOOKUP(B61,[2]Planilha1!$A:$E,5,FALSE)</f>
        <v>SANTOS</v>
      </c>
      <c r="U61" s="6" t="s">
        <v>31</v>
      </c>
      <c r="V61" s="6" t="str">
        <f>VLOOKUP(B61,[2]Planilha1!$A:$R,13,FALSE)</f>
        <v>Parda</v>
      </c>
      <c r="W61" s="6" t="str">
        <f>VLOOKUP(B61,[2]Planilha1!$A:$B,2,FALSE)</f>
        <v>Casado</v>
      </c>
      <c r="X61" s="6" t="str">
        <f>VLOOKUP(B61,[2]Planilha1!$A:$R,15,FALSE)</f>
        <v>339309271</v>
      </c>
      <c r="Y61" s="6" t="s">
        <v>32</v>
      </c>
      <c r="Z61" s="6" t="s">
        <v>31</v>
      </c>
    </row>
    <row r="62" spans="1:26" x14ac:dyDescent="0.25">
      <c r="A62" s="16">
        <v>135952</v>
      </c>
      <c r="B62" s="4" t="s">
        <v>176</v>
      </c>
      <c r="C62" s="5" t="str">
        <f>VLOOKUP(B62,[1]Sheet1!$A:$C,3,FALSE)</f>
        <v>sandradapaixao@hotmail.com</v>
      </c>
      <c r="D62" s="6" t="str">
        <f>VLOOKUP(B62,[2]Planilha1!$A:$R,10,FALSE)</f>
        <v>981177977</v>
      </c>
      <c r="E62" s="6" t="s">
        <v>34</v>
      </c>
      <c r="F62" s="6" t="s">
        <v>41</v>
      </c>
      <c r="G62" s="6" t="s">
        <v>28</v>
      </c>
      <c r="H62" s="6" t="s">
        <v>177</v>
      </c>
      <c r="I62" s="16">
        <v>135952</v>
      </c>
      <c r="J62" s="7"/>
      <c r="K62" s="8">
        <f>VLOOKUP(B62,[2]Planilha1!$A:$N,14,FALSE)</f>
        <v>30251</v>
      </c>
      <c r="L62" s="6" t="str">
        <f>VLOOKUP(B62,[2]Planilha1!$A:$R,16,FALSE)</f>
        <v>SP</v>
      </c>
      <c r="M62" s="6" t="str">
        <f>VLOOKUP(B62,[2]Planilha1!$A:$R,18,FALSE)</f>
        <v>SANTOS</v>
      </c>
      <c r="N62" s="6" t="s">
        <v>30</v>
      </c>
      <c r="O62" s="6" t="str">
        <f>VLOOKUP(B62,[2]Planilha1!$A:$R,9,FALSE)</f>
        <v>11088-050</v>
      </c>
      <c r="P62" s="6" t="str">
        <f>VLOOKUP(B62,[2]Planilha1!$A:$C,3,FALSE)</f>
        <v>R Luiz Alves</v>
      </c>
      <c r="Q62" s="6" t="str">
        <f>VLOOKUP(B62,[2]Planilha1!$A:$G,7,FALSE)</f>
        <v>40</v>
      </c>
      <c r="R62" s="6" t="str">
        <f>VLOOKUP(B62,[2]Planilha1!$A:$H,8,FALSE)</f>
        <v/>
      </c>
      <c r="S62" s="6" t="str">
        <f>VLOOKUP(B62,[2]Planilha1!$A:$D,4,FALSE)</f>
        <v>Castelo</v>
      </c>
      <c r="T62" s="6" t="str">
        <f>VLOOKUP(B62,[2]Planilha1!$A:$E,5,FALSE)</f>
        <v>SANTOS</v>
      </c>
      <c r="U62" s="6" t="s">
        <v>31</v>
      </c>
      <c r="V62" s="6" t="str">
        <f>VLOOKUP(B62,[2]Planilha1!$A:$R,13,FALSE)</f>
        <v>Parda</v>
      </c>
      <c r="W62" s="6" t="str">
        <f>VLOOKUP(B62,[2]Planilha1!$A:$B,2,FALSE)</f>
        <v>Solteiro</v>
      </c>
      <c r="X62" s="6" t="str">
        <f>VLOOKUP(B62,[2]Planilha1!$A:$R,15,FALSE)</f>
        <v>401977407</v>
      </c>
      <c r="Y62" s="6" t="s">
        <v>32</v>
      </c>
      <c r="Z62" s="6" t="s">
        <v>31</v>
      </c>
    </row>
    <row r="63" spans="1:26" x14ac:dyDescent="0.25">
      <c r="A63" s="3">
        <v>238052</v>
      </c>
      <c r="B63" s="4" t="s">
        <v>178</v>
      </c>
      <c r="C63" s="5" t="str">
        <f>VLOOKUP(B63,[1]Sheet1!$A:$C,3,FALSE)</f>
        <v>Anderson_lima_00@hotmail.com</v>
      </c>
      <c r="D63" s="6" t="str">
        <f>VLOOKUP(B63,[2]Planilha1!$A:$R,10,FALSE)</f>
        <v>988125890</v>
      </c>
      <c r="E63" s="6" t="s">
        <v>26</v>
      </c>
      <c r="F63" s="6" t="s">
        <v>63</v>
      </c>
      <c r="G63" s="6" t="s">
        <v>28</v>
      </c>
      <c r="H63" s="6" t="s">
        <v>179</v>
      </c>
      <c r="I63" s="3">
        <v>238052</v>
      </c>
      <c r="J63" s="7"/>
      <c r="K63" s="8">
        <f>VLOOKUP(B63,[2]Planilha1!$A:$N,14,FALSE)</f>
        <v>29862</v>
      </c>
      <c r="L63" s="6" t="str">
        <f>VLOOKUP(B63,[2]Planilha1!$A:$R,16,FALSE)</f>
        <v>SP</v>
      </c>
      <c r="M63" s="6" t="str">
        <f>VLOOKUP(B63,[2]Planilha1!$A:$R,18,FALSE)</f>
        <v>SANTOS</v>
      </c>
      <c r="N63" s="6" t="s">
        <v>30</v>
      </c>
      <c r="O63" s="6" t="str">
        <f>VLOOKUP(B63,[2]Planilha1!$A:$R,9,FALSE)</f>
        <v>11370-001</v>
      </c>
      <c r="P63" s="6" t="str">
        <f>VLOOKUP(B63,[2]Planilha1!$A:$C,3,FALSE)</f>
        <v>AV ANTONIO EMMERICK</v>
      </c>
      <c r="Q63" s="6" t="str">
        <f>VLOOKUP(B63,[2]Planilha1!$A:$G,7,FALSE)</f>
        <v>651</v>
      </c>
      <c r="R63" s="6" t="str">
        <f>VLOOKUP(B63,[2]Planilha1!$A:$H,8,FALSE)</f>
        <v>AP 28</v>
      </c>
      <c r="S63" s="6" t="str">
        <f>VLOOKUP(B63,[2]Planilha1!$A:$D,4,FALSE)</f>
        <v>Jardim Guassu</v>
      </c>
      <c r="T63" s="6" t="str">
        <f>VLOOKUP(B63,[2]Planilha1!$A:$E,5,FALSE)</f>
        <v>SAO VICENTE</v>
      </c>
      <c r="U63" s="6" t="s">
        <v>31</v>
      </c>
      <c r="V63" s="6" t="str">
        <f>VLOOKUP(B63,[2]Planilha1!$A:$R,13,FALSE)</f>
        <v>Parda</v>
      </c>
      <c r="W63" s="6" t="str">
        <f>VLOOKUP(B63,[2]Planilha1!$A:$B,2,FALSE)</f>
        <v>Solteiro</v>
      </c>
      <c r="X63" s="6" t="str">
        <f>VLOOKUP(B63,[2]Planilha1!$A:$R,15,FALSE)</f>
        <v>417486789</v>
      </c>
      <c r="Y63" s="6" t="s">
        <v>32</v>
      </c>
      <c r="Z63" s="6" t="s">
        <v>31</v>
      </c>
    </row>
    <row r="64" spans="1:26" x14ac:dyDescent="0.25">
      <c r="A64" s="3">
        <v>237924</v>
      </c>
      <c r="B64" s="4" t="s">
        <v>180</v>
      </c>
      <c r="C64" s="5" t="str">
        <f>VLOOKUP(B64,[1]Sheet1!$A:$C,3,FALSE)</f>
        <v>rafadias1982@yahoo.com.br</v>
      </c>
      <c r="D64" s="6" t="str">
        <f>VLOOKUP(B64,[2]Planilha1!$A:$R,10,FALSE)</f>
        <v/>
      </c>
      <c r="E64" s="6" t="s">
        <v>26</v>
      </c>
      <c r="F64" s="6" t="s">
        <v>95</v>
      </c>
      <c r="G64" s="6" t="s">
        <v>28</v>
      </c>
      <c r="H64" s="6" t="s">
        <v>181</v>
      </c>
      <c r="I64" s="3">
        <v>237924</v>
      </c>
      <c r="J64" s="7"/>
      <c r="K64" s="8">
        <f>VLOOKUP(B64,[2]Planilha1!$A:$N,14,FALSE)</f>
        <v>30109</v>
      </c>
      <c r="L64" s="6" t="str">
        <f>VLOOKUP(B64,[2]Planilha1!$A:$R,16,FALSE)</f>
        <v>SP</v>
      </c>
      <c r="M64" s="6" t="str">
        <f>VLOOKUP(B64,[2]Planilha1!$A:$R,18,FALSE)</f>
        <v>SANTOS</v>
      </c>
      <c r="N64" s="6" t="s">
        <v>30</v>
      </c>
      <c r="O64" s="6" t="str">
        <f>VLOOKUP(B64,[2]Planilha1!$A:$R,9,FALSE)</f>
        <v>11461-000</v>
      </c>
      <c r="P64" s="6" t="str">
        <f>VLOOKUP(B64,[2]Planilha1!$A:$C,3,FALSE)</f>
        <v>R K</v>
      </c>
      <c r="Q64" s="6" t="str">
        <f>VLOOKUP(B64,[2]Planilha1!$A:$G,7,FALSE)</f>
        <v>25</v>
      </c>
      <c r="R64" s="6" t="str">
        <f>VLOOKUP(B64,[2]Planilha1!$A:$H,8,FALSE)</f>
        <v>Casas Populares</v>
      </c>
      <c r="S64" s="6" t="str">
        <f>VLOOKUP(B64,[2]Planilha1!$A:$D,4,FALSE)</f>
        <v>Sítio Paecara (Vicente de Carvalho)</v>
      </c>
      <c r="T64" s="6" t="str">
        <f>VLOOKUP(B64,[2]Planilha1!$A:$E,5,FALSE)</f>
        <v>GUARUJA</v>
      </c>
      <c r="U64" s="6" t="s">
        <v>31</v>
      </c>
      <c r="V64" s="6" t="str">
        <f>VLOOKUP(B64,[2]Planilha1!$A:$R,13,FALSE)</f>
        <v>Branca</v>
      </c>
      <c r="W64" s="6" t="str">
        <f>VLOOKUP(B64,[2]Planilha1!$A:$B,2,FALSE)</f>
        <v>Casado</v>
      </c>
      <c r="X64" s="6" t="str">
        <f>VLOOKUP(B64,[2]Planilha1!$A:$R,15,FALSE)</f>
        <v>290101487</v>
      </c>
      <c r="Y64" s="6" t="s">
        <v>32</v>
      </c>
      <c r="Z64" s="6" t="s">
        <v>31</v>
      </c>
    </row>
    <row r="65" spans="1:26" x14ac:dyDescent="0.25">
      <c r="A65" s="3">
        <v>237913</v>
      </c>
      <c r="B65" s="4" t="s">
        <v>182</v>
      </c>
      <c r="C65" s="5" t="str">
        <f>VLOOKUP(B65,[1]Sheet1!$A:$C,3,FALSE)</f>
        <v>thiago.asn@hotmail.com</v>
      </c>
      <c r="D65" s="6" t="str">
        <f>VLOOKUP(B65,[2]Planilha1!$A:$R,10,FALSE)</f>
        <v>33851810</v>
      </c>
      <c r="E65" s="6" t="s">
        <v>26</v>
      </c>
      <c r="F65" s="6" t="s">
        <v>63</v>
      </c>
      <c r="G65" s="6" t="s">
        <v>28</v>
      </c>
      <c r="H65" s="6" t="s">
        <v>183</v>
      </c>
      <c r="I65" s="3">
        <v>237913</v>
      </c>
      <c r="J65" s="7"/>
      <c r="K65" s="8">
        <f>VLOOKUP(B65,[2]Planilha1!$A:$N,14,FALSE)</f>
        <v>30688</v>
      </c>
      <c r="L65" s="6" t="str">
        <f>VLOOKUP(B65,[2]Planilha1!$A:$R,16,FALSE)</f>
        <v>SP</v>
      </c>
      <c r="M65" s="6" t="str">
        <f>VLOOKUP(B65,[2]Planilha1!$A:$R,18,FALSE)</f>
        <v>SANTOS</v>
      </c>
      <c r="N65" s="6" t="s">
        <v>30</v>
      </c>
      <c r="O65" s="6" t="str">
        <f>VLOOKUP(B65,[2]Planilha1!$A:$R,9,FALSE)</f>
        <v>11086-400</v>
      </c>
      <c r="P65" s="6" t="str">
        <f>VLOOKUP(B65,[2]Planilha1!$A:$C,3,FALSE)</f>
        <v>R Engenheiro Manoel Ferramenta Júnior</v>
      </c>
      <c r="Q65" s="6" t="str">
        <f>VLOOKUP(B65,[2]Planilha1!$A:$G,7,FALSE)</f>
        <v>363</v>
      </c>
      <c r="R65" s="6" t="str">
        <f>VLOOKUP(B65,[2]Planilha1!$A:$H,8,FALSE)</f>
        <v>Ap 106 Bloco D</v>
      </c>
      <c r="S65" s="6" t="str">
        <f>VLOOKUP(B65,[2]Planilha1!$A:$D,4,FALSE)</f>
        <v>Areia Branca</v>
      </c>
      <c r="T65" s="6" t="str">
        <f>VLOOKUP(B65,[2]Planilha1!$A:$E,5,FALSE)</f>
        <v>SANTOS</v>
      </c>
      <c r="U65" s="6" t="s">
        <v>31</v>
      </c>
      <c r="V65" s="6" t="str">
        <f>VLOOKUP(B65,[2]Planilha1!$A:$R,13,FALSE)</f>
        <v>Branca</v>
      </c>
      <c r="W65" s="6" t="str">
        <f>VLOOKUP(B65,[2]Planilha1!$A:$B,2,FALSE)</f>
        <v>Solteiro</v>
      </c>
      <c r="X65" s="6" t="str">
        <f>VLOOKUP(B65,[2]Planilha1!$A:$R,15,FALSE)</f>
        <v>353949516</v>
      </c>
      <c r="Y65" s="6" t="s">
        <v>32</v>
      </c>
      <c r="Z65" s="6" t="s">
        <v>31</v>
      </c>
    </row>
    <row r="66" spans="1:26" x14ac:dyDescent="0.25">
      <c r="A66" s="3">
        <v>237935</v>
      </c>
      <c r="B66" s="4" t="s">
        <v>184</v>
      </c>
      <c r="C66" s="5" t="str">
        <f>VLOOKUP(B66,[1]Sheet1!$A:$C,3,FALSE)</f>
        <v>roger2116@hotmail.com</v>
      </c>
      <c r="D66" s="6" t="str">
        <f>VLOOKUP(B66,[2]Planilha1!$A:$R,10,FALSE)</f>
        <v>33513342</v>
      </c>
      <c r="E66" s="6" t="s">
        <v>26</v>
      </c>
      <c r="F66" s="6" t="s">
        <v>35</v>
      </c>
      <c r="G66" s="6" t="s">
        <v>28</v>
      </c>
      <c r="H66" s="6" t="s">
        <v>185</v>
      </c>
      <c r="I66" s="3">
        <v>237935</v>
      </c>
      <c r="J66" s="7"/>
      <c r="K66" s="8">
        <f>VLOOKUP(B66,[2]Planilha1!$A:$N,14,FALSE)</f>
        <v>30427</v>
      </c>
      <c r="L66" s="6" t="str">
        <f>VLOOKUP(B66,[2]Planilha1!$A:$R,16,FALSE)</f>
        <v>SP</v>
      </c>
      <c r="M66" s="6" t="str">
        <f>VLOOKUP(B66,[2]Planilha1!$A:$R,18,FALSE)</f>
        <v>JOAO PESSOA</v>
      </c>
      <c r="N66" s="6" t="s">
        <v>30</v>
      </c>
      <c r="O66" s="6" t="str">
        <f>VLOOKUP(B66,[2]Planilha1!$A:$R,9,FALSE)</f>
        <v>11440-260</v>
      </c>
      <c r="P66" s="6" t="str">
        <f>VLOOKUP(B66,[2]Planilha1!$A:$C,3,FALSE)</f>
        <v>R Cláudio dos Santos</v>
      </c>
      <c r="Q66" s="6" t="str">
        <f>VLOOKUP(B66,[2]Planilha1!$A:$G,7,FALSE)</f>
        <v>119</v>
      </c>
      <c r="R66" s="6" t="str">
        <f>VLOOKUP(B66,[2]Planilha1!$A:$H,8,FALSE)</f>
        <v>CASA 01</v>
      </c>
      <c r="S66" s="6" t="str">
        <f>VLOOKUP(B66,[2]Planilha1!$A:$D,4,FALSE)</f>
        <v>Jardim Três Marias</v>
      </c>
      <c r="T66" s="6" t="str">
        <f>VLOOKUP(B66,[2]Planilha1!$A:$E,5,FALSE)</f>
        <v>GUARUJA</v>
      </c>
      <c r="U66" s="6" t="s">
        <v>31</v>
      </c>
      <c r="V66" s="6" t="str">
        <f>VLOOKUP(B66,[2]Planilha1!$A:$R,13,FALSE)</f>
        <v>Parda</v>
      </c>
      <c r="W66" s="6" t="str">
        <f>VLOOKUP(B66,[2]Planilha1!$A:$B,2,FALSE)</f>
        <v>Casado</v>
      </c>
      <c r="X66" s="6" t="str">
        <f>VLOOKUP(B66,[2]Planilha1!$A:$R,15,FALSE)</f>
        <v>338766509</v>
      </c>
      <c r="Y66" s="6" t="s">
        <v>32</v>
      </c>
      <c r="Z66" s="6" t="s">
        <v>31</v>
      </c>
    </row>
    <row r="67" spans="1:26" x14ac:dyDescent="0.25">
      <c r="A67" s="3">
        <v>238010</v>
      </c>
      <c r="B67" s="4" t="s">
        <v>186</v>
      </c>
      <c r="C67" s="5" t="s">
        <v>187</v>
      </c>
      <c r="D67" s="6" t="str">
        <f>VLOOKUP(B67,[2]Planilha1!$A:$R,10,FALSE)</f>
        <v>974128068</v>
      </c>
      <c r="E67" s="6" t="s">
        <v>34</v>
      </c>
      <c r="F67" s="6" t="s">
        <v>41</v>
      </c>
      <c r="G67" s="6" t="s">
        <v>28</v>
      </c>
      <c r="H67" s="6" t="s">
        <v>188</v>
      </c>
      <c r="I67" s="3">
        <v>238010</v>
      </c>
      <c r="J67" s="7"/>
      <c r="K67" s="8">
        <f>VLOOKUP(B67,[2]Planilha1!$A:$N,14,FALSE)</f>
        <v>30860</v>
      </c>
      <c r="L67" s="6" t="str">
        <f>VLOOKUP(B67,[2]Planilha1!$A:$R,16,FALSE)</f>
        <v>SP</v>
      </c>
      <c r="M67" s="6" t="str">
        <f>VLOOKUP(B67,[2]Planilha1!$A:$R,18,FALSE)</f>
        <v>SANTOS</v>
      </c>
      <c r="N67" s="6" t="s">
        <v>30</v>
      </c>
      <c r="O67" s="6" t="str">
        <f>VLOOKUP(B67,[2]Planilha1!$A:$R,9,FALSE)</f>
        <v>03548-500</v>
      </c>
      <c r="P67" s="6" t="str">
        <f>VLOOKUP(B67,[2]Planilha1!$A:$C,3,FALSE)</f>
        <v>R DR JOAO CARLOS DE AZEVEDO</v>
      </c>
      <c r="Q67" s="6" t="str">
        <f>VLOOKUP(B67,[2]Planilha1!$A:$G,7,FALSE)</f>
        <v>48</v>
      </c>
      <c r="R67" s="6" t="str">
        <f>VLOOKUP(B67,[2]Planilha1!$A:$H,8,FALSE)</f>
        <v>BLOCO B AP 13</v>
      </c>
      <c r="S67" s="6" t="str">
        <f>VLOOKUP(B67,[2]Planilha1!$A:$D,4,FALSE)</f>
        <v>São Manoel</v>
      </c>
      <c r="T67" s="6" t="str">
        <f>VLOOKUP(B67,[2]Planilha1!$A:$E,5,FALSE)</f>
        <v>SANTOS</v>
      </c>
      <c r="U67" s="6" t="s">
        <v>31</v>
      </c>
      <c r="V67" s="6" t="str">
        <f>VLOOKUP(B67,[2]Planilha1!$A:$R,13,FALSE)</f>
        <v>Parda</v>
      </c>
      <c r="W67" s="6" t="str">
        <f>VLOOKUP(B67,[2]Planilha1!$A:$B,2,FALSE)</f>
        <v>União Estável</v>
      </c>
      <c r="X67" s="6" t="str">
        <f>VLOOKUP(B67,[2]Planilha1!$A:$R,15,FALSE)</f>
        <v>413094364</v>
      </c>
      <c r="Y67" s="6" t="s">
        <v>32</v>
      </c>
      <c r="Z67" s="6" t="s">
        <v>31</v>
      </c>
    </row>
    <row r="68" spans="1:26" x14ac:dyDescent="0.25">
      <c r="A68" s="3">
        <v>237887</v>
      </c>
      <c r="B68" s="4" t="s">
        <v>189</v>
      </c>
      <c r="C68" s="5" t="str">
        <f>VLOOKUP(B68,[1]Sheet1!$A:$C,3,FALSE)</f>
        <v>T.ORIVALDO@BTP.COM.BR</v>
      </c>
      <c r="D68" s="6" t="str">
        <f>VLOOKUP(B68,[2]Planilha1!$A:$R,10,FALSE)</f>
        <v>996765732</v>
      </c>
      <c r="E68" s="6" t="s">
        <v>26</v>
      </c>
      <c r="F68" s="6" t="s">
        <v>35</v>
      </c>
      <c r="G68" s="6" t="s">
        <v>28</v>
      </c>
      <c r="H68" s="6" t="s">
        <v>190</v>
      </c>
      <c r="I68" s="3">
        <v>237887</v>
      </c>
      <c r="J68" s="7"/>
      <c r="K68" s="8">
        <f>VLOOKUP(B68,[2]Planilha1!$A:$N,14,FALSE)</f>
        <v>30359</v>
      </c>
      <c r="L68" s="6" t="str">
        <f>VLOOKUP(B68,[2]Planilha1!$A:$R,16,FALSE)</f>
        <v>SP</v>
      </c>
      <c r="M68" s="6" t="str">
        <f>VLOOKUP(B68,[2]Planilha1!$A:$R,18,FALSE)</f>
        <v>GUARULHOS</v>
      </c>
      <c r="N68" s="6" t="s">
        <v>30</v>
      </c>
      <c r="O68" s="6" t="str">
        <f>VLOOKUP(B68,[2]Planilha1!$A:$R,9,FALSE)</f>
        <v>11720-140</v>
      </c>
      <c r="P68" s="6" t="str">
        <f>VLOOKUP(B68,[2]Planilha1!$A:$C,3,FALSE)</f>
        <v>R Silas Baltazar de Araújo</v>
      </c>
      <c r="Q68" s="6" t="str">
        <f>VLOOKUP(B68,[2]Planilha1!$A:$G,7,FALSE)</f>
        <v>327</v>
      </c>
      <c r="R68" s="6" t="str">
        <f>VLOOKUP(B68,[2]Planilha1!$A:$H,8,FALSE)</f>
        <v>Casa 5</v>
      </c>
      <c r="S68" s="6" t="str">
        <f>VLOOKUP(B68,[2]Planilha1!$A:$D,4,FALSE)</f>
        <v>Vila Antártica</v>
      </c>
      <c r="T68" s="6" t="str">
        <f>VLOOKUP(B68,[2]Planilha1!$A:$E,5,FALSE)</f>
        <v>PRAIA GRANDE</v>
      </c>
      <c r="U68" s="6" t="s">
        <v>31</v>
      </c>
      <c r="V68" s="6" t="str">
        <f>VLOOKUP(B68,[2]Planilha1!$A:$R,13,FALSE)</f>
        <v>Parda</v>
      </c>
      <c r="W68" s="6" t="str">
        <f>VLOOKUP(B68,[2]Planilha1!$A:$B,2,FALSE)</f>
        <v>União Estável</v>
      </c>
      <c r="X68" s="6" t="str">
        <f>VLOOKUP(B68,[2]Planilha1!$A:$R,15,FALSE)</f>
        <v>419441207</v>
      </c>
      <c r="Y68" s="6" t="s">
        <v>32</v>
      </c>
      <c r="Z68" s="6" t="s">
        <v>31</v>
      </c>
    </row>
    <row r="69" spans="1:26" x14ac:dyDescent="0.25">
      <c r="A69" s="3">
        <v>237831</v>
      </c>
      <c r="B69" s="4" t="s">
        <v>191</v>
      </c>
      <c r="C69" s="5" t="str">
        <f>VLOOKUP(B69,[1]Sheet1!$A:$C,3,FALSE)</f>
        <v>f.franca@brasilterminal.onmicrosoft.com</v>
      </c>
      <c r="D69" s="6" t="str">
        <f>VLOOKUP(B69,[2]Planilha1!$A:$R,10,FALSE)</f>
        <v>33619708</v>
      </c>
      <c r="E69" s="6" t="s">
        <v>26</v>
      </c>
      <c r="F69" s="6" t="s">
        <v>35</v>
      </c>
      <c r="G69" s="6" t="s">
        <v>28</v>
      </c>
      <c r="H69" s="6" t="s">
        <v>192</v>
      </c>
      <c r="I69" s="3">
        <v>237831</v>
      </c>
      <c r="J69" s="7"/>
      <c r="K69" s="8">
        <f>VLOOKUP(B69,[2]Planilha1!$A:$N,14,FALSE)</f>
        <v>30686</v>
      </c>
      <c r="L69" s="6" t="str">
        <f>VLOOKUP(B69,[2]Planilha1!$A:$R,16,FALSE)</f>
        <v>SP</v>
      </c>
      <c r="M69" s="6" t="str">
        <f>VLOOKUP(B69,[2]Planilha1!$A:$R,18,FALSE)</f>
        <v>CUBATAO</v>
      </c>
      <c r="N69" s="6" t="s">
        <v>30</v>
      </c>
      <c r="O69" s="6" t="str">
        <f>VLOOKUP(B69,[2]Planilha1!$A:$R,9,FALSE)</f>
        <v>11523-020</v>
      </c>
      <c r="P69" s="6" t="str">
        <f>VLOOKUP(B69,[2]Planilha1!$A:$C,3,FALSE)</f>
        <v>R SANTO ANTONIO DE PADUA</v>
      </c>
      <c r="Q69" s="6" t="str">
        <f>VLOOKUP(B69,[2]Planilha1!$A:$G,7,FALSE)</f>
        <v>2</v>
      </c>
      <c r="R69" s="6" t="str">
        <f>VLOOKUP(B69,[2]Planilha1!$A:$H,8,FALSE)</f>
        <v/>
      </c>
      <c r="S69" s="6" t="str">
        <f>VLOOKUP(B69,[2]Planilha1!$A:$D,4,FALSE)</f>
        <v>Vila Sao Jose</v>
      </c>
      <c r="T69" s="6" t="str">
        <f>VLOOKUP(B69,[2]Planilha1!$A:$E,5,FALSE)</f>
        <v>CUBATAO</v>
      </c>
      <c r="U69" s="6" t="s">
        <v>31</v>
      </c>
      <c r="V69" s="6" t="str">
        <f>VLOOKUP(B69,[2]Planilha1!$A:$R,13,FALSE)</f>
        <v>Parda</v>
      </c>
      <c r="W69" s="6" t="str">
        <f>VLOOKUP(B69,[2]Planilha1!$A:$B,2,FALSE)</f>
        <v>Casado</v>
      </c>
      <c r="X69" s="6" t="str">
        <f>VLOOKUP(B69,[2]Planilha1!$A:$R,15,FALSE)</f>
        <v>342493097</v>
      </c>
      <c r="Y69" s="6" t="s">
        <v>32</v>
      </c>
      <c r="Z69" s="6" t="s">
        <v>31</v>
      </c>
    </row>
    <row r="70" spans="1:26" x14ac:dyDescent="0.25">
      <c r="A70" s="3">
        <v>237910</v>
      </c>
      <c r="B70" s="4" t="s">
        <v>193</v>
      </c>
      <c r="C70" s="5" t="str">
        <f>VLOOKUP(B70,[1]Sheet1!$A:$C,3,FALSE)</f>
        <v xml:space="preserve">V.alves@btp.com.br </v>
      </c>
      <c r="D70" s="6" t="str">
        <f>VLOOKUP(B70,[2]Planilha1!$A:$R,10,FALSE)</f>
        <v>996130466</v>
      </c>
      <c r="E70" s="6" t="s">
        <v>34</v>
      </c>
      <c r="F70" s="6" t="s">
        <v>95</v>
      </c>
      <c r="G70" s="6" t="s">
        <v>28</v>
      </c>
      <c r="H70" s="6" t="s">
        <v>194</v>
      </c>
      <c r="I70" s="3">
        <v>237910</v>
      </c>
      <c r="J70" s="7"/>
      <c r="K70" s="8">
        <f>VLOOKUP(B70,[2]Planilha1!$A:$N,14,FALSE)</f>
        <v>29817</v>
      </c>
      <c r="L70" s="6" t="str">
        <f>VLOOKUP(B70,[2]Planilha1!$A:$R,16,FALSE)</f>
        <v>SP</v>
      </c>
      <c r="M70" s="6" t="str">
        <f>VLOOKUP(B70,[2]Planilha1!$A:$R,18,FALSE)</f>
        <v>GOVERNADOR VALADARES</v>
      </c>
      <c r="N70" s="6" t="s">
        <v>30</v>
      </c>
      <c r="O70" s="6" t="str">
        <f>VLOOKUP(B70,[2]Planilha1!$A:$R,9,FALSE)</f>
        <v>11533-150</v>
      </c>
      <c r="P70" s="6" t="str">
        <f>VLOOKUP(B70,[2]Planilha1!$A:$C,3,FALSE)</f>
        <v>R Maria Graziela</v>
      </c>
      <c r="Q70" s="6" t="str">
        <f>VLOOKUP(B70,[2]Planilha1!$A:$G,7,FALSE)</f>
        <v>769</v>
      </c>
      <c r="R70" s="6" t="str">
        <f>VLOOKUP(B70,[2]Planilha1!$A:$H,8,FALSE)</f>
        <v>AP 31</v>
      </c>
      <c r="S70" s="6" t="str">
        <f>VLOOKUP(B70,[2]Planilha1!$A:$D,4,FALSE)</f>
        <v>Jardim Casqueiro</v>
      </c>
      <c r="T70" s="6" t="str">
        <f>VLOOKUP(B70,[2]Planilha1!$A:$E,5,FALSE)</f>
        <v>CUBATAO</v>
      </c>
      <c r="U70" s="6" t="s">
        <v>31</v>
      </c>
      <c r="V70" s="6" t="str">
        <f>VLOOKUP(B70,[2]Planilha1!$A:$R,13,FALSE)</f>
        <v>Parda</v>
      </c>
      <c r="W70" s="6" t="str">
        <f>VLOOKUP(B70,[2]Planilha1!$A:$B,2,FALSE)</f>
        <v>Casado</v>
      </c>
      <c r="X70" s="6" t="str">
        <f>VLOOKUP(B70,[2]Planilha1!$A:$R,15,FALSE)</f>
        <v>304584514</v>
      </c>
      <c r="Y70" s="6" t="s">
        <v>32</v>
      </c>
      <c r="Z70" s="6" t="s">
        <v>31</v>
      </c>
    </row>
    <row r="71" spans="1:26" x14ac:dyDescent="0.25">
      <c r="A71" s="3">
        <v>238070</v>
      </c>
      <c r="B71" s="4" t="s">
        <v>195</v>
      </c>
      <c r="C71" s="5" t="str">
        <f>VLOOKUP(B71,[1]Sheet1!$A:$C,3,FALSE)</f>
        <v>jjeffersonbarbosadossantos21@gmail.com</v>
      </c>
      <c r="D71" s="6" t="str">
        <f>VLOOKUP(B71,[2]Planilha1!$A:$R,10,FALSE)</f>
        <v>33798628</v>
      </c>
      <c r="E71" s="6" t="s">
        <v>26</v>
      </c>
      <c r="F71" s="6" t="s">
        <v>41</v>
      </c>
      <c r="G71" s="6" t="s">
        <v>28</v>
      </c>
      <c r="H71" s="17" t="s">
        <v>196</v>
      </c>
      <c r="I71" s="3">
        <v>238070</v>
      </c>
      <c r="J71" s="18"/>
      <c r="K71" s="8">
        <f>VLOOKUP(B71,[2]Planilha1!$A:$N,14,FALSE)</f>
        <v>30399</v>
      </c>
      <c r="L71" s="6" t="str">
        <f>VLOOKUP(B71,[2]Planilha1!$A:$R,16,FALSE)</f>
        <v>SP</v>
      </c>
      <c r="M71" s="6" t="str">
        <f>VLOOKUP(B71,[2]Planilha1!$A:$R,18,FALSE)</f>
        <v>SAO VICENTE</v>
      </c>
      <c r="N71" s="6" t="s">
        <v>30</v>
      </c>
      <c r="O71" s="6" t="str">
        <f>VLOOKUP(B71,[2]Planilha1!$A:$R,9,FALSE)</f>
        <v>11370-330</v>
      </c>
      <c r="P71" s="6" t="str">
        <f>VLOOKUP(B71,[2]Planilha1!$A:$C,3,FALSE)</f>
        <v>R Luiz Panzoldo Netto</v>
      </c>
      <c r="Q71" s="6" t="str">
        <f>VLOOKUP(B71,[2]Planilha1!$A:$G,7,FALSE)</f>
        <v>133</v>
      </c>
      <c r="R71" s="6" t="str">
        <f>VLOOKUP(B71,[2]Planilha1!$A:$H,8,FALSE)</f>
        <v/>
      </c>
      <c r="S71" s="6" t="str">
        <f>VLOOKUP(B71,[2]Planilha1!$A:$D,4,FALSE)</f>
        <v>Catiapoa</v>
      </c>
      <c r="T71" s="6" t="str">
        <f>VLOOKUP(B71,[2]Planilha1!$A:$E,5,FALSE)</f>
        <v>SAO VICENTE</v>
      </c>
      <c r="U71" s="6" t="s">
        <v>31</v>
      </c>
      <c r="V71" s="6" t="str">
        <f>VLOOKUP(B71,[2]Planilha1!$A:$R,13,FALSE)</f>
        <v>Parda</v>
      </c>
      <c r="W71" s="6" t="str">
        <f>VLOOKUP(B71,[2]Planilha1!$A:$B,2,FALSE)</f>
        <v>Divorciado</v>
      </c>
      <c r="X71" s="6" t="str">
        <f>VLOOKUP(B71,[2]Planilha1!$A:$R,15,FALSE)</f>
        <v>343502513</v>
      </c>
      <c r="Y71" s="6" t="s">
        <v>32</v>
      </c>
      <c r="Z71" s="6" t="s">
        <v>31</v>
      </c>
    </row>
    <row r="72" spans="1:26" x14ac:dyDescent="0.25">
      <c r="A72" s="3">
        <v>238051</v>
      </c>
      <c r="B72" s="4" t="s">
        <v>197</v>
      </c>
      <c r="C72" s="5" t="str">
        <f>VLOOKUP(B72,[1]Sheet1!$A:$C,3,FALSE)</f>
        <v>clau.augusto@yahoo.com.br</v>
      </c>
      <c r="D72" s="6" t="str">
        <f>VLOOKUP(B72,[2]Planilha1!$A:$R,10,FALSE)</f>
        <v>988024096</v>
      </c>
      <c r="E72" s="6" t="s">
        <v>26</v>
      </c>
      <c r="F72" s="6" t="s">
        <v>35</v>
      </c>
      <c r="G72" s="6" t="s">
        <v>28</v>
      </c>
      <c r="H72" s="6" t="s">
        <v>198</v>
      </c>
      <c r="I72" s="3">
        <v>238051</v>
      </c>
      <c r="J72" s="7"/>
      <c r="K72" s="8">
        <f>VLOOKUP(B72,[2]Planilha1!$A:$N,14,FALSE)</f>
        <v>32292</v>
      </c>
      <c r="L72" s="6" t="str">
        <f>VLOOKUP(B72,[2]Planilha1!$A:$R,16,FALSE)</f>
        <v>SP</v>
      </c>
      <c r="M72" s="6" t="str">
        <f>VLOOKUP(B72,[2]Planilha1!$A:$R,18,FALSE)</f>
        <v>SANTOS</v>
      </c>
      <c r="N72" s="6" t="s">
        <v>30</v>
      </c>
      <c r="O72" s="6" t="str">
        <f>VLOOKUP(B72,[2]Planilha1!$A:$R,9,FALSE)</f>
        <v>11706-150</v>
      </c>
      <c r="P72" s="6" t="str">
        <f>VLOOKUP(B72,[2]Planilha1!$A:$C,3,FALSE)</f>
        <v>R Santo Agostinho</v>
      </c>
      <c r="Q72" s="6" t="str">
        <f>VLOOKUP(B72,[2]Planilha1!$A:$G,7,FALSE)</f>
        <v>558</v>
      </c>
      <c r="R72" s="6" t="str">
        <f>VLOOKUP(B72,[2]Planilha1!$A:$H,8,FALSE)</f>
        <v>Casa</v>
      </c>
      <c r="S72" s="6" t="str">
        <f>VLOOKUP(B72,[2]Planilha1!$A:$D,4,FALSE)</f>
        <v>Caiçara</v>
      </c>
      <c r="T72" s="6" t="str">
        <f>VLOOKUP(B72,[2]Planilha1!$A:$E,5,FALSE)</f>
        <v>PRAIA GRANDE</v>
      </c>
      <c r="U72" s="6" t="s">
        <v>31</v>
      </c>
      <c r="V72" s="6" t="str">
        <f>VLOOKUP(B72,[2]Planilha1!$A:$R,13,FALSE)</f>
        <v>Parda</v>
      </c>
      <c r="W72" s="6" t="str">
        <f>VLOOKUP(B72,[2]Planilha1!$A:$B,2,FALSE)</f>
        <v>Solteiro</v>
      </c>
      <c r="X72" s="6" t="str">
        <f>VLOOKUP(B72,[2]Planilha1!$A:$R,15,FALSE)</f>
        <v>419987137</v>
      </c>
      <c r="Y72" s="6" t="s">
        <v>32</v>
      </c>
      <c r="Z72" s="6" t="s">
        <v>31</v>
      </c>
    </row>
    <row r="73" spans="1:26" x14ac:dyDescent="0.25">
      <c r="A73" s="3">
        <v>235919</v>
      </c>
      <c r="B73" s="4" t="s">
        <v>199</v>
      </c>
      <c r="C73" s="5" t="str">
        <f>VLOOKUP(B73,[1]Sheet1!$A:$C,3,FALSE)</f>
        <v>Fatimacabral@live.com</v>
      </c>
      <c r="D73" s="6" t="str">
        <f>VLOOKUP(B73,[2]Planilha1!$A:$R,10,FALSE)</f>
        <v>988436380</v>
      </c>
      <c r="E73" s="6" t="s">
        <v>34</v>
      </c>
      <c r="F73" s="6" t="s">
        <v>95</v>
      </c>
      <c r="G73" s="6" t="s">
        <v>28</v>
      </c>
      <c r="H73" s="6" t="s">
        <v>200</v>
      </c>
      <c r="I73" s="3">
        <v>235919</v>
      </c>
      <c r="J73" s="7"/>
      <c r="K73" s="8">
        <f>VLOOKUP(B73,[2]Planilha1!$A:$N,14,FALSE)</f>
        <v>30574</v>
      </c>
      <c r="L73" s="6" t="str">
        <f>VLOOKUP(B73,[2]Planilha1!$A:$R,16,FALSE)</f>
        <v>SP</v>
      </c>
      <c r="M73" s="6" t="str">
        <f>VLOOKUP(B73,[2]Planilha1!$A:$R,18,FALSE)</f>
        <v>SANTOS</v>
      </c>
      <c r="N73" s="6" t="s">
        <v>30</v>
      </c>
      <c r="O73" s="6" t="str">
        <f>VLOOKUP(B73,[2]Planilha1!$A:$R,9,FALSE)</f>
        <v>11705-570</v>
      </c>
      <c r="P73" s="6" t="str">
        <f>VLOOKUP(B73,[2]Planilha1!$A:$C,3,FALSE)</f>
        <v>AV ROBERTO MUZZI</v>
      </c>
      <c r="Q73" s="6" t="str">
        <f>VLOOKUP(B73,[2]Planilha1!$A:$G,7,FALSE)</f>
        <v>923</v>
      </c>
      <c r="R73" s="6" t="str">
        <f>VLOOKUP(B73,[2]Planilha1!$A:$H,8,FALSE)</f>
        <v>CASA 3</v>
      </c>
      <c r="S73" s="6" t="str">
        <f>VLOOKUP(B73,[2]Planilha1!$A:$D,4,FALSE)</f>
        <v>Maracanã</v>
      </c>
      <c r="T73" s="6" t="str">
        <f>VLOOKUP(B73,[2]Planilha1!$A:$E,5,FALSE)</f>
        <v>PRAIA GRANDE</v>
      </c>
      <c r="U73" s="6" t="s">
        <v>31</v>
      </c>
      <c r="V73" s="6" t="str">
        <f>VLOOKUP(B73,[2]Planilha1!$A:$R,13,FALSE)</f>
        <v>Parda</v>
      </c>
      <c r="W73" s="6" t="str">
        <f>VLOOKUP(B73,[2]Planilha1!$A:$B,2,FALSE)</f>
        <v>Casado</v>
      </c>
      <c r="X73" s="6" t="str">
        <f>VLOOKUP(B73,[2]Planilha1!$A:$R,15,FALSE)</f>
        <v>351468511</v>
      </c>
      <c r="Y73" s="6" t="s">
        <v>32</v>
      </c>
      <c r="Z73" s="6" t="s">
        <v>31</v>
      </c>
    </row>
    <row r="74" spans="1:26" x14ac:dyDescent="0.25">
      <c r="A74" s="3">
        <v>238013</v>
      </c>
      <c r="B74" s="4" t="s">
        <v>201</v>
      </c>
      <c r="C74" s="5" t="str">
        <f>VLOOKUP(B74,[1]Sheet1!$A:$C,3,FALSE)</f>
        <v>rafaelbombeirodox@hotmail.com</v>
      </c>
      <c r="D74" s="6" t="str">
        <f>VLOOKUP(B74,[2]Planilha1!$A:$R,10,FALSE)</f>
        <v>34672447</v>
      </c>
      <c r="E74" s="6" t="s">
        <v>26</v>
      </c>
      <c r="F74" s="6" t="s">
        <v>35</v>
      </c>
      <c r="G74" s="6" t="s">
        <v>28</v>
      </c>
      <c r="H74" s="6" t="s">
        <v>202</v>
      </c>
      <c r="I74" s="3">
        <v>238013</v>
      </c>
      <c r="J74" s="7"/>
      <c r="K74" s="8">
        <f>VLOOKUP(B74,[2]Planilha1!$A:$N,14,FALSE)</f>
        <v>30673</v>
      </c>
      <c r="L74" s="6" t="str">
        <f>VLOOKUP(B74,[2]Planilha1!$A:$R,16,FALSE)</f>
        <v>SP</v>
      </c>
      <c r="M74" s="6" t="str">
        <f>VLOOKUP(B74,[2]Planilha1!$A:$R,18,FALSE)</f>
        <v>SANTOS</v>
      </c>
      <c r="N74" s="6" t="s">
        <v>30</v>
      </c>
      <c r="O74" s="6" t="str">
        <f>VLOOKUP(B74,[2]Planilha1!$A:$R,9,FALSE)</f>
        <v>11724-320</v>
      </c>
      <c r="P74" s="6" t="str">
        <f>VLOOKUP(B74,[2]Planilha1!$A:$C,3,FALSE)</f>
        <v>R ANTONIA SAUDINO</v>
      </c>
      <c r="Q74" s="6" t="str">
        <f>VLOOKUP(B74,[2]Planilha1!$A:$G,7,FALSE)</f>
        <v>64</v>
      </c>
      <c r="R74" s="6" t="str">
        <f>VLOOKUP(B74,[2]Planilha1!$A:$H,8,FALSE)</f>
        <v/>
      </c>
      <c r="S74" s="6" t="str">
        <f>VLOOKUP(B74,[2]Planilha1!$A:$D,4,FALSE)</f>
        <v>Sitio do Campo</v>
      </c>
      <c r="T74" s="6" t="str">
        <f>VLOOKUP(B74,[2]Planilha1!$A:$E,5,FALSE)</f>
        <v>PRAIA GRANDE</v>
      </c>
      <c r="U74" s="6" t="s">
        <v>31</v>
      </c>
      <c r="V74" s="6" t="str">
        <f>VLOOKUP(B74,[2]Planilha1!$A:$R,13,FALSE)</f>
        <v>Parda</v>
      </c>
      <c r="W74" s="6" t="str">
        <f>VLOOKUP(B74,[2]Planilha1!$A:$B,2,FALSE)</f>
        <v>Solteiro</v>
      </c>
      <c r="X74" s="6" t="str">
        <f>VLOOKUP(B74,[2]Planilha1!$A:$R,15,FALSE)</f>
        <v>290945550</v>
      </c>
      <c r="Y74" s="6" t="s">
        <v>32</v>
      </c>
      <c r="Z74" s="6" t="s">
        <v>31</v>
      </c>
    </row>
    <row r="75" spans="1:26" x14ac:dyDescent="0.25">
      <c r="A75" s="3">
        <v>237966</v>
      </c>
      <c r="B75" s="4" t="s">
        <v>203</v>
      </c>
      <c r="C75" s="5" t="str">
        <f>VLOOKUP(B75,[1]Sheet1!$A:$C,3,FALSE)</f>
        <v>waltersilvacoelho@hotmail.com</v>
      </c>
      <c r="D75" s="6" t="str">
        <f>VLOOKUP(B75,[2]Planilha1!$A:$R,10,FALSE)</f>
        <v>88498828</v>
      </c>
      <c r="E75" s="6" t="s">
        <v>26</v>
      </c>
      <c r="F75" s="6" t="s">
        <v>63</v>
      </c>
      <c r="G75" s="6" t="s">
        <v>28</v>
      </c>
      <c r="H75" s="6" t="s">
        <v>204</v>
      </c>
      <c r="I75" s="3">
        <v>237966</v>
      </c>
      <c r="J75" s="7"/>
      <c r="K75" s="8">
        <f>VLOOKUP(B75,[2]Planilha1!$A:$N,14,FALSE)</f>
        <v>31085</v>
      </c>
      <c r="L75" s="6" t="str">
        <f>VLOOKUP(B75,[2]Planilha1!$A:$R,16,FALSE)</f>
        <v>SP</v>
      </c>
      <c r="M75" s="6" t="str">
        <f>VLOOKUP(B75,[2]Planilha1!$A:$R,18,FALSE)</f>
        <v>CUBATAO</v>
      </c>
      <c r="N75" s="6" t="s">
        <v>30</v>
      </c>
      <c r="O75" s="6" t="str">
        <f>VLOOKUP(B75,[2]Planilha1!$A:$R,9,FALSE)</f>
        <v>11700-650</v>
      </c>
      <c r="P75" s="6" t="str">
        <f>VLOOKUP(B75,[2]Planilha1!$A:$C,3,FALSE)</f>
        <v>AV Costa Machado</v>
      </c>
      <c r="Q75" s="6" t="str">
        <f>VLOOKUP(B75,[2]Planilha1!$A:$G,7,FALSE)</f>
        <v>811</v>
      </c>
      <c r="R75" s="6" t="str">
        <f>VLOOKUP(B75,[2]Planilha1!$A:$H,8,FALSE)</f>
        <v>apto 109</v>
      </c>
      <c r="S75" s="6" t="str">
        <f>VLOOKUP(B75,[2]Planilha1!$A:$D,4,FALSE)</f>
        <v>Canto do Forte</v>
      </c>
      <c r="T75" s="6" t="str">
        <f>VLOOKUP(B75,[2]Planilha1!$A:$E,5,FALSE)</f>
        <v>PRAIA GRANDE</v>
      </c>
      <c r="U75" s="6" t="s">
        <v>31</v>
      </c>
      <c r="V75" s="6" t="str">
        <f>VLOOKUP(B75,[2]Planilha1!$A:$R,13,FALSE)</f>
        <v>Branca</v>
      </c>
      <c r="W75" s="6" t="str">
        <f>VLOOKUP(B75,[2]Planilha1!$A:$B,2,FALSE)</f>
        <v>Casado</v>
      </c>
      <c r="X75" s="6" t="str">
        <f>VLOOKUP(B75,[2]Planilha1!$A:$R,15,FALSE)</f>
        <v>422838809</v>
      </c>
      <c r="Y75" s="6" t="s">
        <v>32</v>
      </c>
      <c r="Z75" s="6" t="s">
        <v>31</v>
      </c>
    </row>
    <row r="76" spans="1:26" x14ac:dyDescent="0.25">
      <c r="A76" s="3">
        <v>117908</v>
      </c>
      <c r="B76" s="4" t="s">
        <v>205</v>
      </c>
      <c r="C76" s="5" t="str">
        <f>VLOOKUP(B76,[1]Sheet1!$A:$C,3,FALSE)</f>
        <v>rrf.010201@gmail.com</v>
      </c>
      <c r="D76" s="6" t="str">
        <f>VLOOKUP(B76,[2]Planilha1!$A:$R,10,FALSE)</f>
        <v>996341710</v>
      </c>
      <c r="E76" s="6" t="s">
        <v>26</v>
      </c>
      <c r="F76" s="6" t="s">
        <v>35</v>
      </c>
      <c r="G76" s="6" t="s">
        <v>28</v>
      </c>
      <c r="H76" s="6" t="s">
        <v>206</v>
      </c>
      <c r="I76" s="3">
        <v>117908</v>
      </c>
      <c r="J76" s="7"/>
      <c r="K76" s="8">
        <f>VLOOKUP(B76,[2]Planilha1!$A:$N,14,FALSE)</f>
        <v>30719</v>
      </c>
      <c r="L76" s="6" t="str">
        <f>VLOOKUP(B76,[2]Planilha1!$A:$R,16,FALSE)</f>
        <v>SP</v>
      </c>
      <c r="M76" s="6" t="str">
        <f>VLOOKUP(B76,[2]Planilha1!$A:$R,18,FALSE)</f>
        <v>SANTOS</v>
      </c>
      <c r="N76" s="6" t="s">
        <v>30</v>
      </c>
      <c r="O76" s="6" t="str">
        <f>VLOOKUP(B76,[2]Planilha1!$A:$R,9,FALSE)</f>
        <v>15330-520</v>
      </c>
      <c r="P76" s="6" t="str">
        <f>VLOOKUP(B76,[2]Planilha1!$A:$C,3,FALSE)</f>
        <v>R ADELINO FRANCISCO</v>
      </c>
      <c r="Q76" s="6" t="str">
        <f>VLOOKUP(B76,[2]Planilha1!$A:$G,7,FALSE)</f>
        <v>40</v>
      </c>
      <c r="R76" s="6" t="str">
        <f>VLOOKUP(B76,[2]Planilha1!$A:$H,8,FALSE)</f>
        <v>BLOCO 8 CASA 1</v>
      </c>
      <c r="S76" s="6" t="str">
        <f>VLOOKUP(B76,[2]Planilha1!$A:$D,4,FALSE)</f>
        <v>Parque São Luis</v>
      </c>
      <c r="T76" s="6" t="str">
        <f>VLOOKUP(B76,[2]Planilha1!$A:$E,5,FALSE)</f>
        <v>CUBATAO</v>
      </c>
      <c r="U76" s="6" t="s">
        <v>31</v>
      </c>
      <c r="V76" s="6" t="str">
        <f>VLOOKUP(B76,[2]Planilha1!$A:$R,13,FALSE)</f>
        <v>Parda</v>
      </c>
      <c r="W76" s="6" t="str">
        <f>VLOOKUP(B76,[2]Planilha1!$A:$B,2,FALSE)</f>
        <v>Solteiro</v>
      </c>
      <c r="X76" s="6" t="str">
        <f>VLOOKUP(B76,[2]Planilha1!$A:$R,15,FALSE)</f>
        <v>453480615</v>
      </c>
      <c r="Y76" s="6" t="s">
        <v>32</v>
      </c>
      <c r="Z76" s="6" t="s">
        <v>31</v>
      </c>
    </row>
    <row r="77" spans="1:26" x14ac:dyDescent="0.25">
      <c r="A77" s="3">
        <v>238060</v>
      </c>
      <c r="B77" s="4" t="s">
        <v>207</v>
      </c>
      <c r="C77" s="5" t="str">
        <f>VLOOKUP(B77,[1]Sheet1!$A:$C,3,FALSE)</f>
        <v>Emerson.gomes@live.com</v>
      </c>
      <c r="D77" s="6" t="str">
        <f>VLOOKUP(B77,[2]Planilha1!$A:$R,10,FALSE)</f>
        <v>988812721</v>
      </c>
      <c r="E77" s="6" t="s">
        <v>26</v>
      </c>
      <c r="F77" s="6" t="s">
        <v>41</v>
      </c>
      <c r="G77" s="6" t="s">
        <v>28</v>
      </c>
      <c r="H77" s="17" t="s">
        <v>208</v>
      </c>
      <c r="I77" s="3">
        <v>238060</v>
      </c>
      <c r="J77" s="18"/>
      <c r="K77" s="8">
        <f>VLOOKUP(B77,[2]Planilha1!$A:$N,14,FALSE)</f>
        <v>31618</v>
      </c>
      <c r="L77" s="6" t="str">
        <f>VLOOKUP(B77,[2]Planilha1!$A:$R,16,FALSE)</f>
        <v>SP</v>
      </c>
      <c r="M77" s="6" t="str">
        <f>VLOOKUP(B77,[2]Planilha1!$A:$R,18,FALSE)</f>
        <v>SANTOS</v>
      </c>
      <c r="N77" s="6" t="s">
        <v>30</v>
      </c>
      <c r="O77" s="6" t="str">
        <f>VLOOKUP(B77,[2]Planilha1!$A:$R,9,FALSE)</f>
        <v>11013-760</v>
      </c>
      <c r="P77" s="6" t="str">
        <f>VLOOKUP(B77,[2]Planilha1!$A:$C,3,FALSE)</f>
        <v>MRO Monsenhor Moreira</v>
      </c>
      <c r="Q77" s="6" t="str">
        <f>VLOOKUP(B77,[2]Planilha1!$A:$G,7,FALSE)</f>
        <v>2389</v>
      </c>
      <c r="R77" s="6" t="str">
        <f>VLOOKUP(B77,[2]Planilha1!$A:$H,8,FALSE)</f>
        <v>Casa</v>
      </c>
      <c r="S77" s="6" t="str">
        <f>VLOOKUP(B77,[2]Planilha1!$A:$D,4,FALSE)</f>
        <v>Morro Monte Serrat</v>
      </c>
      <c r="T77" s="6" t="str">
        <f>VLOOKUP(B77,[2]Planilha1!$A:$E,5,FALSE)</f>
        <v>SANTOS</v>
      </c>
      <c r="U77" s="6" t="s">
        <v>31</v>
      </c>
      <c r="V77" s="6" t="str">
        <f>VLOOKUP(B77,[2]Planilha1!$A:$R,13,FALSE)</f>
        <v>Parda</v>
      </c>
      <c r="W77" s="6" t="str">
        <f>VLOOKUP(B77,[2]Planilha1!$A:$B,2,FALSE)</f>
        <v>Casado</v>
      </c>
      <c r="X77" s="6" t="str">
        <f>VLOOKUP(B77,[2]Planilha1!$A:$R,15,FALSE)</f>
        <v>406869807</v>
      </c>
      <c r="Y77" s="6" t="s">
        <v>32</v>
      </c>
      <c r="Z77" s="6" t="s">
        <v>31</v>
      </c>
    </row>
    <row r="78" spans="1:26" x14ac:dyDescent="0.25">
      <c r="A78" s="3">
        <v>237864</v>
      </c>
      <c r="B78" s="4" t="s">
        <v>209</v>
      </c>
      <c r="C78" s="5" t="str">
        <f>VLOOKUP(B78,[1]Sheet1!$A:$C,3,FALSE)</f>
        <v>adrianocostaramalho@hotmail.com</v>
      </c>
      <c r="D78" s="6" t="str">
        <f>VLOOKUP(B78,[2]Planilha1!$A:$R,10,FALSE)</f>
        <v>33579248</v>
      </c>
      <c r="E78" s="6" t="s">
        <v>26</v>
      </c>
      <c r="F78" s="6" t="s">
        <v>35</v>
      </c>
      <c r="G78" s="6" t="s">
        <v>28</v>
      </c>
      <c r="H78" s="6" t="s">
        <v>210</v>
      </c>
      <c r="I78" s="3">
        <v>237864</v>
      </c>
      <c r="J78" s="7"/>
      <c r="K78" s="8">
        <f>VLOOKUP(B78,[2]Planilha1!$A:$N,14,FALSE)</f>
        <v>31022</v>
      </c>
      <c r="L78" s="6" t="str">
        <f>VLOOKUP(B78,[2]Planilha1!$A:$R,16,FALSE)</f>
        <v>SP</v>
      </c>
      <c r="M78" s="6" t="str">
        <f>VLOOKUP(B78,[2]Planilha1!$A:$R,18,FALSE)</f>
        <v>GUARUJA</v>
      </c>
      <c r="N78" s="6" t="s">
        <v>30</v>
      </c>
      <c r="O78" s="6" t="str">
        <f>VLOOKUP(B78,[2]Planilha1!$A:$R,9,FALSE)</f>
        <v>11430-160</v>
      </c>
      <c r="P78" s="6" t="str">
        <f>VLOOKUP(B78,[2]Planilha1!$A:$C,3,FALSE)</f>
        <v>R Padre Donizete</v>
      </c>
      <c r="Q78" s="6" t="str">
        <f>VLOOKUP(B78,[2]Planilha1!$A:$G,7,FALSE)</f>
        <v>435</v>
      </c>
      <c r="R78" s="6" t="str">
        <f>VLOOKUP(B78,[2]Planilha1!$A:$H,8,FALSE)</f>
        <v/>
      </c>
      <c r="S78" s="6" t="str">
        <f>VLOOKUP(B78,[2]Planilha1!$A:$D,4,FALSE)</f>
        <v>Vila Ligya</v>
      </c>
      <c r="T78" s="6" t="str">
        <f>VLOOKUP(B78,[2]Planilha1!$A:$E,5,FALSE)</f>
        <v>GUARUJA</v>
      </c>
      <c r="U78" s="6" t="s">
        <v>31</v>
      </c>
      <c r="V78" s="6" t="str">
        <f>VLOOKUP(B78,[2]Planilha1!$A:$R,13,FALSE)</f>
        <v>Parda</v>
      </c>
      <c r="W78" s="6" t="str">
        <f>VLOOKUP(B78,[2]Planilha1!$A:$B,2,FALSE)</f>
        <v>Casado</v>
      </c>
      <c r="X78" s="6" t="str">
        <f>VLOOKUP(B78,[2]Planilha1!$A:$R,15,FALSE)</f>
        <v>438956965</v>
      </c>
      <c r="Y78" s="6" t="s">
        <v>32</v>
      </c>
      <c r="Z78" s="6" t="s">
        <v>31</v>
      </c>
    </row>
    <row r="79" spans="1:26" x14ac:dyDescent="0.25">
      <c r="A79" s="3">
        <v>237972</v>
      </c>
      <c r="B79" s="4" t="s">
        <v>211</v>
      </c>
      <c r="C79" s="5" t="str">
        <f>VLOOKUP(B79,[1]Sheet1!$A:$C,3,FALSE)</f>
        <v>rone.sdc@hotmail.com</v>
      </c>
      <c r="D79" s="6" t="str">
        <f>VLOOKUP(B79,[2]Planilha1!$A:$R,10,FALSE)</f>
        <v>33835589</v>
      </c>
      <c r="E79" s="6" t="s">
        <v>26</v>
      </c>
      <c r="F79" s="6" t="s">
        <v>41</v>
      </c>
      <c r="G79" s="6" t="s">
        <v>28</v>
      </c>
      <c r="H79" s="6" t="s">
        <v>212</v>
      </c>
      <c r="I79" s="3">
        <v>237972</v>
      </c>
      <c r="J79" s="7"/>
      <c r="K79" s="8">
        <f>VLOOKUP(B79,[2]Planilha1!$A:$N,14,FALSE)</f>
        <v>30838</v>
      </c>
      <c r="L79" s="6" t="str">
        <f>VLOOKUP(B79,[2]Planilha1!$A:$R,16,FALSE)</f>
        <v>SP</v>
      </c>
      <c r="M79" s="6" t="str">
        <f>VLOOKUP(B79,[2]Planilha1!$A:$R,18,FALSE)</f>
        <v>SANTOS</v>
      </c>
      <c r="N79" s="6" t="s">
        <v>30</v>
      </c>
      <c r="O79" s="6" t="str">
        <f>VLOOKUP(B79,[2]Planilha1!$A:$R,9,FALSE)</f>
        <v>11472-130</v>
      </c>
      <c r="P79" s="6" t="str">
        <f>VLOOKUP(B79,[2]Planilha1!$A:$C,3,FALSE)</f>
        <v>R Nova Esperança</v>
      </c>
      <c r="Q79" s="6" t="str">
        <f>VLOOKUP(B79,[2]Planilha1!$A:$G,7,FALSE)</f>
        <v>176</v>
      </c>
      <c r="R79" s="6" t="str">
        <f>VLOOKUP(B79,[2]Planilha1!$A:$H,8,FALSE)</f>
        <v/>
      </c>
      <c r="S79" s="6" t="str">
        <f>VLOOKUP(B79,[2]Planilha1!$A:$D,4,FALSE)</f>
        <v>Sitio Conceiçãozinha</v>
      </c>
      <c r="T79" s="6" t="str">
        <f>VLOOKUP(B79,[2]Planilha1!$A:$E,5,FALSE)</f>
        <v>GUARUJA</v>
      </c>
      <c r="U79" s="6" t="s">
        <v>31</v>
      </c>
      <c r="V79" s="6" t="str">
        <f>VLOOKUP(B79,[2]Planilha1!$A:$R,13,FALSE)</f>
        <v>Parda</v>
      </c>
      <c r="W79" s="6" t="str">
        <f>VLOOKUP(B79,[2]Planilha1!$A:$B,2,FALSE)</f>
        <v>Solteiro</v>
      </c>
      <c r="X79" s="6" t="str">
        <f>VLOOKUP(B79,[2]Planilha1!$A:$R,15,FALSE)</f>
        <v>338257020</v>
      </c>
      <c r="Y79" s="6" t="s">
        <v>32</v>
      </c>
      <c r="Z79" s="6" t="s">
        <v>31</v>
      </c>
    </row>
    <row r="80" spans="1:26" x14ac:dyDescent="0.25">
      <c r="A80" s="3">
        <v>237955</v>
      </c>
      <c r="B80" s="4" t="s">
        <v>213</v>
      </c>
      <c r="C80" s="5" t="str">
        <f>VLOOKUP(B80,[1]Sheet1!$A:$C,3,FALSE)</f>
        <v xml:space="preserve">Darkolonso@hotmail.com </v>
      </c>
      <c r="D80" s="6" t="str">
        <f>VLOOKUP(B80,[2]Planilha1!$A:$R,10,FALSE)</f>
        <v>35683600</v>
      </c>
      <c r="E80" s="6" t="s">
        <v>26</v>
      </c>
      <c r="F80" s="6" t="s">
        <v>27</v>
      </c>
      <c r="G80" s="6" t="s">
        <v>28</v>
      </c>
      <c r="H80" s="6" t="s">
        <v>214</v>
      </c>
      <c r="I80" s="3">
        <v>237955</v>
      </c>
      <c r="J80" s="7"/>
      <c r="K80" s="8">
        <f>VLOOKUP(B80,[2]Planilha1!$A:$N,14,FALSE)</f>
        <v>30752</v>
      </c>
      <c r="L80" s="6" t="str">
        <f>VLOOKUP(B80,[2]Planilha1!$A:$R,16,FALSE)</f>
        <v>SP</v>
      </c>
      <c r="M80" s="6" t="str">
        <f>VLOOKUP(B80,[2]Planilha1!$A:$R,18,FALSE)</f>
        <v>SANTOS</v>
      </c>
      <c r="N80" s="6" t="s">
        <v>30</v>
      </c>
      <c r="O80" s="6" t="str">
        <f>VLOOKUP(B80,[2]Planilha1!$A:$R,9,FALSE)</f>
        <v>11086-415</v>
      </c>
      <c r="P80" s="6" t="str">
        <f>VLOOKUP(B80,[2]Planilha1!$A:$C,3,FALSE)</f>
        <v>R CESAR A DE CASTRO RIOSRES VIVAMAR ANDORINHA</v>
      </c>
      <c r="Q80" s="6" t="str">
        <f>VLOOKUP(B80,[2]Planilha1!$A:$G,7,FALSE)</f>
        <v>332</v>
      </c>
      <c r="R80" s="6" t="str">
        <f>VLOOKUP(B80,[2]Planilha1!$A:$H,8,FALSE)</f>
        <v>BLOCO 1</v>
      </c>
      <c r="S80" s="6" t="str">
        <f>VLOOKUP(B80,[2]Planilha1!$A:$D,4,FALSE)</f>
        <v>Areia Branca</v>
      </c>
      <c r="T80" s="6" t="str">
        <f>VLOOKUP(B80,[2]Planilha1!$A:$E,5,FALSE)</f>
        <v>SANTOS</v>
      </c>
      <c r="U80" s="6" t="s">
        <v>31</v>
      </c>
      <c r="V80" s="6" t="str">
        <f>VLOOKUP(B80,[2]Planilha1!$A:$R,13,FALSE)</f>
        <v>Parda</v>
      </c>
      <c r="W80" s="6" t="str">
        <f>VLOOKUP(B80,[2]Planilha1!$A:$B,2,FALSE)</f>
        <v>Casado</v>
      </c>
      <c r="X80" s="6" t="str">
        <f>VLOOKUP(B80,[2]Planilha1!$A:$R,15,FALSE)</f>
        <v>444570809</v>
      </c>
      <c r="Y80" s="6" t="s">
        <v>32</v>
      </c>
      <c r="Z80" s="6" t="s">
        <v>31</v>
      </c>
    </row>
    <row r="81" spans="1:26" x14ac:dyDescent="0.25">
      <c r="A81" s="3">
        <v>237967</v>
      </c>
      <c r="B81" s="4" t="s">
        <v>215</v>
      </c>
      <c r="C81" s="5" t="str">
        <f>VLOOKUP(B81,[1]Sheet1!$A:$C,3,FALSE)</f>
        <v>Adrianodsnascimento03@gmail.com</v>
      </c>
      <c r="D81" s="6" t="str">
        <f>VLOOKUP(B81,[2]Planilha1!$A:$R,10,FALSE)</f>
        <v>982040507</v>
      </c>
      <c r="E81" s="6" t="s">
        <v>26</v>
      </c>
      <c r="F81" s="6" t="s">
        <v>35</v>
      </c>
      <c r="G81" s="6" t="s">
        <v>28</v>
      </c>
      <c r="H81" s="6" t="s">
        <v>216</v>
      </c>
      <c r="I81" s="3">
        <v>237967</v>
      </c>
      <c r="J81" s="7"/>
      <c r="K81" s="8">
        <f>VLOOKUP(B81,[2]Planilha1!$A:$N,14,FALSE)</f>
        <v>31002</v>
      </c>
      <c r="L81" s="6" t="str">
        <f>VLOOKUP(B81,[2]Planilha1!$A:$R,16,FALSE)</f>
        <v>SP</v>
      </c>
      <c r="M81" s="6" t="str">
        <f>VLOOKUP(B81,[2]Planilha1!$A:$R,18,FALSE)</f>
        <v>CUBATAO</v>
      </c>
      <c r="N81" s="6" t="s">
        <v>30</v>
      </c>
      <c r="O81" s="6" t="str">
        <f>VLOOKUP(B81,[2]Planilha1!$A:$R,9,FALSE)</f>
        <v>11714-480</v>
      </c>
      <c r="P81" s="6" t="str">
        <f>VLOOKUP(B81,[2]Planilha1!$A:$C,3,FALSE)</f>
        <v>R HENRIQUETA LISBOA</v>
      </c>
      <c r="Q81" s="6" t="str">
        <f>VLOOKUP(B81,[2]Planilha1!$A:$G,7,FALSE)</f>
        <v>687</v>
      </c>
      <c r="R81" s="6" t="str">
        <f>VLOOKUP(B81,[2]Planilha1!$A:$H,8,FALSE)</f>
        <v/>
      </c>
      <c r="S81" s="6" t="str">
        <f>VLOOKUP(B81,[2]Planilha1!$A:$D,4,FALSE)</f>
        <v>Jardim Trevo</v>
      </c>
      <c r="T81" s="6" t="str">
        <f>VLOOKUP(B81,[2]Planilha1!$A:$E,5,FALSE)</f>
        <v>PRAIA GRANDE</v>
      </c>
      <c r="U81" s="6" t="s">
        <v>31</v>
      </c>
      <c r="V81" s="6" t="str">
        <f>VLOOKUP(B81,[2]Planilha1!$A:$R,13,FALSE)</f>
        <v>Parda</v>
      </c>
      <c r="W81" s="6" t="str">
        <f>VLOOKUP(B81,[2]Planilha1!$A:$B,2,FALSE)</f>
        <v>Solteiro</v>
      </c>
      <c r="X81" s="6" t="str">
        <f>VLOOKUP(B81,[2]Planilha1!$A:$R,15,FALSE)</f>
        <v>342611811</v>
      </c>
      <c r="Y81" s="6" t="s">
        <v>32</v>
      </c>
      <c r="Z81" s="6" t="s">
        <v>31</v>
      </c>
    </row>
    <row r="82" spans="1:26" x14ac:dyDescent="0.25">
      <c r="A82" s="3">
        <v>237907</v>
      </c>
      <c r="B82" s="4" t="s">
        <v>217</v>
      </c>
      <c r="C82" s="5" t="str">
        <f>VLOOKUP(B82,[1]Sheet1!$A:$C,3,FALSE)</f>
        <v>jonathammf@hotmail.com</v>
      </c>
      <c r="D82" s="6" t="str">
        <f>VLOOKUP(B82,[2]Planilha1!$A:$R,10,FALSE)</f>
        <v>34916115</v>
      </c>
      <c r="E82" s="6" t="s">
        <v>26</v>
      </c>
      <c r="F82" s="6" t="s">
        <v>41</v>
      </c>
      <c r="G82" s="6" t="s">
        <v>28</v>
      </c>
      <c r="H82" s="6" t="s">
        <v>218</v>
      </c>
      <c r="I82" s="3">
        <v>237907</v>
      </c>
      <c r="J82" s="7"/>
      <c r="K82" s="8">
        <f>VLOOKUP(B82,[2]Planilha1!$A:$N,14,FALSE)</f>
        <v>31637</v>
      </c>
      <c r="L82" s="6" t="str">
        <f>VLOOKUP(B82,[2]Planilha1!$A:$R,16,FALSE)</f>
        <v>SP</v>
      </c>
      <c r="M82" s="6" t="str">
        <f>VLOOKUP(B82,[2]Planilha1!$A:$R,18,FALSE)</f>
        <v>CUBATAO</v>
      </c>
      <c r="N82" s="6" t="s">
        <v>30</v>
      </c>
      <c r="O82" s="6" t="str">
        <f>VLOOKUP(B82,[2]Planilha1!$A:$R,9,FALSE)</f>
        <v>11700-450</v>
      </c>
      <c r="P82" s="6" t="str">
        <f>VLOOKUP(B82,[2]Planilha1!$A:$C,3,FALSE)</f>
        <v>R Cínthia Giufrida</v>
      </c>
      <c r="Q82" s="6" t="str">
        <f>VLOOKUP(B82,[2]Planilha1!$A:$G,7,FALSE)</f>
        <v>437</v>
      </c>
      <c r="R82" s="6" t="str">
        <f>VLOOKUP(B82,[2]Planilha1!$A:$H,8,FALSE)</f>
        <v/>
      </c>
      <c r="S82" s="6" t="str">
        <f>VLOOKUP(B82,[2]Planilha1!$A:$D,4,FALSE)</f>
        <v>Canto do Forte</v>
      </c>
      <c r="T82" s="6" t="str">
        <f>VLOOKUP(B82,[2]Planilha1!$A:$E,5,FALSE)</f>
        <v>PRAIA GRANDE</v>
      </c>
      <c r="U82" s="6" t="s">
        <v>31</v>
      </c>
      <c r="V82" s="6" t="str">
        <f>VLOOKUP(B82,[2]Planilha1!$A:$R,13,FALSE)</f>
        <v>Parda</v>
      </c>
      <c r="W82" s="6" t="str">
        <f>VLOOKUP(B82,[2]Planilha1!$A:$B,2,FALSE)</f>
        <v>Casado</v>
      </c>
      <c r="X82" s="6" t="str">
        <f>VLOOKUP(B82,[2]Planilha1!$A:$R,15,FALSE)</f>
        <v>325631967</v>
      </c>
      <c r="Y82" s="6" t="s">
        <v>32</v>
      </c>
      <c r="Z82" s="6" t="s">
        <v>31</v>
      </c>
    </row>
    <row r="83" spans="1:26" x14ac:dyDescent="0.25">
      <c r="A83" s="3">
        <v>92070</v>
      </c>
      <c r="B83" s="4" t="s">
        <v>219</v>
      </c>
      <c r="C83" s="5" t="str">
        <f>VLOOKUP(B83,[1]Sheet1!$A:$C,3,FALSE)</f>
        <v>carlinha_persich@hotmail.com</v>
      </c>
      <c r="D83" s="6" t="str">
        <f>VLOOKUP(B83,[2]Planilha1!$A:$R,10,FALSE)</f>
        <v>981242207</v>
      </c>
      <c r="E83" s="6" t="s">
        <v>34</v>
      </c>
      <c r="F83" s="6" t="s">
        <v>35</v>
      </c>
      <c r="G83" s="6" t="s">
        <v>28</v>
      </c>
      <c r="H83" s="6" t="s">
        <v>220</v>
      </c>
      <c r="I83" s="3">
        <v>92070</v>
      </c>
      <c r="J83" s="7"/>
      <c r="K83" s="8">
        <f>VLOOKUP(B83,[2]Planilha1!$A:$N,14,FALSE)</f>
        <v>32527</v>
      </c>
      <c r="L83" s="6" t="str">
        <f>VLOOKUP(B83,[2]Planilha1!$A:$R,16,FALSE)</f>
        <v>SP</v>
      </c>
      <c r="M83" s="6" t="str">
        <f>VLOOKUP(B83,[2]Planilha1!$A:$R,18,FALSE)</f>
        <v>GUARUJA</v>
      </c>
      <c r="N83" s="6" t="s">
        <v>30</v>
      </c>
      <c r="O83" s="6" t="str">
        <f>VLOOKUP(B83,[2]Planilha1!$A:$R,9,FALSE)</f>
        <v>11461-680</v>
      </c>
      <c r="P83" s="6" t="str">
        <f>VLOOKUP(B83,[2]Planilha1!$A:$C,3,FALSE)</f>
        <v>R CASA BRANCA</v>
      </c>
      <c r="Q83" s="6" t="str">
        <f>VLOOKUP(B83,[2]Planilha1!$A:$G,7,FALSE)</f>
        <v>378</v>
      </c>
      <c r="R83" s="6" t="str">
        <f>VLOOKUP(B83,[2]Planilha1!$A:$H,8,FALSE)</f>
        <v>CASA ALTOS</v>
      </c>
      <c r="S83" s="6" t="str">
        <f>VLOOKUP(B83,[2]Planilha1!$A:$D,4,FALSE)</f>
        <v>Sítio Paecara (Vicente carvalho</v>
      </c>
      <c r="T83" s="6" t="str">
        <f>VLOOKUP(B83,[2]Planilha1!$A:$E,5,FALSE)</f>
        <v>GUARUJA</v>
      </c>
      <c r="U83" s="6" t="s">
        <v>31</v>
      </c>
      <c r="V83" s="6" t="str">
        <f>VLOOKUP(B83,[2]Planilha1!$A:$R,13,FALSE)</f>
        <v>Parda</v>
      </c>
      <c r="W83" s="6" t="str">
        <f>VLOOKUP(B83,[2]Planilha1!$A:$B,2,FALSE)</f>
        <v>Viúvo</v>
      </c>
      <c r="X83" s="6" t="str">
        <f>VLOOKUP(B83,[2]Planilha1!$A:$R,15,FALSE)</f>
        <v>46004042X</v>
      </c>
      <c r="Y83" s="6" t="s">
        <v>32</v>
      </c>
      <c r="Z83" s="6" t="s">
        <v>31</v>
      </c>
    </row>
    <row r="84" spans="1:26" x14ac:dyDescent="0.25">
      <c r="A84" s="3">
        <v>237749</v>
      </c>
      <c r="B84" s="4" t="s">
        <v>221</v>
      </c>
      <c r="C84" s="5" t="str">
        <f>VLOOKUP(B84,[1]Sheet1!$A:$C,3,FALSE)</f>
        <v>kinder.dan@hotmail.com</v>
      </c>
      <c r="D84" s="6" t="str">
        <f>VLOOKUP(B84,[2]Planilha1!$A:$R,10,FALSE)</f>
        <v/>
      </c>
      <c r="E84" s="6" t="s">
        <v>26</v>
      </c>
      <c r="F84" s="6" t="s">
        <v>35</v>
      </c>
      <c r="G84" s="6" t="s">
        <v>28</v>
      </c>
      <c r="H84" s="6" t="s">
        <v>222</v>
      </c>
      <c r="I84" s="3">
        <v>237749</v>
      </c>
      <c r="J84" s="7"/>
      <c r="K84" s="8">
        <f>VLOOKUP(B84,[2]Planilha1!$A:$N,14,FALSE)</f>
        <v>31447</v>
      </c>
      <c r="L84" s="6" t="str">
        <f>VLOOKUP(B84,[2]Planilha1!$A:$R,16,FALSE)</f>
        <v>SP</v>
      </c>
      <c r="M84" s="6" t="str">
        <f>VLOOKUP(B84,[2]Planilha1!$A:$R,18,FALSE)</f>
        <v>GUARUJA</v>
      </c>
      <c r="N84" s="6" t="s">
        <v>30</v>
      </c>
      <c r="O84" s="6" t="str">
        <f>VLOOKUP(B84,[2]Planilha1!$A:$R,9,FALSE)</f>
        <v>11495-019</v>
      </c>
      <c r="P84" s="6" t="str">
        <f>VLOOKUP(B84,[2]Planilha1!$A:$C,3,FALSE)</f>
        <v>R Antonio Domingues de Oliveira</v>
      </c>
      <c r="Q84" s="6" t="str">
        <f>VLOOKUP(B84,[2]Planilha1!$A:$G,7,FALSE)</f>
        <v>196</v>
      </c>
      <c r="R84" s="6" t="str">
        <f>VLOOKUP(B84,[2]Planilha1!$A:$H,8,FALSE)</f>
        <v>LTE13QDR19</v>
      </c>
      <c r="S84" s="6" t="str">
        <f>VLOOKUP(B84,[2]Planilha1!$A:$D,4,FALSE)</f>
        <v>Morrinhos</v>
      </c>
      <c r="T84" s="6" t="str">
        <f>VLOOKUP(B84,[2]Planilha1!$A:$E,5,FALSE)</f>
        <v>GUARUJA</v>
      </c>
      <c r="U84" s="6" t="s">
        <v>31</v>
      </c>
      <c r="V84" s="6" t="str">
        <f>VLOOKUP(B84,[2]Planilha1!$A:$R,13,FALSE)</f>
        <v>Parda</v>
      </c>
      <c r="W84" s="6" t="str">
        <f>VLOOKUP(B84,[2]Planilha1!$A:$B,2,FALSE)</f>
        <v>Casado</v>
      </c>
      <c r="X84" s="6" t="str">
        <f>VLOOKUP(B84,[2]Planilha1!$A:$R,15,FALSE)</f>
        <v>438887141</v>
      </c>
      <c r="Y84" s="6" t="s">
        <v>32</v>
      </c>
      <c r="Z84" s="6" t="s">
        <v>31</v>
      </c>
    </row>
    <row r="85" spans="1:26" x14ac:dyDescent="0.25">
      <c r="A85" s="3">
        <v>237986</v>
      </c>
      <c r="B85" s="4" t="s">
        <v>223</v>
      </c>
      <c r="C85" s="5" t="str">
        <f>VLOOKUP(B85,[1]Sheet1!$A:$C,3,FALSE)</f>
        <v>leandrofesilva26@gmail.com</v>
      </c>
      <c r="D85" s="6" t="str">
        <f>VLOOKUP(B85,[2]Planilha1!$A:$R,10,FALSE)</f>
        <v>996954023</v>
      </c>
      <c r="E85" s="6" t="s">
        <v>26</v>
      </c>
      <c r="F85" s="6" t="s">
        <v>224</v>
      </c>
      <c r="G85" s="6" t="s">
        <v>28</v>
      </c>
      <c r="H85" s="6" t="s">
        <v>225</v>
      </c>
      <c r="I85" s="3">
        <v>237986</v>
      </c>
      <c r="J85" s="7"/>
      <c r="K85" s="8">
        <f>VLOOKUP(B85,[2]Planilha1!$A:$N,14,FALSE)</f>
        <v>31517</v>
      </c>
      <c r="L85" s="6" t="str">
        <f>VLOOKUP(B85,[2]Planilha1!$A:$R,16,FALSE)</f>
        <v>SP</v>
      </c>
      <c r="M85" s="6" t="str">
        <f>VLOOKUP(B85,[2]Planilha1!$A:$R,18,FALSE)</f>
        <v>GUARUJA</v>
      </c>
      <c r="N85" s="6" t="s">
        <v>30</v>
      </c>
      <c r="O85" s="6" t="str">
        <f>VLOOKUP(B85,[2]Planilha1!$A:$R,9,FALSE)</f>
        <v>11442-160</v>
      </c>
      <c r="P85" s="6" t="str">
        <f>VLOOKUP(B85,[2]Planilha1!$A:$C,3,FALSE)</f>
        <v>R GUILHERME SALERA</v>
      </c>
      <c r="Q85" s="6" t="str">
        <f>VLOOKUP(B85,[2]Planilha1!$A:$G,7,FALSE)</f>
        <v>24</v>
      </c>
      <c r="R85" s="6" t="str">
        <f>VLOOKUP(B85,[2]Planilha1!$A:$H,8,FALSE)</f>
        <v>FUNDOS</v>
      </c>
      <c r="S85" s="6" t="str">
        <f>VLOOKUP(B85,[2]Planilha1!$A:$D,4,FALSE)</f>
        <v>Jardim Virgínia</v>
      </c>
      <c r="T85" s="6" t="str">
        <f>VLOOKUP(B85,[2]Planilha1!$A:$E,5,FALSE)</f>
        <v>GUARUJA</v>
      </c>
      <c r="U85" s="6" t="s">
        <v>31</v>
      </c>
      <c r="V85" s="6" t="str">
        <f>VLOOKUP(B85,[2]Planilha1!$A:$R,13,FALSE)</f>
        <v>Parda</v>
      </c>
      <c r="W85" s="6" t="str">
        <f>VLOOKUP(B85,[2]Planilha1!$A:$B,2,FALSE)</f>
        <v>Casado</v>
      </c>
      <c r="X85" s="6" t="str">
        <f>VLOOKUP(B85,[2]Planilha1!$A:$R,15,FALSE)</f>
        <v>427820273</v>
      </c>
      <c r="Y85" s="6" t="s">
        <v>32</v>
      </c>
      <c r="Z85" s="6" t="s">
        <v>31</v>
      </c>
    </row>
    <row r="86" spans="1:26" x14ac:dyDescent="0.25">
      <c r="A86" s="3">
        <v>237903</v>
      </c>
      <c r="B86" s="4" t="s">
        <v>226</v>
      </c>
      <c r="C86" s="5" t="str">
        <f>VLOOKUP(B86,[1]Sheet1!$A:$C,3,FALSE)</f>
        <v>leonardobertola.mec@outlook.com</v>
      </c>
      <c r="D86" s="6" t="str">
        <f>VLOOKUP(B86,[2]Planilha1!$A:$R,10,FALSE)</f>
        <v>33722132</v>
      </c>
      <c r="E86" s="6" t="s">
        <v>26</v>
      </c>
      <c r="F86" s="6" t="s">
        <v>41</v>
      </c>
      <c r="G86" s="6" t="s">
        <v>28</v>
      </c>
      <c r="H86" s="6" t="s">
        <v>227</v>
      </c>
      <c r="I86" s="3">
        <v>237903</v>
      </c>
      <c r="J86" s="7"/>
      <c r="K86" s="8">
        <f>VLOOKUP(B86,[2]Planilha1!$A:$N,14,FALSE)</f>
        <v>34613</v>
      </c>
      <c r="L86" s="6" t="str">
        <f>VLOOKUP(B86,[2]Planilha1!$A:$R,16,FALSE)</f>
        <v>SP</v>
      </c>
      <c r="M86" s="6" t="str">
        <f>VLOOKUP(B86,[2]Planilha1!$A:$R,18,FALSE)</f>
        <v>CUBATAO</v>
      </c>
      <c r="N86" s="6" t="s">
        <v>30</v>
      </c>
      <c r="O86" s="6" t="str">
        <f>VLOOKUP(B86,[2]Planilha1!$A:$R,9,FALSE)</f>
        <v>11500-200</v>
      </c>
      <c r="P86" s="6" t="str">
        <f>VLOOKUP(B86,[2]Planilha1!$A:$C,3,FALSE)</f>
        <v>R PADRE PRIMO MARIA VIEIRA</v>
      </c>
      <c r="Q86" s="6" t="str">
        <f>VLOOKUP(B86,[2]Planilha1!$A:$G,7,FALSE)</f>
        <v>228</v>
      </c>
      <c r="R86" s="6" t="str">
        <f>VLOOKUP(B86,[2]Planilha1!$A:$H,8,FALSE)</f>
        <v>CASA</v>
      </c>
      <c r="S86" s="6" t="str">
        <f>VLOOKUP(B86,[2]Planilha1!$A:$D,4,FALSE)</f>
        <v>Jardim São Francisco</v>
      </c>
      <c r="T86" s="6" t="str">
        <f>VLOOKUP(B86,[2]Planilha1!$A:$E,5,FALSE)</f>
        <v>CUBATAO</v>
      </c>
      <c r="U86" s="6" t="s">
        <v>31</v>
      </c>
      <c r="V86" s="6" t="str">
        <f>VLOOKUP(B86,[2]Planilha1!$A:$R,13,FALSE)</f>
        <v>Parda</v>
      </c>
      <c r="W86" s="6" t="str">
        <f>VLOOKUP(B86,[2]Planilha1!$A:$B,2,FALSE)</f>
        <v>Casado</v>
      </c>
      <c r="X86" s="6" t="str">
        <f>VLOOKUP(B86,[2]Planilha1!$A:$R,15,FALSE)</f>
        <v>423452691</v>
      </c>
      <c r="Y86" s="6" t="s">
        <v>32</v>
      </c>
      <c r="Z86" s="6" t="s">
        <v>31</v>
      </c>
    </row>
    <row r="87" spans="1:26" x14ac:dyDescent="0.25">
      <c r="A87" s="9"/>
      <c r="B87" s="10" t="s">
        <v>228</v>
      </c>
      <c r="C87" s="11" t="str">
        <f>VLOOKUP(B87,[1]Sheet1!$A:$C,3,FALSE)</f>
        <v>tricolormafra@gmail.com</v>
      </c>
      <c r="D87" s="12" t="str">
        <f>VLOOKUP(B87,[2]Planilha1!$A:$R,10,FALSE)</f>
        <v>991438316</v>
      </c>
      <c r="E87" s="12" t="s">
        <v>26</v>
      </c>
      <c r="F87" s="12" t="s">
        <v>229</v>
      </c>
      <c r="G87" s="12" t="s">
        <v>28</v>
      </c>
      <c r="H87" s="12" t="s">
        <v>230</v>
      </c>
      <c r="I87" s="9"/>
      <c r="J87" s="20" t="s">
        <v>50</v>
      </c>
      <c r="K87" s="15">
        <f>VLOOKUP(B87,[2]Planilha1!$A:$N,14,FALSE)</f>
        <v>31660</v>
      </c>
      <c r="L87" s="12" t="str">
        <f>VLOOKUP(B87,[2]Planilha1!$A:$R,16,FALSE)</f>
        <v>SP</v>
      </c>
      <c r="M87" s="12" t="str">
        <f>VLOOKUP(B87,[2]Planilha1!$A:$R,18,FALSE)</f>
        <v>SAO BERNARDO DO CAMPO</v>
      </c>
      <c r="N87" s="12" t="s">
        <v>30</v>
      </c>
      <c r="O87" s="12" t="str">
        <f>VLOOKUP(B87,[2]Planilha1!$A:$R,9,FALSE)</f>
        <v>11365-130</v>
      </c>
      <c r="P87" s="12" t="str">
        <f>VLOOKUP(B87,[2]Planilha1!$A:$C,3,FALSE)</f>
        <v>R Miguel Rocha dos Passos</v>
      </c>
      <c r="Q87" s="12" t="str">
        <f>VLOOKUP(B87,[2]Planilha1!$A:$G,7,FALSE)</f>
        <v>81</v>
      </c>
      <c r="R87" s="12" t="str">
        <f>VLOOKUP(B87,[2]Planilha1!$A:$H,8,FALSE)</f>
        <v/>
      </c>
      <c r="S87" s="12" t="str">
        <f>VLOOKUP(B87,[2]Planilha1!$A:$D,4,FALSE)</f>
        <v>Vila Jockei Clube</v>
      </c>
      <c r="T87" s="12" t="str">
        <f>VLOOKUP(B87,[2]Planilha1!$A:$E,5,FALSE)</f>
        <v>SAO VICENTE</v>
      </c>
      <c r="U87" s="12" t="s">
        <v>31</v>
      </c>
      <c r="V87" s="12" t="str">
        <f>VLOOKUP(B87,[2]Planilha1!$A:$R,13,FALSE)</f>
        <v>Parda</v>
      </c>
      <c r="W87" s="12" t="str">
        <f>VLOOKUP(B87,[2]Planilha1!$A:$B,2,FALSE)</f>
        <v>Casado</v>
      </c>
      <c r="X87" s="12" t="str">
        <f>VLOOKUP(B87,[2]Planilha1!$A:$R,15,FALSE)</f>
        <v>427245837</v>
      </c>
      <c r="Y87" s="12" t="s">
        <v>32</v>
      </c>
      <c r="Z87" s="12" t="s">
        <v>31</v>
      </c>
    </row>
    <row r="88" spans="1:26" x14ac:dyDescent="0.25">
      <c r="A88" s="3">
        <v>237968</v>
      </c>
      <c r="B88" s="4" t="s">
        <v>231</v>
      </c>
      <c r="C88" s="5" t="str">
        <f>VLOOKUP(B88,[1]Sheet1!$A:$C,3,FALSE)</f>
        <v>williamos786@gmail.com</v>
      </c>
      <c r="D88" s="6" t="str">
        <f>VLOOKUP(B88,[2]Planilha1!$A:$R,10,FALSE)</f>
        <v>34613683</v>
      </c>
      <c r="E88" s="6" t="s">
        <v>26</v>
      </c>
      <c r="F88" s="6" t="s">
        <v>35</v>
      </c>
      <c r="G88" s="6" t="s">
        <v>28</v>
      </c>
      <c r="H88" s="6" t="s">
        <v>232</v>
      </c>
      <c r="I88" s="3">
        <v>237968</v>
      </c>
      <c r="J88" s="7"/>
      <c r="K88" s="8">
        <f>VLOOKUP(B88,[2]Planilha1!$A:$N,14,FALSE)</f>
        <v>31271</v>
      </c>
      <c r="L88" s="6" t="str">
        <f>VLOOKUP(B88,[2]Planilha1!$A:$R,16,FALSE)</f>
        <v>SP</v>
      </c>
      <c r="M88" s="6" t="str">
        <f>VLOOKUP(B88,[2]Planilha1!$A:$R,18,FALSE)</f>
        <v>SANTOS</v>
      </c>
      <c r="N88" s="6" t="s">
        <v>30</v>
      </c>
      <c r="O88" s="6" t="str">
        <f>VLOOKUP(B88,[2]Planilha1!$A:$R,9,FALSE)</f>
        <v>11335-020</v>
      </c>
      <c r="P88" s="6" t="str">
        <f>VLOOKUP(B88,[2]Planilha1!$A:$C,3,FALSE)</f>
        <v>R Monte Plano</v>
      </c>
      <c r="Q88" s="6" t="str">
        <f>VLOOKUP(B88,[2]Planilha1!$A:$G,7,FALSE)</f>
        <v>134</v>
      </c>
      <c r="R88" s="6" t="str">
        <f>VLOOKUP(B88,[2]Planilha1!$A:$H,8,FALSE)</f>
        <v>Casa. 9</v>
      </c>
      <c r="S88" s="6" t="str">
        <f>VLOOKUP(B88,[2]Planilha1!$A:$D,4,FALSE)</f>
        <v>Vila Margarida</v>
      </c>
      <c r="T88" s="6" t="str">
        <f>VLOOKUP(B88,[2]Planilha1!$A:$E,5,FALSE)</f>
        <v>SAO VICENTE</v>
      </c>
      <c r="U88" s="6" t="s">
        <v>31</v>
      </c>
      <c r="V88" s="6" t="str">
        <f>VLOOKUP(B88,[2]Planilha1!$A:$R,13,FALSE)</f>
        <v>Parda</v>
      </c>
      <c r="W88" s="6" t="str">
        <f>VLOOKUP(B88,[2]Planilha1!$A:$B,2,FALSE)</f>
        <v>Solteiro</v>
      </c>
      <c r="X88" s="6" t="str">
        <f>VLOOKUP(B88,[2]Planilha1!$A:$R,15,FALSE)</f>
        <v>437998861</v>
      </c>
      <c r="Y88" s="6" t="s">
        <v>32</v>
      </c>
      <c r="Z88" s="6" t="s">
        <v>31</v>
      </c>
    </row>
    <row r="89" spans="1:26" x14ac:dyDescent="0.25">
      <c r="A89" s="3">
        <v>237902</v>
      </c>
      <c r="B89" s="4" t="s">
        <v>233</v>
      </c>
      <c r="C89" s="5" t="str">
        <f>VLOOKUP(B89,[1]Sheet1!$A:$C,3,FALSE)</f>
        <v>danilo_anjos15@hotmail.com</v>
      </c>
      <c r="D89" s="6" t="str">
        <f>VLOOKUP(B89,[2]Planilha1!$A:$R,10,FALSE)</f>
        <v>991455805</v>
      </c>
      <c r="E89" s="6" t="s">
        <v>26</v>
      </c>
      <c r="F89" s="6" t="s">
        <v>35</v>
      </c>
      <c r="G89" s="6" t="s">
        <v>28</v>
      </c>
      <c r="H89" s="6" t="s">
        <v>234</v>
      </c>
      <c r="I89" s="3">
        <v>237902</v>
      </c>
      <c r="J89" s="7"/>
      <c r="K89" s="8">
        <f>VLOOKUP(B89,[2]Planilha1!$A:$N,14,FALSE)</f>
        <v>32012</v>
      </c>
      <c r="L89" s="6" t="str">
        <f>VLOOKUP(B89,[2]Planilha1!$A:$R,16,FALSE)</f>
        <v>SP</v>
      </c>
      <c r="M89" s="6" t="str">
        <f>VLOOKUP(B89,[2]Planilha1!$A:$R,18,FALSE)</f>
        <v>SANTOS</v>
      </c>
      <c r="N89" s="6" t="s">
        <v>30</v>
      </c>
      <c r="O89" s="6" t="str">
        <f>VLOOKUP(B89,[2]Planilha1!$A:$R,9,FALSE)</f>
        <v>11015-220</v>
      </c>
      <c r="P89" s="6" t="str">
        <f>VLOOKUP(B89,[2]Planilha1!$A:$C,3,FALSE)</f>
        <v>R CONSELHEIRO JOAO ALFREDO</v>
      </c>
      <c r="Q89" s="6" t="str">
        <f>VLOOKUP(B89,[2]Planilha1!$A:$G,7,FALSE)</f>
        <v>362</v>
      </c>
      <c r="R89" s="6" t="str">
        <f>VLOOKUP(B89,[2]Planilha1!$A:$H,8,FALSE)</f>
        <v>BLOCO A APARTAMENTO 31</v>
      </c>
      <c r="S89" s="6" t="str">
        <f>VLOOKUP(B89,[2]Planilha1!$A:$D,4,FALSE)</f>
        <v>Macuco</v>
      </c>
      <c r="T89" s="6" t="str">
        <f>VLOOKUP(B89,[2]Planilha1!$A:$E,5,FALSE)</f>
        <v>SANTOS</v>
      </c>
      <c r="U89" s="6" t="s">
        <v>31</v>
      </c>
      <c r="V89" s="6" t="str">
        <f>VLOOKUP(B89,[2]Planilha1!$A:$R,13,FALSE)</f>
        <v>Parda</v>
      </c>
      <c r="W89" s="6" t="str">
        <f>VLOOKUP(B89,[2]Planilha1!$A:$B,2,FALSE)</f>
        <v>Casado</v>
      </c>
      <c r="X89" s="6" t="str">
        <f>VLOOKUP(B89,[2]Planilha1!$A:$R,15,FALSE)</f>
        <v>450920975</v>
      </c>
      <c r="Y89" s="6" t="s">
        <v>32</v>
      </c>
      <c r="Z89" s="6" t="s">
        <v>31</v>
      </c>
    </row>
    <row r="90" spans="1:26" x14ac:dyDescent="0.25">
      <c r="A90" s="3">
        <v>237985</v>
      </c>
      <c r="B90" s="4" t="s">
        <v>235</v>
      </c>
      <c r="C90" s="5" t="str">
        <f>VLOOKUP(B90,[1]Sheet1!$A:$C,3,FALSE)</f>
        <v>leonardolenilza46@gmail.com</v>
      </c>
      <c r="D90" s="6" t="str">
        <f>VLOOKUP(B90,[2]Planilha1!$A:$R,10,FALSE)</f>
        <v>997081464</v>
      </c>
      <c r="E90" s="6" t="s">
        <v>26</v>
      </c>
      <c r="F90" s="6" t="s">
        <v>35</v>
      </c>
      <c r="G90" s="6" t="s">
        <v>28</v>
      </c>
      <c r="H90" s="6" t="s">
        <v>236</v>
      </c>
      <c r="I90" s="3">
        <v>237985</v>
      </c>
      <c r="J90" s="7"/>
      <c r="K90" s="8">
        <f>VLOOKUP(B90,[2]Planilha1!$A:$N,14,FALSE)</f>
        <v>32142</v>
      </c>
      <c r="L90" s="6" t="str">
        <f>VLOOKUP(B90,[2]Planilha1!$A:$R,16,FALSE)</f>
        <v>SP</v>
      </c>
      <c r="M90" s="6" t="str">
        <f>VLOOKUP(B90,[2]Planilha1!$A:$R,18,FALSE)</f>
        <v>SANTOS</v>
      </c>
      <c r="N90" s="6" t="s">
        <v>30</v>
      </c>
      <c r="O90" s="6" t="str">
        <f>VLOOKUP(B90,[2]Planilha1!$A:$R,9,FALSE)</f>
        <v>11081-290</v>
      </c>
      <c r="P90" s="6" t="str">
        <f>VLOOKUP(B90,[2]Planilha1!$A:$C,3,FALSE)</f>
        <v>R Nove</v>
      </c>
      <c r="Q90" s="6" t="str">
        <f>VLOOKUP(B90,[2]Planilha1!$A:$G,7,FALSE)</f>
        <v>323</v>
      </c>
      <c r="R90" s="6" t="str">
        <f>VLOOKUP(B90,[2]Planilha1!$A:$H,8,FALSE)</f>
        <v/>
      </c>
      <c r="S90" s="6" t="str">
        <f>VLOOKUP(B90,[2]Planilha1!$A:$D,4,FALSE)</f>
        <v>Morro Penha</v>
      </c>
      <c r="T90" s="6" t="str">
        <f>VLOOKUP(B90,[2]Planilha1!$A:$E,5,FALSE)</f>
        <v>SANTOS</v>
      </c>
      <c r="U90" s="6" t="s">
        <v>31</v>
      </c>
      <c r="V90" s="6" t="str">
        <f>VLOOKUP(B90,[2]Planilha1!$A:$R,13,FALSE)</f>
        <v>Parda</v>
      </c>
      <c r="W90" s="6" t="str">
        <f>VLOOKUP(B90,[2]Planilha1!$A:$B,2,FALSE)</f>
        <v>Casado</v>
      </c>
      <c r="X90" s="6" t="str">
        <f>VLOOKUP(B90,[2]Planilha1!$A:$R,15,FALSE)</f>
        <v>441652372</v>
      </c>
      <c r="Y90" s="6" t="s">
        <v>32</v>
      </c>
      <c r="Z90" s="6" t="s">
        <v>31</v>
      </c>
    </row>
    <row r="91" spans="1:26" x14ac:dyDescent="0.25">
      <c r="A91" s="3">
        <v>237855</v>
      </c>
      <c r="B91" s="4" t="s">
        <v>237</v>
      </c>
      <c r="C91" s="5" t="str">
        <f>VLOOKUP(B91,[1]Sheet1!$A:$C,3,FALSE)</f>
        <v>c.rodrigo@btp.com.br</v>
      </c>
      <c r="D91" s="6">
        <v>997734741</v>
      </c>
      <c r="E91" s="6" t="s">
        <v>26</v>
      </c>
      <c r="F91" s="6" t="s">
        <v>66</v>
      </c>
      <c r="G91" s="6" t="s">
        <v>28</v>
      </c>
      <c r="H91" s="6" t="s">
        <v>238</v>
      </c>
      <c r="I91" s="3">
        <v>237855</v>
      </c>
      <c r="J91" s="7"/>
      <c r="K91" s="8">
        <v>31381</v>
      </c>
      <c r="L91" s="6" t="s">
        <v>31</v>
      </c>
      <c r="M91" s="6" t="s">
        <v>43</v>
      </c>
      <c r="N91" s="6" t="s">
        <v>30</v>
      </c>
      <c r="O91" s="21" t="s">
        <v>239</v>
      </c>
      <c r="P91" s="6" t="s">
        <v>240</v>
      </c>
      <c r="Q91" s="6">
        <v>36</v>
      </c>
      <c r="R91" s="6">
        <v>13</v>
      </c>
      <c r="S91" s="6" t="s">
        <v>241</v>
      </c>
      <c r="T91" s="6" t="s">
        <v>43</v>
      </c>
      <c r="U91" s="6" t="s">
        <v>31</v>
      </c>
      <c r="V91" s="6" t="s">
        <v>47</v>
      </c>
      <c r="W91" s="6" t="str">
        <f>VLOOKUP(B91,[2]Planilha1!$A:$B,2,FALSE)</f>
        <v>União Estável</v>
      </c>
      <c r="X91" s="6">
        <v>444544689</v>
      </c>
      <c r="Y91" s="6" t="s">
        <v>32</v>
      </c>
      <c r="Z91" s="6" t="s">
        <v>31</v>
      </c>
    </row>
    <row r="92" spans="1:26" x14ac:dyDescent="0.25">
      <c r="A92" s="3">
        <v>237817</v>
      </c>
      <c r="B92" s="4" t="s">
        <v>242</v>
      </c>
      <c r="C92" s="5" t="str">
        <f>VLOOKUP(B92,[1]Sheet1!$A:$C,3,FALSE)</f>
        <v>alexsinis@gmail.com</v>
      </c>
      <c r="D92" s="6" t="str">
        <f>VLOOKUP(B92,[2]Planilha1!$A:$R,10,FALSE)</f>
        <v>981312214</v>
      </c>
      <c r="E92" s="6" t="s">
        <v>26</v>
      </c>
      <c r="F92" s="6" t="s">
        <v>35</v>
      </c>
      <c r="G92" s="6" t="s">
        <v>28</v>
      </c>
      <c r="H92" s="6" t="s">
        <v>243</v>
      </c>
      <c r="I92" s="3">
        <v>237817</v>
      </c>
      <c r="J92" s="7"/>
      <c r="K92" s="8">
        <f>VLOOKUP(B92,[2]Planilha1!$A:$N,14,FALSE)</f>
        <v>31612</v>
      </c>
      <c r="L92" s="6" t="str">
        <f>VLOOKUP(B92,[2]Planilha1!$A:$R,16,FALSE)</f>
        <v>SP</v>
      </c>
      <c r="M92" s="6" t="str">
        <f>VLOOKUP(B92,[2]Planilha1!$A:$R,18,FALSE)</f>
        <v>SAO VICENTE</v>
      </c>
      <c r="N92" s="6" t="s">
        <v>30</v>
      </c>
      <c r="O92" s="6" t="str">
        <f>VLOOKUP(B92,[2]Planilha1!$A:$R,9,FALSE)</f>
        <v>11355-410</v>
      </c>
      <c r="P92" s="6" t="str">
        <f>VLOOKUP(B92,[2]Planilha1!$A:$C,3,FALSE)</f>
        <v>R MAURICIO MOURA</v>
      </c>
      <c r="Q92" s="6" t="str">
        <f>VLOOKUP(B92,[2]Planilha1!$A:$G,7,FALSE)</f>
        <v>296</v>
      </c>
      <c r="R92" s="6" t="str">
        <f>VLOOKUP(B92,[2]Planilha1!$A:$H,8,FALSE)</f>
        <v>AP 1</v>
      </c>
      <c r="S92" s="6" t="str">
        <f>VLOOKUP(B92,[2]Planilha1!$A:$D,4,FALSE)</f>
        <v>Cidade Nautica</v>
      </c>
      <c r="T92" s="6" t="str">
        <f>VLOOKUP(B92,[2]Planilha1!$A:$E,5,FALSE)</f>
        <v>SAO VICENTE</v>
      </c>
      <c r="U92" s="6" t="s">
        <v>31</v>
      </c>
      <c r="V92" s="6" t="str">
        <f>VLOOKUP(B92,[2]Planilha1!$A:$R,13,FALSE)</f>
        <v>Parda</v>
      </c>
      <c r="W92" s="6" t="str">
        <f>VLOOKUP(B92,[2]Planilha1!$A:$B,2,FALSE)</f>
        <v>Solteiro</v>
      </c>
      <c r="X92" s="6" t="str">
        <f>VLOOKUP(B92,[2]Planilha1!$A:$R,15,FALSE)</f>
        <v>407934455</v>
      </c>
      <c r="Y92" s="6" t="s">
        <v>32</v>
      </c>
      <c r="Z92" s="6" t="s">
        <v>31</v>
      </c>
    </row>
    <row r="93" spans="1:26" x14ac:dyDescent="0.25">
      <c r="A93" s="3">
        <v>237918</v>
      </c>
      <c r="B93" s="4" t="s">
        <v>244</v>
      </c>
      <c r="C93" s="5" t="str">
        <f>VLOOKUP(B93,[1]Sheet1!$A:$C,3,FALSE)</f>
        <v xml:space="preserve">thiago_c.t@hotmail.com </v>
      </c>
      <c r="D93" s="6" t="str">
        <f>VLOOKUP(B93,[2]Planilha1!$A:$R,10,FALSE)</f>
        <v>991720980</v>
      </c>
      <c r="E93" s="6" t="s">
        <v>26</v>
      </c>
      <c r="F93" s="6" t="s">
        <v>41</v>
      </c>
      <c r="G93" s="6" t="s">
        <v>28</v>
      </c>
      <c r="H93" s="6" t="s">
        <v>245</v>
      </c>
      <c r="I93" s="3">
        <v>237918</v>
      </c>
      <c r="J93" s="7"/>
      <c r="K93" s="8">
        <f>VLOOKUP(B93,[2]Planilha1!$A:$N,14,FALSE)</f>
        <v>32808</v>
      </c>
      <c r="L93" s="6" t="str">
        <f>VLOOKUP(B93,[2]Planilha1!$A:$R,16,FALSE)</f>
        <v>SP</v>
      </c>
      <c r="M93" s="6" t="str">
        <f>VLOOKUP(B93,[2]Planilha1!$A:$R,18,FALSE)</f>
        <v>SAO VICENTE</v>
      </c>
      <c r="N93" s="6" t="s">
        <v>30</v>
      </c>
      <c r="O93" s="6" t="str">
        <f>VLOOKUP(B93,[2]Planilha1!$A:$R,9,FALSE)</f>
        <v>11350-200</v>
      </c>
      <c r="P93" s="6" t="str">
        <f>VLOOKUP(B93,[2]Planilha1!$A:$C,3,FALSE)</f>
        <v>R Guilherme Raposo de Almeida</v>
      </c>
      <c r="Q93" s="6" t="str">
        <f>VLOOKUP(B93,[2]Planilha1!$A:$G,7,FALSE)</f>
        <v>773</v>
      </c>
      <c r="R93" s="6" t="str">
        <f>VLOOKUP(B93,[2]Planilha1!$A:$H,8,FALSE)</f>
        <v>Casa</v>
      </c>
      <c r="S93" s="6" t="str">
        <f>VLOOKUP(B93,[2]Planilha1!$A:$D,4,FALSE)</f>
        <v>Cidade Nautica</v>
      </c>
      <c r="T93" s="6" t="str">
        <f>VLOOKUP(B93,[2]Planilha1!$A:$E,5,FALSE)</f>
        <v>SAO VICENTE</v>
      </c>
      <c r="U93" s="6" t="s">
        <v>31</v>
      </c>
      <c r="V93" s="6" t="str">
        <f>VLOOKUP(B93,[2]Planilha1!$A:$R,13,FALSE)</f>
        <v>Parda</v>
      </c>
      <c r="W93" s="6" t="str">
        <f>VLOOKUP(B93,[2]Planilha1!$A:$B,2,FALSE)</f>
        <v>Casado</v>
      </c>
      <c r="X93" s="6" t="str">
        <f>VLOOKUP(B93,[2]Planilha1!$A:$R,15,FALSE)</f>
        <v>467459903</v>
      </c>
      <c r="Y93" s="6" t="s">
        <v>32</v>
      </c>
      <c r="Z93" s="6" t="s">
        <v>31</v>
      </c>
    </row>
    <row r="94" spans="1:26" x14ac:dyDescent="0.25">
      <c r="A94" s="3">
        <v>237856</v>
      </c>
      <c r="B94" s="4" t="s">
        <v>246</v>
      </c>
      <c r="C94" s="5" t="str">
        <f>VLOOKUP(B94,[1]Sheet1!$A:$C,3,FALSE)</f>
        <v>hellencneves@outlook.com</v>
      </c>
      <c r="D94" s="6" t="str">
        <f>VLOOKUP(B94,[2]Planilha1!$A:$R,10,FALSE)</f>
        <v>974099129</v>
      </c>
      <c r="E94" s="6" t="s">
        <v>34</v>
      </c>
      <c r="F94" s="6" t="s">
        <v>41</v>
      </c>
      <c r="G94" s="6" t="s">
        <v>28</v>
      </c>
      <c r="H94" s="6" t="s">
        <v>247</v>
      </c>
      <c r="I94" s="3">
        <v>237856</v>
      </c>
      <c r="J94" s="7"/>
      <c r="K94" s="8">
        <f>VLOOKUP(B94,[2]Planilha1!$A:$N,14,FALSE)</f>
        <v>31600</v>
      </c>
      <c r="L94" s="6" t="str">
        <f>VLOOKUP(B94,[2]Planilha1!$A:$R,16,FALSE)</f>
        <v>SP</v>
      </c>
      <c r="M94" s="6" t="str">
        <f>VLOOKUP(B94,[2]Planilha1!$A:$R,18,FALSE)</f>
        <v>SAO VICENTE</v>
      </c>
      <c r="N94" s="6" t="s">
        <v>30</v>
      </c>
      <c r="O94" s="6" t="str">
        <f>VLOOKUP(B94,[2]Planilha1!$A:$R,9,FALSE)</f>
        <v>11380-300</v>
      </c>
      <c r="P94" s="6" t="str">
        <f>VLOOKUP(B94,[2]Planilha1!$A:$C,3,FALSE)</f>
        <v>R TENENTE DURVAL DO AMARAL</v>
      </c>
      <c r="Q94" s="6" t="str">
        <f>VLOOKUP(B94,[2]Planilha1!$A:$G,7,FALSE)</f>
        <v>301</v>
      </c>
      <c r="R94" s="6" t="str">
        <f>VLOOKUP(B94,[2]Planilha1!$A:$H,8,FALSE)</f>
        <v/>
      </c>
      <c r="S94" s="6" t="str">
        <f>VLOOKUP(B94,[2]Planilha1!$A:$D,4,FALSE)</f>
        <v>Catiapoa</v>
      </c>
      <c r="T94" s="6" t="str">
        <f>VLOOKUP(B94,[2]Planilha1!$A:$E,5,FALSE)</f>
        <v>SAO VICENTE</v>
      </c>
      <c r="U94" s="6" t="s">
        <v>31</v>
      </c>
      <c r="V94" s="6" t="str">
        <f>VLOOKUP(B94,[2]Planilha1!$A:$R,13,FALSE)</f>
        <v>Parda</v>
      </c>
      <c r="W94" s="6" t="str">
        <f>VLOOKUP(B94,[2]Planilha1!$A:$B,2,FALSE)</f>
        <v>Solteiro</v>
      </c>
      <c r="X94" s="6" t="str">
        <f>VLOOKUP(B94,[2]Planilha1!$A:$R,15,FALSE)</f>
        <v>421712983</v>
      </c>
      <c r="Y94" s="6" t="s">
        <v>32</v>
      </c>
      <c r="Z94" s="6" t="s">
        <v>31</v>
      </c>
    </row>
    <row r="95" spans="1:26" x14ac:dyDescent="0.25">
      <c r="A95" s="3">
        <v>125130</v>
      </c>
      <c r="B95" s="4" t="s">
        <v>248</v>
      </c>
      <c r="C95" s="5" t="str">
        <f>VLOOKUP(B95,[1]Sheet1!$A:$C,3,FALSE)</f>
        <v>judsonmarinho86@gmail.com</v>
      </c>
      <c r="D95" s="6" t="str">
        <f>VLOOKUP(B95,[2]Planilha1!$A:$R,10,FALSE)</f>
        <v>996109646</v>
      </c>
      <c r="E95" s="6" t="s">
        <v>26</v>
      </c>
      <c r="F95" s="6" t="s">
        <v>41</v>
      </c>
      <c r="G95" s="6" t="s">
        <v>28</v>
      </c>
      <c r="H95" s="6" t="s">
        <v>249</v>
      </c>
      <c r="I95" s="3">
        <v>125130</v>
      </c>
      <c r="J95" s="7"/>
      <c r="K95" s="8">
        <f>VLOOKUP(B95,[2]Planilha1!$A:$N,14,FALSE)</f>
        <v>31640</v>
      </c>
      <c r="L95" s="6" t="str">
        <f>VLOOKUP(B95,[2]Planilha1!$A:$R,16,FALSE)</f>
        <v>SP</v>
      </c>
      <c r="M95" s="6" t="str">
        <f>VLOOKUP(B95,[2]Planilha1!$A:$R,18,FALSE)</f>
        <v>SANTOS</v>
      </c>
      <c r="N95" s="6" t="s">
        <v>30</v>
      </c>
      <c r="O95" s="6" t="str">
        <f>VLOOKUP(B95,[2]Planilha1!$A:$R,9,FALSE)</f>
        <v>11533-570</v>
      </c>
      <c r="P95" s="6" t="str">
        <f>VLOOKUP(B95,[2]Planilha1!$A:$C,3,FALSE)</f>
        <v>R Rivaldo Alves Feitosa</v>
      </c>
      <c r="Q95" s="6" t="str">
        <f>VLOOKUP(B95,[2]Planilha1!$A:$G,7,FALSE)</f>
        <v>500</v>
      </c>
      <c r="R95" s="6" t="str">
        <f>VLOOKUP(B95,[2]Planilha1!$A:$H,8,FALSE)</f>
        <v>BL 4 AP 52</v>
      </c>
      <c r="S95" s="6" t="str">
        <f>VLOOKUP(B95,[2]Planilha1!$A:$D,4,FALSE)</f>
        <v>Parque São Luis</v>
      </c>
      <c r="T95" s="6" t="str">
        <f>VLOOKUP(B95,[2]Planilha1!$A:$E,5,FALSE)</f>
        <v>CUBATAO</v>
      </c>
      <c r="U95" s="6" t="s">
        <v>31</v>
      </c>
      <c r="V95" s="6" t="str">
        <f>VLOOKUP(B95,[2]Planilha1!$A:$R,13,FALSE)</f>
        <v>Parda</v>
      </c>
      <c r="W95" s="6" t="str">
        <f>VLOOKUP(B95,[2]Planilha1!$A:$B,2,FALSE)</f>
        <v>Casado</v>
      </c>
      <c r="X95" s="6" t="str">
        <f>VLOOKUP(B95,[2]Planilha1!$A:$R,15,FALSE)</f>
        <v>342494831</v>
      </c>
      <c r="Y95" s="6" t="s">
        <v>32</v>
      </c>
      <c r="Z95" s="6" t="s">
        <v>31</v>
      </c>
    </row>
    <row r="96" spans="1:26" x14ac:dyDescent="0.25">
      <c r="A96" s="3">
        <v>237984</v>
      </c>
      <c r="B96" s="4" t="s">
        <v>250</v>
      </c>
      <c r="C96" s="5" t="str">
        <f>VLOOKUP(B96,[1]Sheet1!$A:$C,3,FALSE)</f>
        <v>rodrigosantosviana@yahoo.com.br</v>
      </c>
      <c r="D96" s="6" t="str">
        <f>VLOOKUP(B96,[2]Planilha1!$A:$R,10,FALSE)</f>
        <v>988309673</v>
      </c>
      <c r="E96" s="6" t="s">
        <v>26</v>
      </c>
      <c r="F96" s="6" t="s">
        <v>41</v>
      </c>
      <c r="G96" s="6" t="s">
        <v>28</v>
      </c>
      <c r="H96" s="6" t="s">
        <v>251</v>
      </c>
      <c r="I96" s="3">
        <v>237984</v>
      </c>
      <c r="J96" s="7"/>
      <c r="K96" s="8">
        <f>VLOOKUP(B96,[2]Planilha1!$A:$N,14,FALSE)</f>
        <v>31694</v>
      </c>
      <c r="L96" s="6" t="str">
        <f>VLOOKUP(B96,[2]Planilha1!$A:$R,16,FALSE)</f>
        <v>SP</v>
      </c>
      <c r="M96" s="6" t="str">
        <f>VLOOKUP(B96,[2]Planilha1!$A:$R,18,FALSE)</f>
        <v>GUARUJA</v>
      </c>
      <c r="N96" s="6" t="s">
        <v>30</v>
      </c>
      <c r="O96" s="6" t="str">
        <f>VLOOKUP(B96,[2]Planilha1!$A:$R,9,FALSE)</f>
        <v>11495-157</v>
      </c>
      <c r="P96" s="6" t="str">
        <f>VLOOKUP(B96,[2]Planilha1!$A:$C,3,FALSE)</f>
        <v>TV Benedito Fernandes, Hélio Alves Martins</v>
      </c>
      <c r="Q96" s="6" t="str">
        <f>VLOOKUP(B96,[2]Planilha1!$A:$G,7,FALSE)</f>
        <v>176</v>
      </c>
      <c r="R96" s="6" t="str">
        <f>VLOOKUP(B96,[2]Planilha1!$A:$H,8,FALSE)</f>
        <v>Apartamento 21</v>
      </c>
      <c r="S96" s="6" t="str">
        <f>VLOOKUP(B96,[2]Planilha1!$A:$D,4,FALSE)</f>
        <v>Morrinhos 3</v>
      </c>
      <c r="T96" s="6" t="str">
        <f>VLOOKUP(B96,[2]Planilha1!$A:$E,5,FALSE)</f>
        <v>GUARUJA</v>
      </c>
      <c r="U96" s="6" t="s">
        <v>31</v>
      </c>
      <c r="V96" s="6" t="str">
        <f>VLOOKUP(B96,[2]Planilha1!$A:$R,13,FALSE)</f>
        <v>Parda</v>
      </c>
      <c r="W96" s="6" t="str">
        <f>VLOOKUP(B96,[2]Planilha1!$A:$B,2,FALSE)</f>
        <v>União Estável</v>
      </c>
      <c r="X96" s="6" t="str">
        <f>VLOOKUP(B96,[2]Planilha1!$A:$R,15,FALSE)</f>
        <v>440056275</v>
      </c>
      <c r="Y96" s="6" t="s">
        <v>32</v>
      </c>
      <c r="Z96" s="6" t="s">
        <v>31</v>
      </c>
    </row>
    <row r="97" spans="1:26" x14ac:dyDescent="0.25">
      <c r="A97" s="3">
        <v>80574</v>
      </c>
      <c r="B97" s="4" t="s">
        <v>252</v>
      </c>
      <c r="C97" s="5" t="str">
        <f>VLOOKUP(B97,[1]Sheet1!$A:$C,3,FALSE)</f>
        <v xml:space="preserve">Renissu@gmail.com </v>
      </c>
      <c r="D97" s="6" t="str">
        <f>VLOOKUP(B97,[2]Planilha1!$A:$R,10,FALSE)</f>
        <v>32275531</v>
      </c>
      <c r="E97" s="6" t="s">
        <v>26</v>
      </c>
      <c r="F97" s="6" t="s">
        <v>114</v>
      </c>
      <c r="G97" s="6" t="s">
        <v>28</v>
      </c>
      <c r="H97" s="6" t="s">
        <v>253</v>
      </c>
      <c r="I97" s="3">
        <v>80574</v>
      </c>
      <c r="J97" s="7"/>
      <c r="K97" s="8">
        <f>VLOOKUP(B97,[2]Planilha1!$A:$N,14,FALSE)</f>
        <v>31902</v>
      </c>
      <c r="L97" s="6" t="str">
        <f>VLOOKUP(B97,[2]Planilha1!$A:$R,16,FALSE)</f>
        <v>SP</v>
      </c>
      <c r="M97" s="6" t="str">
        <f>VLOOKUP(B97,[2]Planilha1!$A:$R,18,FALSE)</f>
        <v>SANTOS</v>
      </c>
      <c r="N97" s="6" t="s">
        <v>30</v>
      </c>
      <c r="O97" s="6" t="str">
        <f>VLOOKUP(B97,[2]Planilha1!$A:$R,9,FALSE)</f>
        <v>11086-400</v>
      </c>
      <c r="P97" s="6" t="str">
        <f>VLOOKUP(B97,[2]Planilha1!$A:$C,3,FALSE)</f>
        <v>AV Engenheiro Manoel Ferramenta Júnior</v>
      </c>
      <c r="Q97" s="6" t="str">
        <f>VLOOKUP(B97,[2]Planilha1!$A:$G,7,FALSE)</f>
        <v>363</v>
      </c>
      <c r="R97" s="6" t="str">
        <f>VLOOKUP(B97,[2]Planilha1!$A:$H,8,FALSE)</f>
        <v>Ap 152 B</v>
      </c>
      <c r="S97" s="6" t="str">
        <f>VLOOKUP(B97,[2]Planilha1!$A:$D,4,FALSE)</f>
        <v>Areia Branca</v>
      </c>
      <c r="T97" s="6" t="str">
        <f>VLOOKUP(B97,[2]Planilha1!$A:$E,5,FALSE)</f>
        <v>SANTOS</v>
      </c>
      <c r="U97" s="6" t="s">
        <v>31</v>
      </c>
      <c r="V97" s="6" t="str">
        <f>VLOOKUP(B97,[2]Planilha1!$A:$R,13,FALSE)</f>
        <v>Parda</v>
      </c>
      <c r="W97" s="6" t="str">
        <f>VLOOKUP(B97,[2]Planilha1!$A:$B,2,FALSE)</f>
        <v>Solteiro</v>
      </c>
      <c r="X97" s="6" t="str">
        <f>VLOOKUP(B97,[2]Planilha1!$A:$R,15,FALSE)</f>
        <v>25443549X</v>
      </c>
      <c r="Y97" s="6" t="s">
        <v>32</v>
      </c>
      <c r="Z97" s="6" t="s">
        <v>31</v>
      </c>
    </row>
    <row r="98" spans="1:26" x14ac:dyDescent="0.25">
      <c r="A98" s="3">
        <v>238068</v>
      </c>
      <c r="B98" s="4" t="s">
        <v>254</v>
      </c>
      <c r="C98" s="5" t="str">
        <f>VLOOKUP(B98,[1]Sheet1!$A:$C,3,FALSE)</f>
        <v>lincolnjustinianoo@gmail.com</v>
      </c>
      <c r="D98" s="6" t="str">
        <f>VLOOKUP(B98,[2]Planilha1!$A:$R,10,FALSE)</f>
        <v>991024372</v>
      </c>
      <c r="E98" s="6" t="s">
        <v>26</v>
      </c>
      <c r="F98" s="6" t="s">
        <v>35</v>
      </c>
      <c r="G98" s="6" t="s">
        <v>28</v>
      </c>
      <c r="H98" s="6" t="s">
        <v>255</v>
      </c>
      <c r="I98" s="3">
        <v>238068</v>
      </c>
      <c r="J98" s="7"/>
      <c r="K98" s="8">
        <f>VLOOKUP(B98,[2]Planilha1!$A:$N,14,FALSE)</f>
        <v>33193</v>
      </c>
      <c r="L98" s="6" t="str">
        <f>VLOOKUP(B98,[2]Planilha1!$A:$R,16,FALSE)</f>
        <v>SP</v>
      </c>
      <c r="M98" s="6" t="str">
        <f>VLOOKUP(B98,[2]Planilha1!$A:$R,18,FALSE)</f>
        <v>GUARUJA</v>
      </c>
      <c r="N98" s="6" t="s">
        <v>30</v>
      </c>
      <c r="O98" s="6" t="str">
        <f>VLOOKUP(B98,[2]Planilha1!$A:$R,9,FALSE)</f>
        <v>11430-370</v>
      </c>
      <c r="P98" s="6" t="str">
        <f>VLOOKUP(B98,[2]Planilha1!$A:$C,3,FALSE)</f>
        <v>R João Almeida</v>
      </c>
      <c r="Q98" s="6" t="str">
        <f>VLOOKUP(B98,[2]Planilha1!$A:$G,7,FALSE)</f>
        <v>65</v>
      </c>
      <c r="R98" s="6" t="str">
        <f>VLOOKUP(B98,[2]Planilha1!$A:$H,8,FALSE)</f>
        <v>Apartamento 09</v>
      </c>
      <c r="S98" s="6" t="str">
        <f>VLOOKUP(B98,[2]Planilha1!$A:$D,4,FALSE)</f>
        <v>Vila Ligya</v>
      </c>
      <c r="T98" s="6" t="str">
        <f>VLOOKUP(B98,[2]Planilha1!$A:$E,5,FALSE)</f>
        <v>GUARUJA</v>
      </c>
      <c r="U98" s="6" t="s">
        <v>31</v>
      </c>
      <c r="V98" s="6" t="str">
        <f>VLOOKUP(B98,[2]Planilha1!$A:$R,13,FALSE)</f>
        <v>Parda</v>
      </c>
      <c r="W98" s="6" t="str">
        <f>VLOOKUP(B98,[2]Planilha1!$A:$B,2,FALSE)</f>
        <v>Solteiro</v>
      </c>
      <c r="X98" s="6" t="str">
        <f>VLOOKUP(B98,[2]Planilha1!$A:$R,15,FALSE)</f>
        <v>472304203</v>
      </c>
      <c r="Y98" s="6" t="s">
        <v>32</v>
      </c>
      <c r="Z98" s="6" t="s">
        <v>31</v>
      </c>
    </row>
    <row r="99" spans="1:26" x14ac:dyDescent="0.25">
      <c r="A99" s="3">
        <v>238066</v>
      </c>
      <c r="B99" s="4" t="s">
        <v>256</v>
      </c>
      <c r="C99" s="5" t="str">
        <f>VLOOKUP(B99,[1]Sheet1!$A:$C,3,FALSE)</f>
        <v>robertarodriguesr@hotmail.com</v>
      </c>
      <c r="D99" s="6" t="str">
        <f>VLOOKUP(B99,[2]Planilha1!$A:$R,10,FALSE)</f>
        <v>974111006</v>
      </c>
      <c r="E99" s="6" t="s">
        <v>34</v>
      </c>
      <c r="F99" s="6" t="s">
        <v>41</v>
      </c>
      <c r="G99" s="6" t="s">
        <v>28</v>
      </c>
      <c r="H99" s="6" t="s">
        <v>257</v>
      </c>
      <c r="I99" s="3">
        <v>238066</v>
      </c>
      <c r="J99" s="7"/>
      <c r="K99" s="8">
        <f>VLOOKUP(B99,[2]Planilha1!$A:$N,14,FALSE)</f>
        <v>32844</v>
      </c>
      <c r="L99" s="6" t="str">
        <f>VLOOKUP(B99,[2]Planilha1!$A:$R,16,FALSE)</f>
        <v>SP</v>
      </c>
      <c r="M99" s="6" t="str">
        <f>VLOOKUP(B99,[2]Planilha1!$A:$R,18,FALSE)</f>
        <v>SANTOS</v>
      </c>
      <c r="N99" s="6" t="s">
        <v>30</v>
      </c>
      <c r="O99" s="6" t="str">
        <f>VLOOKUP(B99,[2]Planilha1!$A:$R,9,FALSE)</f>
        <v>11704-050</v>
      </c>
      <c r="P99" s="6" t="str">
        <f>VLOOKUP(B99,[2]Planilha1!$A:$C,3,FALSE)</f>
        <v>AV OSASCO</v>
      </c>
      <c r="Q99" s="6" t="str">
        <f>VLOOKUP(B99,[2]Planilha1!$A:$G,7,FALSE)</f>
        <v>728</v>
      </c>
      <c r="R99" s="6" t="str">
        <f>VLOOKUP(B99,[2]Planilha1!$A:$H,8,FALSE)</f>
        <v>CS 2</v>
      </c>
      <c r="S99" s="6" t="str">
        <f>VLOOKUP(B99,[2]Planilha1!$A:$D,4,FALSE)</f>
        <v>Ocian</v>
      </c>
      <c r="T99" s="6" t="str">
        <f>VLOOKUP(B99,[2]Planilha1!$A:$E,5,FALSE)</f>
        <v>PRAIA GRANDE</v>
      </c>
      <c r="U99" s="6" t="s">
        <v>31</v>
      </c>
      <c r="V99" s="6" t="str">
        <f>VLOOKUP(B99,[2]Planilha1!$A:$R,13,FALSE)</f>
        <v>Parda</v>
      </c>
      <c r="W99" s="6" t="str">
        <f>VLOOKUP(B99,[2]Planilha1!$A:$B,2,FALSE)</f>
        <v>Solteiro</v>
      </c>
      <c r="X99" s="6" t="str">
        <f>VLOOKUP(B99,[2]Planilha1!$A:$R,15,FALSE)</f>
        <v>464108871</v>
      </c>
      <c r="Y99" s="6" t="s">
        <v>32</v>
      </c>
      <c r="Z99" s="6" t="s">
        <v>31</v>
      </c>
    </row>
    <row r="100" spans="1:26" x14ac:dyDescent="0.25">
      <c r="A100" s="3">
        <v>183640</v>
      </c>
      <c r="B100" s="4" t="s">
        <v>258</v>
      </c>
      <c r="C100" s="5" t="str">
        <f>VLOOKUP(B100,[1]Sheet1!$A:$C,3,FALSE)</f>
        <v>mauriciothay@hotmail.com</v>
      </c>
      <c r="D100" s="6" t="str">
        <f>VLOOKUP(B100,[2]Planilha1!$A:$R,10,FALSE)</f>
        <v>991738152</v>
      </c>
      <c r="E100" s="6" t="s">
        <v>26</v>
      </c>
      <c r="F100" s="6" t="s">
        <v>38</v>
      </c>
      <c r="G100" s="6" t="s">
        <v>28</v>
      </c>
      <c r="H100" s="6" t="s">
        <v>259</v>
      </c>
      <c r="I100" s="3">
        <v>183640</v>
      </c>
      <c r="J100" s="7"/>
      <c r="K100" s="8">
        <f>VLOOKUP(B100,[2]Planilha1!$A:$N,14,FALSE)</f>
        <v>32959</v>
      </c>
      <c r="L100" s="6" t="str">
        <f>VLOOKUP(B100,[2]Planilha1!$A:$R,16,FALSE)</f>
        <v>SP</v>
      </c>
      <c r="M100" s="6" t="str">
        <f>VLOOKUP(B100,[2]Planilha1!$A:$R,18,FALSE)</f>
        <v>GUARUJA</v>
      </c>
      <c r="N100" s="6" t="s">
        <v>30</v>
      </c>
      <c r="O100" s="6" t="str">
        <f>VLOOKUP(B100,[2]Planilha1!$A:$R,9,FALSE)</f>
        <v>11040-040</v>
      </c>
      <c r="P100" s="6" t="str">
        <f>VLOOKUP(B100,[2]Planilha1!$A:$C,3,FALSE)</f>
        <v>R Luiz Marques Gaspar</v>
      </c>
      <c r="Q100" s="6" t="str">
        <f>VLOOKUP(B100,[2]Planilha1!$A:$G,7,FALSE)</f>
        <v>89</v>
      </c>
      <c r="R100" s="6" t="str">
        <f>VLOOKUP(B100,[2]Planilha1!$A:$H,8,FALSE)</f>
        <v>Apto</v>
      </c>
      <c r="S100" s="6" t="str">
        <f>VLOOKUP(B100,[2]Planilha1!$A:$D,4,FALSE)</f>
        <v>Aparecida</v>
      </c>
      <c r="T100" s="6" t="str">
        <f>VLOOKUP(B100,[2]Planilha1!$A:$E,5,FALSE)</f>
        <v>SANTOS</v>
      </c>
      <c r="U100" s="6" t="s">
        <v>31</v>
      </c>
      <c r="V100" s="6" t="str">
        <f>VLOOKUP(B100,[2]Planilha1!$A:$R,13,FALSE)</f>
        <v>Parda</v>
      </c>
      <c r="W100" s="6" t="str">
        <f>VLOOKUP(B100,[2]Planilha1!$A:$B,2,FALSE)</f>
        <v>Casado</v>
      </c>
      <c r="X100" s="6" t="str">
        <f>VLOOKUP(B100,[2]Planilha1!$A:$R,15,FALSE)</f>
        <v>46710346</v>
      </c>
      <c r="Y100" s="6" t="s">
        <v>32</v>
      </c>
      <c r="Z100" s="6" t="s">
        <v>31</v>
      </c>
    </row>
    <row r="101" spans="1:26" x14ac:dyDescent="0.25">
      <c r="A101" s="3">
        <v>237930</v>
      </c>
      <c r="B101" s="4" t="s">
        <v>260</v>
      </c>
      <c r="C101" s="5" t="str">
        <f>VLOOKUP(B101,[1]Sheet1!$A:$C,3,FALSE)</f>
        <v>Misaelleite.dj@gmail.com</v>
      </c>
      <c r="D101" s="6" t="str">
        <f>VLOOKUP(B101,[2]Planilha1!$A:$R,10,FALSE)</f>
        <v>33574390</v>
      </c>
      <c r="E101" s="6" t="s">
        <v>26</v>
      </c>
      <c r="F101" s="6" t="s">
        <v>41</v>
      </c>
      <c r="G101" s="6" t="s">
        <v>28</v>
      </c>
      <c r="H101" s="6" t="s">
        <v>261</v>
      </c>
      <c r="I101" s="3">
        <v>237930</v>
      </c>
      <c r="J101" s="7"/>
      <c r="K101" s="8">
        <f>VLOOKUP(B101,[2]Planilha1!$A:$N,14,FALSE)</f>
        <v>32521</v>
      </c>
      <c r="L101" s="6" t="str">
        <f>VLOOKUP(B101,[2]Planilha1!$A:$R,16,FALSE)</f>
        <v>SP</v>
      </c>
      <c r="M101" s="6" t="str">
        <f>VLOOKUP(B101,[2]Planilha1!$A:$R,18,FALSE)</f>
        <v>SAO VICENTE</v>
      </c>
      <c r="N101" s="6" t="s">
        <v>30</v>
      </c>
      <c r="O101" s="6" t="str">
        <f>VLOOKUP(B101,[2]Planilha1!$A:$R,9,FALSE)</f>
        <v>11705-640</v>
      </c>
      <c r="P101" s="6" t="str">
        <f>VLOOKUP(B101,[2]Planilha1!$A:$C,3,FALSE)</f>
        <v>R Raja Atique</v>
      </c>
      <c r="Q101" s="6" t="str">
        <f>VLOOKUP(B101,[2]Planilha1!$A:$G,7,FALSE)</f>
        <v>999</v>
      </c>
      <c r="R101" s="6" t="str">
        <f>VLOOKUP(B101,[2]Planilha1!$A:$H,8,FALSE)</f>
        <v>Casa</v>
      </c>
      <c r="S101" s="6" t="str">
        <f>VLOOKUP(B101,[2]Planilha1!$A:$D,4,FALSE)</f>
        <v>Maracanã</v>
      </c>
      <c r="T101" s="6" t="str">
        <f>VLOOKUP(B101,[2]Planilha1!$A:$E,5,FALSE)</f>
        <v>PRAIA GRANDE</v>
      </c>
      <c r="U101" s="6" t="s">
        <v>31</v>
      </c>
      <c r="V101" s="6" t="str">
        <f>VLOOKUP(B101,[2]Planilha1!$A:$R,13,FALSE)</f>
        <v>Preta/Negra</v>
      </c>
      <c r="W101" s="6" t="str">
        <f>VLOOKUP(B101,[2]Planilha1!$A:$B,2,FALSE)</f>
        <v>Casado</v>
      </c>
      <c r="X101" s="6" t="str">
        <f>VLOOKUP(B101,[2]Planilha1!$A:$R,15,FALSE)</f>
        <v>449170949</v>
      </c>
      <c r="Y101" s="6" t="s">
        <v>32</v>
      </c>
      <c r="Z101" s="6" t="s">
        <v>31</v>
      </c>
    </row>
    <row r="102" spans="1:26" x14ac:dyDescent="0.25">
      <c r="A102" s="3">
        <v>237900</v>
      </c>
      <c r="B102" s="4" t="s">
        <v>262</v>
      </c>
      <c r="C102" s="5" t="str">
        <f>VLOOKUP(B102,[1]Sheet1!$A:$C,3,FALSE)</f>
        <v>vini.jamy@hotmail.com</v>
      </c>
      <c r="D102" s="6" t="str">
        <f>VLOOKUP(B102,[2]Planilha1!$A:$R,10,FALSE)</f>
        <v>981780667</v>
      </c>
      <c r="E102" s="6" t="s">
        <v>26</v>
      </c>
      <c r="F102" s="6" t="s">
        <v>41</v>
      </c>
      <c r="G102" s="6" t="s">
        <v>28</v>
      </c>
      <c r="H102" s="6" t="s">
        <v>263</v>
      </c>
      <c r="I102" s="3">
        <v>237900</v>
      </c>
      <c r="J102" s="7"/>
      <c r="K102" s="8">
        <f>VLOOKUP(B102,[2]Planilha1!$A:$N,14,FALSE)</f>
        <v>33124</v>
      </c>
      <c r="L102" s="6" t="str">
        <f>VLOOKUP(B102,[2]Planilha1!$A:$R,16,FALSE)</f>
        <v>SP</v>
      </c>
      <c r="M102" s="6" t="str">
        <f>VLOOKUP(B102,[2]Planilha1!$A:$R,18,FALSE)</f>
        <v>SAO VICENTE</v>
      </c>
      <c r="N102" s="6" t="s">
        <v>30</v>
      </c>
      <c r="O102" s="6" t="str">
        <f>VLOOKUP(B102,[2]Planilha1!$A:$R,9,FALSE)</f>
        <v>11350-250</v>
      </c>
      <c r="P102" s="6" t="str">
        <f>VLOOKUP(B102,[2]Planilha1!$A:$C,3,FALSE)</f>
        <v>R BENIGNO ANTONIO PIMENTA</v>
      </c>
      <c r="Q102" s="6" t="str">
        <f>VLOOKUP(B102,[2]Planilha1!$A:$G,7,FALSE)</f>
        <v>421</v>
      </c>
      <c r="R102" s="6" t="str">
        <f>VLOOKUP(B102,[2]Planilha1!$A:$H,8,FALSE)</f>
        <v/>
      </c>
      <c r="S102" s="6" t="str">
        <f>VLOOKUP(B102,[2]Planilha1!$A:$D,4,FALSE)</f>
        <v>Cidade Náutica</v>
      </c>
      <c r="T102" s="6" t="str">
        <f>VLOOKUP(B102,[2]Planilha1!$A:$E,5,FALSE)</f>
        <v>SAO VICENTE</v>
      </c>
      <c r="U102" s="6" t="s">
        <v>31</v>
      </c>
      <c r="V102" s="6" t="str">
        <f>VLOOKUP(B102,[2]Planilha1!$A:$R,13,FALSE)</f>
        <v>Parda</v>
      </c>
      <c r="W102" s="6" t="str">
        <f>VLOOKUP(B102,[2]Planilha1!$A:$B,2,FALSE)</f>
        <v>Casado</v>
      </c>
      <c r="X102" s="6" t="str">
        <f>VLOOKUP(B102,[2]Planilha1!$A:$R,15,FALSE)</f>
        <v>46688231</v>
      </c>
      <c r="Y102" s="6" t="s">
        <v>32</v>
      </c>
      <c r="Z102" s="6" t="s">
        <v>31</v>
      </c>
    </row>
    <row r="103" spans="1:26" x14ac:dyDescent="0.25">
      <c r="A103" s="16">
        <v>237949</v>
      </c>
      <c r="B103" s="22" t="s">
        <v>264</v>
      </c>
      <c r="C103" s="23" t="str">
        <f>VLOOKUP(B103,[1]Sheet1!$A:$C,3,FALSE)</f>
        <v>nunes238@hotmail.com</v>
      </c>
      <c r="D103" s="24" t="str">
        <f>VLOOKUP(B103,[2]Planilha1!$A:$R,10,FALSE)</f>
        <v>974100560</v>
      </c>
      <c r="E103" s="24" t="s">
        <v>26</v>
      </c>
      <c r="F103" s="24" t="s">
        <v>114</v>
      </c>
      <c r="G103" s="24" t="s">
        <v>28</v>
      </c>
      <c r="H103" s="24" t="s">
        <v>265</v>
      </c>
      <c r="I103" s="16">
        <v>237949</v>
      </c>
      <c r="J103" s="25"/>
      <c r="K103" s="26">
        <f>VLOOKUP(B103,[2]Planilha1!$A:$N,14,FALSE)</f>
        <v>33423</v>
      </c>
      <c r="L103" s="24" t="str">
        <f>VLOOKUP(B103,[2]Planilha1!$A:$R,16,FALSE)</f>
        <v>SP</v>
      </c>
      <c r="M103" s="24" t="str">
        <f>VLOOKUP(B103,[2]Planilha1!$A:$R,18,FALSE)</f>
        <v>SAO VICENTE</v>
      </c>
      <c r="N103" s="24" t="s">
        <v>30</v>
      </c>
      <c r="O103" s="24" t="str">
        <f>VLOOKUP(B103,[2]Planilha1!$A:$R,9,FALSE)</f>
        <v>11340-370</v>
      </c>
      <c r="P103" s="24" t="str">
        <f>VLOOKUP(B103,[2]Planilha1!$A:$C,3,FALSE)</f>
        <v>R Pedro Alves</v>
      </c>
      <c r="Q103" s="24" t="str">
        <f>VLOOKUP(B103,[2]Planilha1!$A:$G,7,FALSE)</f>
        <v>35</v>
      </c>
      <c r="R103" s="24" t="str">
        <f>VLOOKUP(B103,[2]Planilha1!$A:$H,8,FALSE)</f>
        <v/>
      </c>
      <c r="S103" s="24" t="str">
        <f>VLOOKUP(B103,[2]Planilha1!$A:$D,4,FALSE)</f>
        <v>Esplanada dos Barrei</v>
      </c>
      <c r="T103" s="24" t="str">
        <f>VLOOKUP(B103,[2]Planilha1!$A:$E,5,FALSE)</f>
        <v>SAO VICENTE</v>
      </c>
      <c r="U103" s="24" t="s">
        <v>31</v>
      </c>
      <c r="V103" s="24" t="str">
        <f>VLOOKUP(B103,[2]Planilha1!$A:$R,13,FALSE)</f>
        <v>Parda</v>
      </c>
      <c r="W103" s="24" t="str">
        <f>VLOOKUP(B103,[2]Planilha1!$A:$B,2,FALSE)</f>
        <v>Solteiro</v>
      </c>
      <c r="X103" s="24" t="str">
        <f>VLOOKUP(B103,[2]Planilha1!$A:$R,15,FALSE)</f>
        <v>478083063</v>
      </c>
      <c r="Y103" s="24" t="s">
        <v>32</v>
      </c>
      <c r="Z103" s="24" t="s">
        <v>31</v>
      </c>
    </row>
    <row r="104" spans="1:26" x14ac:dyDescent="0.25">
      <c r="A104" s="3">
        <v>86727</v>
      </c>
      <c r="B104" s="4" t="s">
        <v>266</v>
      </c>
      <c r="C104" s="5" t="str">
        <f>VLOOKUP(B104,[1]Sheet1!$A:$C,3,FALSE)</f>
        <v>guihc.com@hotmail.com</v>
      </c>
      <c r="D104" s="6" t="str">
        <f>VLOOKUP(B104,[2]Planilha1!$A:$R,10,FALSE)</f>
        <v>996226778</v>
      </c>
      <c r="E104" s="6" t="s">
        <v>26</v>
      </c>
      <c r="F104" s="6" t="s">
        <v>41</v>
      </c>
      <c r="G104" s="6" t="s">
        <v>28</v>
      </c>
      <c r="H104" s="6" t="s">
        <v>267</v>
      </c>
      <c r="I104" s="3">
        <v>86727</v>
      </c>
      <c r="J104" s="7"/>
      <c r="K104" s="8">
        <f>VLOOKUP(B104,[2]Planilha1!$A:$N,14,FALSE)</f>
        <v>32644</v>
      </c>
      <c r="L104" s="6" t="str">
        <f>VLOOKUP(B104,[2]Planilha1!$A:$R,16,FALSE)</f>
        <v>SP</v>
      </c>
      <c r="M104" s="6" t="str">
        <f>VLOOKUP(B104,[2]Planilha1!$A:$R,18,FALSE)</f>
        <v>SANTOS</v>
      </c>
      <c r="N104" s="6" t="s">
        <v>30</v>
      </c>
      <c r="O104" s="6" t="str">
        <f>VLOOKUP(B104,[2]Planilha1!$A:$R,9,FALSE)</f>
        <v>11040-010</v>
      </c>
      <c r="P104" s="6" t="str">
        <f>VLOOKUP(B104,[2]Planilha1!$A:$C,3,FALSE)</f>
        <v>R ALEXANDRE FLEMING</v>
      </c>
      <c r="Q104" s="6" t="str">
        <f>VLOOKUP(B104,[2]Planilha1!$A:$G,7,FALSE)</f>
        <v>341</v>
      </c>
      <c r="R104" s="6" t="str">
        <f>VLOOKUP(B104,[2]Planilha1!$A:$H,8,FALSE)</f>
        <v>APTO 23</v>
      </c>
      <c r="S104" s="6" t="str">
        <f>VLOOKUP(B104,[2]Planilha1!$A:$D,4,FALSE)</f>
        <v>Aparecida</v>
      </c>
      <c r="T104" s="6" t="str">
        <f>VLOOKUP(B104,[2]Planilha1!$A:$E,5,FALSE)</f>
        <v>SANTOS</v>
      </c>
      <c r="U104" s="6" t="s">
        <v>31</v>
      </c>
      <c r="V104" s="6" t="str">
        <f>VLOOKUP(B104,[2]Planilha1!$A:$R,13,FALSE)</f>
        <v>Parda</v>
      </c>
      <c r="W104" s="6" t="str">
        <f>VLOOKUP(B104,[2]Planilha1!$A:$B,2,FALSE)</f>
        <v>Casado</v>
      </c>
      <c r="X104" s="6" t="str">
        <f>VLOOKUP(B104,[2]Planilha1!$A:$R,15,FALSE)</f>
        <v>34509377X</v>
      </c>
      <c r="Y104" s="6" t="s">
        <v>32</v>
      </c>
      <c r="Z104" s="6" t="s">
        <v>31</v>
      </c>
    </row>
    <row r="105" spans="1:26" x14ac:dyDescent="0.25">
      <c r="A105" s="3">
        <v>237933</v>
      </c>
      <c r="B105" s="4" t="s">
        <v>268</v>
      </c>
      <c r="C105" s="5" t="str">
        <f>VLOOKUP(B105,[1]Sheet1!$A:$C,3,FALSE)</f>
        <v>w.desouza@btp.com.br</v>
      </c>
      <c r="D105" s="6" t="str">
        <f>VLOOKUP(B105,[2]Planilha1!$A:$R,10,FALSE)</f>
        <v>996516192</v>
      </c>
      <c r="E105" s="6" t="s">
        <v>26</v>
      </c>
      <c r="F105" s="6" t="s">
        <v>41</v>
      </c>
      <c r="G105" s="6" t="s">
        <v>28</v>
      </c>
      <c r="H105" s="6" t="s">
        <v>269</v>
      </c>
      <c r="I105" s="3">
        <v>237933</v>
      </c>
      <c r="J105" s="7"/>
      <c r="K105" s="8">
        <f>VLOOKUP(B105,[2]Planilha1!$A:$N,14,FALSE)</f>
        <v>32484</v>
      </c>
      <c r="L105" s="6" t="str">
        <f>VLOOKUP(B105,[2]Planilha1!$A:$R,16,FALSE)</f>
        <v>SP</v>
      </c>
      <c r="M105" s="6" t="str">
        <f>VLOOKUP(B105,[2]Planilha1!$A:$R,18,FALSE)</f>
        <v>SANTOS</v>
      </c>
      <c r="N105" s="6" t="s">
        <v>30</v>
      </c>
      <c r="O105" s="6" t="str">
        <f>VLOOKUP(B105,[2]Planilha1!$A:$R,9,FALSE)</f>
        <v>11347-440</v>
      </c>
      <c r="P105" s="6" t="str">
        <f>VLOOKUP(B105,[2]Planilha1!$A:$C,3,FALSE)</f>
        <v>R G</v>
      </c>
      <c r="Q105" s="6" t="str">
        <f>VLOOKUP(B105,[2]Planilha1!$A:$G,7,FALSE)</f>
        <v>1180</v>
      </c>
      <c r="R105" s="6" t="str">
        <f>VLOOKUP(B105,[2]Planilha1!$A:$H,8,FALSE)</f>
        <v/>
      </c>
      <c r="S105" s="6" t="str">
        <f>VLOOKUP(B105,[2]Planilha1!$A:$D,4,FALSE)</f>
        <v>Jardim Rio Negro</v>
      </c>
      <c r="T105" s="6" t="str">
        <f>VLOOKUP(B105,[2]Planilha1!$A:$E,5,FALSE)</f>
        <v>SAO VICENTE</v>
      </c>
      <c r="U105" s="6" t="s">
        <v>31</v>
      </c>
      <c r="V105" s="6" t="str">
        <f>VLOOKUP(B105,[2]Planilha1!$A:$R,13,FALSE)</f>
        <v>Parda</v>
      </c>
      <c r="W105" s="6" t="str">
        <f>VLOOKUP(B105,[2]Planilha1!$A:$B,2,FALSE)</f>
        <v>União Estável</v>
      </c>
      <c r="X105" s="6" t="str">
        <f>VLOOKUP(B105,[2]Planilha1!$A:$R,15,FALSE)</f>
        <v>448425841</v>
      </c>
      <c r="Y105" s="6" t="s">
        <v>32</v>
      </c>
      <c r="Z105" s="6" t="s">
        <v>31</v>
      </c>
    </row>
    <row r="106" spans="1:26" x14ac:dyDescent="0.25">
      <c r="A106" s="3">
        <v>238007</v>
      </c>
      <c r="B106" s="4" t="s">
        <v>270</v>
      </c>
      <c r="C106" s="5" t="str">
        <f>VLOOKUP(B106,[1]Sheet1!$A:$C,3,FALSE)</f>
        <v>felipes.r1212@gmail.com</v>
      </c>
      <c r="D106" s="6" t="str">
        <f>VLOOKUP(B106,[2]Planilha1!$A:$R,10,FALSE)</f>
        <v>982128138</v>
      </c>
      <c r="E106" s="6" t="s">
        <v>26</v>
      </c>
      <c r="F106" s="6" t="s">
        <v>35</v>
      </c>
      <c r="G106" s="6" t="s">
        <v>28</v>
      </c>
      <c r="H106" s="6" t="s">
        <v>271</v>
      </c>
      <c r="I106" s="3">
        <v>238007</v>
      </c>
      <c r="J106" s="7"/>
      <c r="K106" s="8">
        <f>VLOOKUP(B106,[2]Planilha1!$A:$N,14,FALSE)</f>
        <v>33584</v>
      </c>
      <c r="L106" s="6" t="str">
        <f>VLOOKUP(B106,[2]Planilha1!$A:$R,16,FALSE)</f>
        <v>SP</v>
      </c>
      <c r="M106" s="6" t="str">
        <f>VLOOKUP(B106,[2]Planilha1!$A:$R,18,FALSE)</f>
        <v>SANTOS</v>
      </c>
      <c r="N106" s="6" t="s">
        <v>30</v>
      </c>
      <c r="O106" s="6" t="str">
        <f>VLOOKUP(B106,[2]Planilha1!$A:$R,9,FALSE)</f>
        <v>11088-535</v>
      </c>
      <c r="P106" s="6" t="str">
        <f>VLOOKUP(B106,[2]Planilha1!$A:$C,3,FALSE)</f>
        <v>R FAUSTO LORENCO GOMES</v>
      </c>
      <c r="Q106" s="6" t="str">
        <f>VLOOKUP(B106,[2]Planilha1!$A:$G,7,FALSE)</f>
        <v>21</v>
      </c>
      <c r="R106" s="6" t="str">
        <f>VLOOKUP(B106,[2]Planilha1!$A:$H,8,FALSE)</f>
        <v/>
      </c>
      <c r="S106" s="6" t="str">
        <f>VLOOKUP(B106,[2]Planilha1!$A:$D,4,FALSE)</f>
        <v>Rádio Clube</v>
      </c>
      <c r="T106" s="6" t="str">
        <f>VLOOKUP(B106,[2]Planilha1!$A:$E,5,FALSE)</f>
        <v>SANTOS</v>
      </c>
      <c r="U106" s="6" t="s">
        <v>31</v>
      </c>
      <c r="V106" s="6" t="str">
        <f>VLOOKUP(B106,[2]Planilha1!$A:$R,13,FALSE)</f>
        <v>Parda</v>
      </c>
      <c r="W106" s="6" t="str">
        <f>VLOOKUP(B106,[2]Planilha1!$A:$B,2,FALSE)</f>
        <v>Solteiro</v>
      </c>
      <c r="X106" s="6" t="str">
        <f>VLOOKUP(B106,[2]Planilha1!$A:$R,15,FALSE)</f>
        <v>385571719</v>
      </c>
      <c r="Y106" s="6" t="s">
        <v>32</v>
      </c>
      <c r="Z106" s="6" t="s">
        <v>31</v>
      </c>
    </row>
    <row r="107" spans="1:26" x14ac:dyDescent="0.25">
      <c r="A107" s="3">
        <v>174612</v>
      </c>
      <c r="B107" s="4" t="s">
        <v>272</v>
      </c>
      <c r="C107" s="5" t="str">
        <f>VLOOKUP(B107,[1]Sheet1!$A:$C,3,FALSE)</f>
        <v>bhs.santos@hotmail.com</v>
      </c>
      <c r="D107" s="6" t="str">
        <f>VLOOKUP(B107,[2]Planilha1!$A:$R,10,FALSE)</f>
        <v>988018539</v>
      </c>
      <c r="E107" s="6" t="s">
        <v>26</v>
      </c>
      <c r="F107" s="6" t="s">
        <v>63</v>
      </c>
      <c r="G107" s="6" t="s">
        <v>28</v>
      </c>
      <c r="H107" s="6" t="s">
        <v>273</v>
      </c>
      <c r="I107" s="3">
        <v>174612</v>
      </c>
      <c r="J107" s="7"/>
      <c r="K107" s="8">
        <f>VLOOKUP(B107,[2]Planilha1!$A:$N,14,FALSE)</f>
        <v>33827</v>
      </c>
      <c r="L107" s="6" t="str">
        <f>VLOOKUP(B107,[2]Planilha1!$A:$R,16,FALSE)</f>
        <v>SP</v>
      </c>
      <c r="M107" s="6" t="str">
        <f>VLOOKUP(B107,[2]Planilha1!$A:$R,18,FALSE)</f>
        <v>GUARUJA</v>
      </c>
      <c r="N107" s="6" t="s">
        <v>30</v>
      </c>
      <c r="O107" s="6" t="str">
        <f>VLOOKUP(B107,[2]Planilha1!$A:$R,9,FALSE)</f>
        <v>11497-510</v>
      </c>
      <c r="P107" s="6" t="str">
        <f>VLOOKUP(B107,[2]Planilha1!$A:$C,3,FALSE)</f>
        <v>R POETISA CECILIA MEIRELES</v>
      </c>
      <c r="Q107" s="6" t="str">
        <f>VLOOKUP(B107,[2]Planilha1!$A:$G,7,FALSE)</f>
        <v>23</v>
      </c>
      <c r="R107" s="6" t="str">
        <f>VLOOKUP(B107,[2]Planilha1!$A:$H,8,FALSE)</f>
        <v/>
      </c>
      <c r="S107" s="6" t="str">
        <f>VLOOKUP(B107,[2]Planilha1!$A:$D,4,FALSE)</f>
        <v>Jardim Brasil II</v>
      </c>
      <c r="T107" s="6" t="str">
        <f>VLOOKUP(B107,[2]Planilha1!$A:$E,5,FALSE)</f>
        <v>GUARUJA</v>
      </c>
      <c r="U107" s="6" t="s">
        <v>31</v>
      </c>
      <c r="V107" s="6" t="str">
        <f>VLOOKUP(B107,[2]Planilha1!$A:$R,13,FALSE)</f>
        <v>Parda</v>
      </c>
      <c r="W107" s="6" t="str">
        <f>VLOOKUP(B107,[2]Planilha1!$A:$B,2,FALSE)</f>
        <v>Casado</v>
      </c>
      <c r="X107" s="6" t="str">
        <f>VLOOKUP(B107,[2]Planilha1!$A:$R,15,FALSE)</f>
        <v>483365671</v>
      </c>
      <c r="Y107" s="6" t="s">
        <v>32</v>
      </c>
      <c r="Z107" s="6" t="s">
        <v>31</v>
      </c>
    </row>
    <row r="108" spans="1:26" x14ac:dyDescent="0.25">
      <c r="A108" s="16">
        <v>238005</v>
      </c>
      <c r="B108" s="4" t="s">
        <v>274</v>
      </c>
      <c r="C108" s="5" t="str">
        <f>VLOOKUP(B108,[1]Sheet1!$A:$C,3,FALSE)</f>
        <v>f.ibraim@btp.com.br</v>
      </c>
      <c r="D108" s="6" t="str">
        <f>VLOOKUP(B108,[2]Planilha1!$A:$R,10,FALSE)</f>
        <v>997780168</v>
      </c>
      <c r="E108" s="6" t="s">
        <v>26</v>
      </c>
      <c r="F108" s="6" t="s">
        <v>275</v>
      </c>
      <c r="G108" s="6" t="s">
        <v>28</v>
      </c>
      <c r="H108" s="6" t="s">
        <v>276</v>
      </c>
      <c r="I108" s="16">
        <v>238005</v>
      </c>
      <c r="J108" s="7"/>
      <c r="K108" s="8">
        <f>VLOOKUP(B108,[2]Planilha1!$A:$N,14,FALSE)</f>
        <v>33765</v>
      </c>
      <c r="L108" s="6" t="str">
        <f>VLOOKUP(B108,[2]Planilha1!$A:$R,16,FALSE)</f>
        <v>SP</v>
      </c>
      <c r="M108" s="6" t="str">
        <f>VLOOKUP(B108,[2]Planilha1!$A:$R,18,FALSE)</f>
        <v>SANTOS</v>
      </c>
      <c r="N108" s="6" t="s">
        <v>30</v>
      </c>
      <c r="O108" s="6" t="str">
        <f>VLOOKUP(B108,[2]Planilha1!$A:$R,9,FALSE)</f>
        <v>11065-300</v>
      </c>
      <c r="P108" s="6" t="str">
        <f>VLOOKUP(B108,[2]Planilha1!$A:$C,3,FALSE)</f>
        <v>R PEDRO BORGUES GONCALVES</v>
      </c>
      <c r="Q108" s="6" t="str">
        <f>VLOOKUP(B108,[2]Planilha1!$A:$G,7,FALSE)</f>
        <v>6</v>
      </c>
      <c r="R108" s="6" t="str">
        <f>VLOOKUP(B108,[2]Planilha1!$A:$H,8,FALSE)</f>
        <v>AP 1302</v>
      </c>
      <c r="S108" s="6" t="str">
        <f>VLOOKUP(B108,[2]Planilha1!$A:$D,4,FALSE)</f>
        <v>José Menino</v>
      </c>
      <c r="T108" s="6" t="str">
        <f>VLOOKUP(B108,[2]Planilha1!$A:$E,5,FALSE)</f>
        <v>SANTOS</v>
      </c>
      <c r="U108" s="6" t="s">
        <v>31</v>
      </c>
      <c r="V108" s="6" t="str">
        <f>VLOOKUP(B108,[2]Planilha1!$A:$R,13,FALSE)</f>
        <v>Parda</v>
      </c>
      <c r="W108" s="6" t="str">
        <f>VLOOKUP(B108,[2]Planilha1!$A:$B,2,FALSE)</f>
        <v>Solteiro</v>
      </c>
      <c r="X108" s="6" t="str">
        <f>VLOOKUP(B108,[2]Planilha1!$A:$R,15,FALSE)</f>
        <v>460038539</v>
      </c>
      <c r="Y108" s="6" t="s">
        <v>32</v>
      </c>
      <c r="Z108" s="6" t="s">
        <v>31</v>
      </c>
    </row>
    <row r="109" spans="1:26" x14ac:dyDescent="0.25">
      <c r="A109" s="19"/>
      <c r="B109" s="10" t="s">
        <v>277</v>
      </c>
      <c r="C109" s="11" t="str">
        <f>VLOOKUP(B109,[1]Sheet1!$A:$C,3,FALSE)</f>
        <v>d.santanajr@hotmail.com</v>
      </c>
      <c r="D109" s="12" t="str">
        <f>VLOOKUP(B109,[2]Planilha1!$A:$R,10,FALSE)</f>
        <v>997352559</v>
      </c>
      <c r="E109" s="12" t="s">
        <v>26</v>
      </c>
      <c r="F109" s="12" t="s">
        <v>35</v>
      </c>
      <c r="G109" s="12" t="s">
        <v>28</v>
      </c>
      <c r="H109" s="12" t="s">
        <v>278</v>
      </c>
      <c r="I109" s="19"/>
      <c r="J109" s="20" t="s">
        <v>50</v>
      </c>
      <c r="K109" s="15">
        <f>VLOOKUP(B109,[2]Planilha1!$A:$N,14,FALSE)</f>
        <v>33703</v>
      </c>
      <c r="L109" s="12" t="str">
        <f>VLOOKUP(B109,[2]Planilha1!$A:$R,16,FALSE)</f>
        <v>SP</v>
      </c>
      <c r="M109" s="12" t="str">
        <f>VLOOKUP(B109,[2]Planilha1!$A:$R,18,FALSE)</f>
        <v>PRAIA GRANDE</v>
      </c>
      <c r="N109" s="12" t="s">
        <v>30</v>
      </c>
      <c r="O109" s="12" t="str">
        <f>VLOOKUP(B109,[2]Planilha1!$A:$R,9,FALSE)</f>
        <v>11370-110</v>
      </c>
      <c r="P109" s="12" t="str">
        <f>VLOOKUP(B109,[2]Planilha1!$A:$C,3,FALSE)</f>
        <v>R AVIADOR RIBEIRO</v>
      </c>
      <c r="Q109" s="12" t="str">
        <f>VLOOKUP(B109,[2]Planilha1!$A:$G,7,FALSE)</f>
        <v>53</v>
      </c>
      <c r="R109" s="12" t="str">
        <f>VLOOKUP(B109,[2]Planilha1!$A:$H,8,FALSE)</f>
        <v>AP 27</v>
      </c>
      <c r="S109" s="12" t="str">
        <f>VLOOKUP(B109,[2]Planilha1!$A:$D,4,FALSE)</f>
        <v>Vila Cascatinha</v>
      </c>
      <c r="T109" s="12" t="str">
        <f>VLOOKUP(B109,[2]Planilha1!$A:$E,5,FALSE)</f>
        <v>SAO VICENTE</v>
      </c>
      <c r="U109" s="12" t="s">
        <v>31</v>
      </c>
      <c r="V109" s="12" t="str">
        <f>VLOOKUP(B109,[2]Planilha1!$A:$R,13,FALSE)</f>
        <v>Parda</v>
      </c>
      <c r="W109" s="12" t="str">
        <f>VLOOKUP(B109,[2]Planilha1!$A:$B,2,FALSE)</f>
        <v>Casado</v>
      </c>
      <c r="X109" s="12" t="str">
        <f>VLOOKUP(B109,[2]Planilha1!$A:$R,15,FALSE)</f>
        <v>484142100</v>
      </c>
      <c r="Y109" s="12" t="s">
        <v>32</v>
      </c>
      <c r="Z109" s="12" t="s">
        <v>31</v>
      </c>
    </row>
    <row r="110" spans="1:26" x14ac:dyDescent="0.25">
      <c r="A110" s="3">
        <v>237885</v>
      </c>
      <c r="B110" s="4" t="s">
        <v>279</v>
      </c>
      <c r="C110" s="5" t="str">
        <f>VLOOKUP(B110,[1]Sheet1!$A:$C,3,FALSE)</f>
        <v>michaelssilva12@gmail.com</v>
      </c>
      <c r="D110" s="6" t="str">
        <f>VLOOKUP(B110,[2]Planilha1!$A:$R,10,FALSE)</f>
        <v>996368398</v>
      </c>
      <c r="E110" s="6" t="s">
        <v>26</v>
      </c>
      <c r="F110" s="6" t="s">
        <v>41</v>
      </c>
      <c r="G110" s="6" t="s">
        <v>28</v>
      </c>
      <c r="H110" s="6" t="s">
        <v>280</v>
      </c>
      <c r="I110" s="3">
        <v>237885</v>
      </c>
      <c r="J110" s="7"/>
      <c r="K110" s="8">
        <f>VLOOKUP(B110,[2]Planilha1!$A:$N,14,FALSE)</f>
        <v>33822</v>
      </c>
      <c r="L110" s="6" t="str">
        <f>VLOOKUP(B110,[2]Planilha1!$A:$R,16,FALSE)</f>
        <v>SP</v>
      </c>
      <c r="M110" s="6" t="str">
        <f>VLOOKUP(B110,[2]Planilha1!$A:$R,18,FALSE)</f>
        <v>GUARUJA</v>
      </c>
      <c r="N110" s="6" t="s">
        <v>30</v>
      </c>
      <c r="O110" s="6" t="str">
        <f>VLOOKUP(B110,[2]Planilha1!$A:$R,9,FALSE)</f>
        <v>11461-640</v>
      </c>
      <c r="P110" s="6" t="str">
        <f>VLOOKUP(B110,[2]Planilha1!$A:$C,3,FALSE)</f>
        <v>R Araguaia</v>
      </c>
      <c r="Q110" s="6" t="str">
        <f>VLOOKUP(B110,[2]Planilha1!$A:$G,7,FALSE)</f>
        <v>171 f</v>
      </c>
      <c r="R110" s="6" t="str">
        <f>VLOOKUP(B110,[2]Planilha1!$A:$H,8,FALSE)</f>
        <v>fundos</v>
      </c>
      <c r="S110" s="6" t="str">
        <f>VLOOKUP(B110,[2]Planilha1!$A:$D,4,FALSE)</f>
        <v>Sítio Paecara (Vicen</v>
      </c>
      <c r="T110" s="6" t="str">
        <f>VLOOKUP(B110,[2]Planilha1!$A:$E,5,FALSE)</f>
        <v>GUARUJA</v>
      </c>
      <c r="U110" s="6" t="s">
        <v>31</v>
      </c>
      <c r="V110" s="6" t="str">
        <f>VLOOKUP(B110,[2]Planilha1!$A:$R,13,FALSE)</f>
        <v>Parda</v>
      </c>
      <c r="W110" s="6" t="str">
        <f>VLOOKUP(B110,[2]Planilha1!$A:$B,2,FALSE)</f>
        <v>Solteiro</v>
      </c>
      <c r="X110" s="6" t="str">
        <f>VLOOKUP(B110,[2]Planilha1!$A:$R,15,FALSE)</f>
        <v>490983595</v>
      </c>
      <c r="Y110" s="6" t="s">
        <v>32</v>
      </c>
      <c r="Z110" s="6" t="s">
        <v>31</v>
      </c>
    </row>
    <row r="111" spans="1:26" x14ac:dyDescent="0.25">
      <c r="A111" s="3">
        <v>102450</v>
      </c>
      <c r="B111" s="4" t="s">
        <v>281</v>
      </c>
      <c r="C111" s="5" t="str">
        <f>VLOOKUP(B111,[1]Sheet1!$A:$C,3,FALSE)</f>
        <v>guilherme_vasconcelos@outlook.com.br</v>
      </c>
      <c r="D111" s="6" t="str">
        <f>VLOOKUP(B111,[2]Planilha1!$A:$R,10,FALSE)</f>
        <v>996130517</v>
      </c>
      <c r="E111" s="6" t="s">
        <v>26</v>
      </c>
      <c r="F111" s="6" t="s">
        <v>27</v>
      </c>
      <c r="G111" s="6" t="s">
        <v>28</v>
      </c>
      <c r="H111" s="6" t="s">
        <v>282</v>
      </c>
      <c r="I111" s="3">
        <v>102450</v>
      </c>
      <c r="J111" s="7"/>
      <c r="K111" s="8">
        <f>VLOOKUP(B111,[2]Planilha1!$A:$N,14,FALSE)</f>
        <v>34086</v>
      </c>
      <c r="L111" s="6" t="str">
        <f>VLOOKUP(B111,[2]Planilha1!$A:$R,16,FALSE)</f>
        <v>SP</v>
      </c>
      <c r="M111" s="6" t="str">
        <f>VLOOKUP(B111,[2]Planilha1!$A:$R,18,FALSE)</f>
        <v>SANTOS</v>
      </c>
      <c r="N111" s="6" t="s">
        <v>30</v>
      </c>
      <c r="O111" s="6" t="str">
        <f>VLOOKUP(B111,[2]Planilha1!$A:$R,9,FALSE)</f>
        <v>11500-250</v>
      </c>
      <c r="P111" s="6" t="str">
        <f>VLOOKUP(B111,[2]Planilha1!$A:$C,3,FALSE)</f>
        <v>R JOAO DAMASCO</v>
      </c>
      <c r="Q111" s="6" t="str">
        <f>VLOOKUP(B111,[2]Planilha1!$A:$G,7,FALSE)</f>
        <v>583</v>
      </c>
      <c r="R111" s="6" t="str">
        <f>VLOOKUP(B111,[2]Planilha1!$A:$H,8,FALSE)</f>
        <v/>
      </c>
      <c r="S111" s="6" t="str">
        <f>VLOOKUP(B111,[2]Planilha1!$A:$D,4,FALSE)</f>
        <v>Parque Fernando Jorg</v>
      </c>
      <c r="T111" s="6" t="str">
        <f>VLOOKUP(B111,[2]Planilha1!$A:$E,5,FALSE)</f>
        <v>CUBATAO</v>
      </c>
      <c r="U111" s="6" t="s">
        <v>31</v>
      </c>
      <c r="V111" s="6" t="str">
        <f>VLOOKUP(B111,[2]Planilha1!$A:$R,13,FALSE)</f>
        <v>Parda</v>
      </c>
      <c r="W111" s="6" t="str">
        <f>VLOOKUP(B111,[2]Planilha1!$A:$B,2,FALSE)</f>
        <v>Casado</v>
      </c>
      <c r="X111" s="6" t="str">
        <f>VLOOKUP(B111,[2]Planilha1!$A:$R,15,FALSE)</f>
        <v>488850332</v>
      </c>
      <c r="Y111" s="6" t="s">
        <v>32</v>
      </c>
      <c r="Z111" s="6" t="s">
        <v>31</v>
      </c>
    </row>
    <row r="112" spans="1:26" x14ac:dyDescent="0.25">
      <c r="A112" s="3">
        <v>237824</v>
      </c>
      <c r="B112" s="4" t="s">
        <v>283</v>
      </c>
      <c r="C112" s="5" t="str">
        <f>VLOOKUP(B112,[1]Sheet1!$A:$C,3,FALSE)</f>
        <v>nilsonp.nj67@gmail.com</v>
      </c>
      <c r="D112" s="6" t="str">
        <f>VLOOKUP(B112,[2]Planilha1!$A:$R,10,FALSE)</f>
        <v>988170591</v>
      </c>
      <c r="E112" s="6" t="s">
        <v>26</v>
      </c>
      <c r="F112" s="6" t="s">
        <v>35</v>
      </c>
      <c r="G112" s="6" t="s">
        <v>28</v>
      </c>
      <c r="H112" s="6" t="s">
        <v>284</v>
      </c>
      <c r="I112" s="3">
        <v>237824</v>
      </c>
      <c r="J112" s="7"/>
      <c r="K112" s="8">
        <f>VLOOKUP(B112,[2]Planilha1!$A:$N,14,FALSE)</f>
        <v>33355</v>
      </c>
      <c r="L112" s="6" t="str">
        <f>VLOOKUP(B112,[2]Planilha1!$A:$R,16,FALSE)</f>
        <v>SP</v>
      </c>
      <c r="M112" s="6" t="str">
        <f>VLOOKUP(B112,[2]Planilha1!$A:$R,18,FALSE)</f>
        <v>GUARUJA</v>
      </c>
      <c r="N112" s="6" t="s">
        <v>30</v>
      </c>
      <c r="O112" s="6" t="str">
        <f>VLOOKUP(B112,[2]Planilha1!$A:$R,9,FALSE)</f>
        <v>11432-100</v>
      </c>
      <c r="P112" s="6" t="str">
        <f>VLOOKUP(B112,[2]Planilha1!$A:$C,3,FALSE)</f>
        <v>R Graúna</v>
      </c>
      <c r="Q112" s="6" t="str">
        <f>VLOOKUP(B112,[2]Planilha1!$A:$G,7,FALSE)</f>
        <v>50</v>
      </c>
      <c r="R112" s="6" t="str">
        <f>VLOOKUP(B112,[2]Planilha1!$A:$H,8,FALSE)</f>
        <v>AP 94 BL A</v>
      </c>
      <c r="S112" s="6" t="str">
        <f>VLOOKUP(B112,[2]Planilha1!$A:$D,4,FALSE)</f>
        <v>Jardim dos Pássaros</v>
      </c>
      <c r="T112" s="6" t="str">
        <f>VLOOKUP(B112,[2]Planilha1!$A:$E,5,FALSE)</f>
        <v>GUARUJA</v>
      </c>
      <c r="U112" s="6" t="s">
        <v>31</v>
      </c>
      <c r="V112" s="6" t="str">
        <f>VLOOKUP(B112,[2]Planilha1!$A:$R,13,FALSE)</f>
        <v>Parda</v>
      </c>
      <c r="W112" s="6" t="str">
        <f>VLOOKUP(B112,[2]Planilha1!$A:$B,2,FALSE)</f>
        <v>Casado</v>
      </c>
      <c r="X112" s="6" t="str">
        <f>VLOOKUP(B112,[2]Planilha1!$A:$R,15,FALSE)</f>
        <v>485838357</v>
      </c>
      <c r="Y112" s="6" t="s">
        <v>32</v>
      </c>
      <c r="Z112" s="6" t="s">
        <v>31</v>
      </c>
    </row>
    <row r="113" spans="1:26" x14ac:dyDescent="0.25">
      <c r="A113" s="3">
        <v>161218</v>
      </c>
      <c r="B113" s="4" t="s">
        <v>285</v>
      </c>
      <c r="C113" s="5" t="str">
        <f>VLOOKUP(B113,[1]Sheet1!$A:$C,3,FALSE)</f>
        <v>tvsn0077@gmail.com</v>
      </c>
      <c r="D113" s="6" t="str">
        <f>VLOOKUP(B113,[2]Planilha1!$A:$R,10,FALSE)</f>
        <v>988327153</v>
      </c>
      <c r="E113" s="6" t="s">
        <v>26</v>
      </c>
      <c r="F113" s="6" t="s">
        <v>63</v>
      </c>
      <c r="G113" s="6" t="s">
        <v>28</v>
      </c>
      <c r="H113" s="6" t="s">
        <v>286</v>
      </c>
      <c r="I113" s="3">
        <v>161218</v>
      </c>
      <c r="J113" s="7"/>
      <c r="K113" s="8">
        <f>VLOOKUP(B113,[2]Planilha1!$A:$N,14,FALSE)</f>
        <v>33650</v>
      </c>
      <c r="L113" s="6" t="str">
        <f>VLOOKUP(B113,[2]Planilha1!$A:$R,16,FALSE)</f>
        <v>SP</v>
      </c>
      <c r="M113" s="6" t="str">
        <f>VLOOKUP(B113,[2]Planilha1!$A:$R,18,FALSE)</f>
        <v>SANTOS</v>
      </c>
      <c r="N113" s="6" t="s">
        <v>30</v>
      </c>
      <c r="O113" s="6" t="str">
        <f>VLOOKUP(B113,[2]Planilha1!$A:$R,9,FALSE)</f>
        <v>11718-050</v>
      </c>
      <c r="P113" s="6" t="str">
        <f>VLOOKUP(B113,[2]Planilha1!$A:$C,3,FALSE)</f>
        <v>R Francisco Conrado dos Santos</v>
      </c>
      <c r="Q113" s="6" t="str">
        <f>VLOOKUP(B113,[2]Planilha1!$A:$G,7,FALSE)</f>
        <v>531</v>
      </c>
      <c r="R113" s="6" t="str">
        <f>VLOOKUP(B113,[2]Planilha1!$A:$H,8,FALSE)</f>
        <v>Casa 2</v>
      </c>
      <c r="S113" s="6" t="str">
        <f>VLOOKUP(B113,[2]Planilha1!$A:$D,4,FALSE)</f>
        <v>Anhanguera</v>
      </c>
      <c r="T113" s="6" t="str">
        <f>VLOOKUP(B113,[2]Planilha1!$A:$E,5,FALSE)</f>
        <v>PRAIA GRANDE</v>
      </c>
      <c r="U113" s="6" t="s">
        <v>31</v>
      </c>
      <c r="V113" s="6" t="str">
        <f>VLOOKUP(B113,[2]Planilha1!$A:$R,13,FALSE)</f>
        <v>Parda</v>
      </c>
      <c r="W113" s="6" t="str">
        <f>VLOOKUP(B113,[2]Planilha1!$A:$B,2,FALSE)</f>
        <v>Casado</v>
      </c>
      <c r="X113" s="6" t="str">
        <f>VLOOKUP(B113,[2]Planilha1!$A:$R,15,FALSE)</f>
        <v>327659774</v>
      </c>
      <c r="Y113" s="6" t="s">
        <v>32</v>
      </c>
      <c r="Z113" s="6" t="s">
        <v>31</v>
      </c>
    </row>
    <row r="114" spans="1:26" x14ac:dyDescent="0.25">
      <c r="A114" s="3">
        <v>142767</v>
      </c>
      <c r="B114" s="4" t="s">
        <v>287</v>
      </c>
      <c r="C114" s="5" t="str">
        <f>VLOOKUP(B114,[1]Sheet1!$A:$C,3,FALSE)</f>
        <v>Atwist21.at@gmail.com</v>
      </c>
      <c r="D114" s="6" t="str">
        <f>VLOOKUP(B114,[2]Planilha1!$A:$R,10,FALSE)</f>
        <v>34816516</v>
      </c>
      <c r="E114" s="6" t="s">
        <v>26</v>
      </c>
      <c r="F114" s="6" t="s">
        <v>63</v>
      </c>
      <c r="G114" s="6" t="s">
        <v>28</v>
      </c>
      <c r="H114" s="6" t="s">
        <v>288</v>
      </c>
      <c r="I114" s="3">
        <v>142767</v>
      </c>
      <c r="J114" s="7"/>
      <c r="K114" s="8">
        <f>VLOOKUP(B114,[2]Planilha1!$A:$N,14,FALSE)</f>
        <v>34233</v>
      </c>
      <c r="L114" s="6" t="str">
        <f>VLOOKUP(B114,[2]Planilha1!$A:$R,16,FALSE)</f>
        <v>SP</v>
      </c>
      <c r="M114" s="6" t="str">
        <f>VLOOKUP(B114,[2]Planilha1!$A:$R,18,FALSE)</f>
        <v>PRAIA GRANDE</v>
      </c>
      <c r="N114" s="6" t="s">
        <v>30</v>
      </c>
      <c r="O114" s="6" t="str">
        <f>VLOOKUP(B114,[2]Planilha1!$A:$R,9,FALSE)</f>
        <v>11720-085</v>
      </c>
      <c r="P114" s="6" t="str">
        <f>VLOOKUP(B114,[2]Planilha1!$A:$C,3,FALSE)</f>
        <v>R CARLOS CHIARONI</v>
      </c>
      <c r="Q114" s="6" t="str">
        <f>VLOOKUP(B114,[2]Planilha1!$A:$G,7,FALSE)</f>
        <v>110</v>
      </c>
      <c r="R114" s="6" t="str">
        <f>VLOOKUP(B114,[2]Planilha1!$A:$H,8,FALSE)</f>
        <v/>
      </c>
      <c r="S114" s="6" t="str">
        <f>VLOOKUP(B114,[2]Planilha1!$A:$D,4,FALSE)</f>
        <v>Antártica</v>
      </c>
      <c r="T114" s="6" t="str">
        <f>VLOOKUP(B114,[2]Planilha1!$A:$E,5,FALSE)</f>
        <v>PRAIA GRANDE</v>
      </c>
      <c r="U114" s="6" t="s">
        <v>31</v>
      </c>
      <c r="V114" s="6" t="str">
        <f>VLOOKUP(B114,[2]Planilha1!$A:$R,13,FALSE)</f>
        <v>Parda</v>
      </c>
      <c r="W114" s="6" t="str">
        <f>VLOOKUP(B114,[2]Planilha1!$A:$B,2,FALSE)</f>
        <v>Solteiro</v>
      </c>
      <c r="X114" s="6" t="str">
        <f>VLOOKUP(B114,[2]Planilha1!$A:$R,15,FALSE)</f>
        <v>495583595</v>
      </c>
      <c r="Y114" s="6" t="s">
        <v>32</v>
      </c>
      <c r="Z114" s="6" t="s">
        <v>31</v>
      </c>
    </row>
    <row r="115" spans="1:26" x14ac:dyDescent="0.25">
      <c r="A115" s="3">
        <v>238065</v>
      </c>
      <c r="B115" s="4" t="s">
        <v>289</v>
      </c>
      <c r="C115" s="5" t="str">
        <f>VLOOKUP(B115,[1]Sheet1!$A:$C,3,FALSE)</f>
        <v>wallace_fb@hotmail.com</v>
      </c>
      <c r="D115" s="6" t="str">
        <f>VLOOKUP(B115,[2]Planilha1!$A:$R,10,FALSE)</f>
        <v>997580950</v>
      </c>
      <c r="E115" s="6" t="s">
        <v>26</v>
      </c>
      <c r="F115" s="6" t="s">
        <v>66</v>
      </c>
      <c r="G115" s="6" t="s">
        <v>28</v>
      </c>
      <c r="H115" s="6" t="s">
        <v>290</v>
      </c>
      <c r="I115" s="3">
        <v>238065</v>
      </c>
      <c r="J115" s="7"/>
      <c r="K115" s="8">
        <f>VLOOKUP(B115,[2]Planilha1!$A:$N,14,FALSE)</f>
        <v>33526</v>
      </c>
      <c r="L115" s="6" t="str">
        <f>VLOOKUP(B115,[2]Planilha1!$A:$R,16,FALSE)</f>
        <v>SP</v>
      </c>
      <c r="M115" s="6" t="str">
        <f>VLOOKUP(B115,[2]Planilha1!$A:$R,18,FALSE)</f>
        <v>CUBATAO</v>
      </c>
      <c r="N115" s="6" t="s">
        <v>30</v>
      </c>
      <c r="O115" s="6" t="str">
        <f>VLOOKUP(B115,[2]Planilha1!$A:$R,9,FALSE)</f>
        <v>11534-530</v>
      </c>
      <c r="P115" s="6" t="str">
        <f>VLOOKUP(B115,[2]Planilha1!$A:$C,3,FALSE)</f>
        <v>R MARINA LOURENCO DE OLIVEIRA</v>
      </c>
      <c r="Q115" s="6" t="str">
        <f>VLOOKUP(B115,[2]Planilha1!$A:$G,7,FALSE)</f>
        <v>93</v>
      </c>
      <c r="R115" s="6" t="str">
        <f>VLOOKUP(B115,[2]Planilha1!$A:$H,8,FALSE)</f>
        <v/>
      </c>
      <c r="S115" s="6" t="str">
        <f>VLOOKUP(B115,[2]Planilha1!$A:$D,4,FALSE)</f>
        <v>Jardim Nova República</v>
      </c>
      <c r="T115" s="6" t="str">
        <f>VLOOKUP(B115,[2]Planilha1!$A:$E,5,FALSE)</f>
        <v>CUBATAO</v>
      </c>
      <c r="U115" s="6" t="s">
        <v>31</v>
      </c>
      <c r="V115" s="6" t="str">
        <f>VLOOKUP(B115,[2]Planilha1!$A:$R,13,FALSE)</f>
        <v>Parda</v>
      </c>
      <c r="W115" s="6" t="str">
        <f>VLOOKUP(B115,[2]Planilha1!$A:$B,2,FALSE)</f>
        <v>Casado</v>
      </c>
      <c r="X115" s="6" t="str">
        <f>VLOOKUP(B115,[2]Planilha1!$A:$R,15,FALSE)</f>
        <v>485831557</v>
      </c>
      <c r="Y115" s="6" t="s">
        <v>32</v>
      </c>
      <c r="Z115" s="6" t="s">
        <v>31</v>
      </c>
    </row>
    <row r="116" spans="1:26" x14ac:dyDescent="0.25">
      <c r="A116" s="3">
        <v>237821</v>
      </c>
      <c r="B116" s="4" t="s">
        <v>291</v>
      </c>
      <c r="C116" s="5" t="str">
        <f>VLOOKUP(B116,[1]Sheet1!$A:$C,3,FALSE)</f>
        <v>alexjdealmeida@gmail.com</v>
      </c>
      <c r="D116" s="6" t="str">
        <f>VLOOKUP(B116,[2]Planilha1!$A:$R,10,FALSE)</f>
        <v/>
      </c>
      <c r="E116" s="6" t="s">
        <v>26</v>
      </c>
      <c r="F116" s="6" t="s">
        <v>69</v>
      </c>
      <c r="G116" s="6" t="s">
        <v>28</v>
      </c>
      <c r="H116" s="6" t="s">
        <v>292</v>
      </c>
      <c r="I116" s="3">
        <v>237821</v>
      </c>
      <c r="J116" s="7"/>
      <c r="K116" s="8">
        <f>VLOOKUP(B116,[2]Planilha1!$A:$N,14,FALSE)</f>
        <v>34996</v>
      </c>
      <c r="L116" s="6" t="str">
        <f>VLOOKUP(B116,[2]Planilha1!$A:$R,16,FALSE)</f>
        <v>SP</v>
      </c>
      <c r="M116" s="6" t="str">
        <f>VLOOKUP(B116,[2]Planilha1!$A:$R,18,FALSE)</f>
        <v>JACOBINA</v>
      </c>
      <c r="N116" s="6" t="s">
        <v>30</v>
      </c>
      <c r="O116" s="6" t="str">
        <f>VLOOKUP(B116,[2]Planilha1!$A:$R,9,FALSE)</f>
        <v>11713-050</v>
      </c>
      <c r="P116" s="6" t="str">
        <f>VLOOKUP(B116,[2]Planilha1!$A:$C,3,FALSE)</f>
        <v>AV Almeida Junior</v>
      </c>
      <c r="Q116" s="6" t="str">
        <f>VLOOKUP(B116,[2]Planilha1!$A:$G,7,FALSE)</f>
        <v>1040</v>
      </c>
      <c r="R116" s="6" t="str">
        <f>VLOOKUP(B116,[2]Planilha1!$A:$H,8,FALSE)</f>
        <v>Casa 4</v>
      </c>
      <c r="S116" s="6" t="str">
        <f>VLOOKUP(B116,[2]Planilha1!$A:$D,4,FALSE)</f>
        <v>Parque das Américas</v>
      </c>
      <c r="T116" s="6" t="str">
        <f>VLOOKUP(B116,[2]Planilha1!$A:$E,5,FALSE)</f>
        <v>PRAIA GRANDE</v>
      </c>
      <c r="U116" s="6" t="s">
        <v>31</v>
      </c>
      <c r="V116" s="6" t="str">
        <f>VLOOKUP(B116,[2]Planilha1!$A:$R,13,FALSE)</f>
        <v>Parda</v>
      </c>
      <c r="W116" s="6" t="str">
        <f>VLOOKUP(B116,[2]Planilha1!$A:$B,2,FALSE)</f>
        <v>Solteiro</v>
      </c>
      <c r="X116" s="6" t="str">
        <f>VLOOKUP(B116,[2]Planilha1!$A:$R,15,FALSE)</f>
        <v>444035424</v>
      </c>
      <c r="Y116" s="6" t="s">
        <v>32</v>
      </c>
      <c r="Z116" s="6" t="s">
        <v>31</v>
      </c>
    </row>
    <row r="117" spans="1:26" x14ac:dyDescent="0.25">
      <c r="A117" s="3">
        <v>237915</v>
      </c>
      <c r="B117" s="4" t="s">
        <v>293</v>
      </c>
      <c r="C117" s="5" t="str">
        <f>VLOOKUP(B117,[1]Sheet1!$A:$C,3,FALSE)</f>
        <v>fabricio.silva31@hotmail.com</v>
      </c>
      <c r="D117" s="6" t="str">
        <f>VLOOKUP(B117,[2]Planilha1!$A:$R,10,FALSE)</f>
        <v>997109538</v>
      </c>
      <c r="E117" s="6" t="s">
        <v>26</v>
      </c>
      <c r="F117" s="6" t="s">
        <v>35</v>
      </c>
      <c r="G117" s="6" t="s">
        <v>28</v>
      </c>
      <c r="H117" s="6" t="s">
        <v>294</v>
      </c>
      <c r="I117" s="3">
        <v>237915</v>
      </c>
      <c r="J117" s="7"/>
      <c r="K117" s="8">
        <f>VLOOKUP(B117,[2]Planilha1!$A:$N,14,FALSE)</f>
        <v>34390</v>
      </c>
      <c r="L117" s="6" t="str">
        <f>VLOOKUP(B117,[2]Planilha1!$A:$R,16,FALSE)</f>
        <v>SP</v>
      </c>
      <c r="M117" s="6" t="str">
        <f>VLOOKUP(B117,[2]Planilha1!$A:$R,18,FALSE)</f>
        <v>CUBATAO</v>
      </c>
      <c r="N117" s="6" t="s">
        <v>30</v>
      </c>
      <c r="O117" s="6" t="str">
        <f>VLOOKUP(B117,[2]Planilha1!$A:$R,9,FALSE)</f>
        <v>11702-040</v>
      </c>
      <c r="P117" s="6" t="str">
        <f>VLOOKUP(B117,[2]Planilha1!$A:$C,3,FALSE)</f>
        <v>R GUATEMALA</v>
      </c>
      <c r="Q117" s="6" t="str">
        <f>VLOOKUP(B117,[2]Planilha1!$A:$G,7,FALSE)</f>
        <v>763</v>
      </c>
      <c r="R117" s="6" t="str">
        <f>VLOOKUP(B117,[2]Planilha1!$A:$H,8,FALSE)</f>
        <v>APTO 134</v>
      </c>
      <c r="S117" s="6" t="str">
        <f>VLOOKUP(B117,[2]Planilha1!$A:$D,4,FALSE)</f>
        <v>Guilhermina</v>
      </c>
      <c r="T117" s="6" t="str">
        <f>VLOOKUP(B117,[2]Planilha1!$A:$E,5,FALSE)</f>
        <v>PRAIA GRANDE</v>
      </c>
      <c r="U117" s="6" t="s">
        <v>31</v>
      </c>
      <c r="V117" s="6" t="str">
        <f>VLOOKUP(B117,[2]Planilha1!$A:$R,13,FALSE)</f>
        <v>Parda</v>
      </c>
      <c r="W117" s="6" t="str">
        <f>VLOOKUP(B117,[2]Planilha1!$A:$B,2,FALSE)</f>
        <v>Casado</v>
      </c>
      <c r="X117" s="6" t="str">
        <f>VLOOKUP(B117,[2]Planilha1!$A:$R,15,FALSE)</f>
        <v>404271078</v>
      </c>
      <c r="Y117" s="6" t="s">
        <v>32</v>
      </c>
      <c r="Z117" s="6" t="s">
        <v>31</v>
      </c>
    </row>
    <row r="118" spans="1:26" x14ac:dyDescent="0.25">
      <c r="A118" s="3">
        <v>237897</v>
      </c>
      <c r="B118" s="4" t="s">
        <v>295</v>
      </c>
      <c r="C118" s="5" t="str">
        <f>VLOOKUP(B118,[1]Sheet1!$A:$C,3,FALSE)</f>
        <v>Allisongj2@gmail.com</v>
      </c>
      <c r="D118" s="6" t="str">
        <f>VLOOKUP(B118,[2]Planilha1!$A:$R,10,FALSE)</f>
        <v>982152599</v>
      </c>
      <c r="E118" s="6" t="s">
        <v>26</v>
      </c>
      <c r="F118" s="6" t="s">
        <v>35</v>
      </c>
      <c r="G118" s="6" t="s">
        <v>28</v>
      </c>
      <c r="H118" s="6" t="s">
        <v>296</v>
      </c>
      <c r="I118" s="3">
        <v>237897</v>
      </c>
      <c r="J118" s="7"/>
      <c r="K118" s="8">
        <f>VLOOKUP(B118,[2]Planilha1!$A:$N,14,FALSE)</f>
        <v>34764</v>
      </c>
      <c r="L118" s="6" t="str">
        <f>VLOOKUP(B118,[2]Planilha1!$A:$R,16,FALSE)</f>
        <v>SP</v>
      </c>
      <c r="M118" s="6" t="str">
        <f>VLOOKUP(B118,[2]Planilha1!$A:$R,18,FALSE)</f>
        <v>GUARUJA</v>
      </c>
      <c r="N118" s="6" t="s">
        <v>30</v>
      </c>
      <c r="O118" s="6" t="str">
        <f>VLOOKUP(B118,[2]Planilha1!$A:$R,9,FALSE)</f>
        <v>11430-090</v>
      </c>
      <c r="P118" s="6" t="str">
        <f>VLOOKUP(B118,[2]Planilha1!$A:$C,3,FALSE)</f>
        <v>R MANOEL DA CRUZ MICHAEL</v>
      </c>
      <c r="Q118" s="6" t="str">
        <f>VLOOKUP(B118,[2]Planilha1!$A:$G,7,FALSE)</f>
        <v>794</v>
      </c>
      <c r="R118" s="6" t="str">
        <f>VLOOKUP(B118,[2]Planilha1!$A:$H,8,FALSE)</f>
        <v>FUNDOS</v>
      </c>
      <c r="S118" s="6" t="str">
        <f>VLOOKUP(B118,[2]Planilha1!$A:$D,4,FALSE)</f>
        <v>Jardim São Manoel</v>
      </c>
      <c r="T118" s="6" t="str">
        <f>VLOOKUP(B118,[2]Planilha1!$A:$E,5,FALSE)</f>
        <v>GUARUJA</v>
      </c>
      <c r="U118" s="6" t="s">
        <v>31</v>
      </c>
      <c r="V118" s="6" t="str">
        <f>VLOOKUP(B118,[2]Planilha1!$A:$R,13,FALSE)</f>
        <v>Parda</v>
      </c>
      <c r="W118" s="6" t="str">
        <f>VLOOKUP(B118,[2]Planilha1!$A:$B,2,FALSE)</f>
        <v>Solteiro</v>
      </c>
      <c r="X118" s="6" t="str">
        <f>VLOOKUP(B118,[2]Planilha1!$A:$R,15,FALSE)</f>
        <v>466241872</v>
      </c>
      <c r="Y118" s="6" t="s">
        <v>32</v>
      </c>
      <c r="Z118" s="6" t="s">
        <v>31</v>
      </c>
    </row>
    <row r="119" spans="1:26" x14ac:dyDescent="0.25">
      <c r="A119" s="3">
        <v>237920</v>
      </c>
      <c r="B119" s="4" t="s">
        <v>297</v>
      </c>
      <c r="C119" s="5" t="str">
        <f>VLOOKUP(B119,[1]Sheet1!$A:$C,3,FALSE)</f>
        <v>sabrinamlima02@gmail.com</v>
      </c>
      <c r="D119" s="6" t="str">
        <f>VLOOKUP(B119,[2]Planilha1!$A:$R,10,FALSE)</f>
        <v>991710679</v>
      </c>
      <c r="E119" s="6" t="s">
        <v>34</v>
      </c>
      <c r="F119" s="6" t="s">
        <v>69</v>
      </c>
      <c r="G119" s="6" t="s">
        <v>28</v>
      </c>
      <c r="H119" s="6" t="s">
        <v>298</v>
      </c>
      <c r="I119" s="3">
        <v>237920</v>
      </c>
      <c r="J119" s="7"/>
      <c r="K119" s="8">
        <f>VLOOKUP(B119,[2]Planilha1!$A:$N,14,FALSE)</f>
        <v>37289</v>
      </c>
      <c r="L119" s="6" t="str">
        <f>VLOOKUP(B119,[2]Planilha1!$A:$R,16,FALSE)</f>
        <v>SP</v>
      </c>
      <c r="M119" s="6" t="str">
        <f>VLOOKUP(B119,[2]Planilha1!$A:$R,18,FALSE)</f>
        <v>SANTOS</v>
      </c>
      <c r="N119" s="6" t="s">
        <v>30</v>
      </c>
      <c r="O119" s="6" t="str">
        <f>VLOOKUP(B119,[2]Planilha1!$A:$R,9,FALSE)</f>
        <v>11013-100</v>
      </c>
      <c r="P119" s="6" t="str">
        <f>VLOOKUP(B119,[2]Planilha1!$A:$C,3,FALSE)</f>
        <v>R DOUTOR COCHRANE</v>
      </c>
      <c r="Q119" s="6" t="str">
        <f>VLOOKUP(B119,[2]Planilha1!$A:$G,7,FALSE)</f>
        <v>87</v>
      </c>
      <c r="R119" s="6" t="str">
        <f>VLOOKUP(B119,[2]Planilha1!$A:$H,8,FALSE)</f>
        <v>CASA</v>
      </c>
      <c r="S119" s="6" t="str">
        <f>VLOOKUP(B119,[2]Planilha1!$A:$D,4,FALSE)</f>
        <v>Paquetá</v>
      </c>
      <c r="T119" s="6" t="str">
        <f>VLOOKUP(B119,[2]Planilha1!$A:$E,5,FALSE)</f>
        <v>SANTOS</v>
      </c>
      <c r="U119" s="6" t="s">
        <v>31</v>
      </c>
      <c r="V119" s="6" t="str">
        <f>VLOOKUP(B119,[2]Planilha1!$A:$R,13,FALSE)</f>
        <v>Parda</v>
      </c>
      <c r="W119" s="6" t="str">
        <f>VLOOKUP(B119,[2]Planilha1!$A:$B,2,FALSE)</f>
        <v>Solteiro</v>
      </c>
      <c r="X119" s="6" t="str">
        <f>VLOOKUP(B119,[2]Planilha1!$A:$R,15,FALSE)</f>
        <v>582368650</v>
      </c>
      <c r="Y119" s="6" t="s">
        <v>32</v>
      </c>
      <c r="Z119" s="6" t="s">
        <v>31</v>
      </c>
    </row>
    <row r="120" spans="1:26" x14ac:dyDescent="0.25">
      <c r="A120" s="3">
        <v>237956</v>
      </c>
      <c r="B120" s="4" t="s">
        <v>299</v>
      </c>
      <c r="C120" s="5" t="str">
        <f>VLOOKUP(B120,[1]Sheet1!$A:$C,3,FALSE)</f>
        <v>m.scarvalho@btp.com.br</v>
      </c>
      <c r="D120" s="6" t="str">
        <f>VLOOKUP(B120,[2]Planilha1!$A:$R,10,FALSE)</f>
        <v>991671603</v>
      </c>
      <c r="E120" s="6" t="s">
        <v>26</v>
      </c>
      <c r="F120" s="6" t="s">
        <v>69</v>
      </c>
      <c r="G120" s="6" t="s">
        <v>28</v>
      </c>
      <c r="H120" s="6" t="s">
        <v>300</v>
      </c>
      <c r="I120" s="3">
        <v>237956</v>
      </c>
      <c r="J120" s="7"/>
      <c r="K120" s="8">
        <f>VLOOKUP(B120,[2]Planilha1!$A:$N,14,FALSE)</f>
        <v>34897</v>
      </c>
      <c r="L120" s="6" t="str">
        <f>VLOOKUP(B120,[2]Planilha1!$A:$R,16,FALSE)</f>
        <v>SP</v>
      </c>
      <c r="M120" s="6" t="str">
        <f>VLOOKUP(B120,[2]Planilha1!$A:$R,18,FALSE)</f>
        <v>SANTOS</v>
      </c>
      <c r="N120" s="6" t="s">
        <v>30</v>
      </c>
      <c r="O120" s="6" t="str">
        <f>VLOOKUP(B120,[2]Planilha1!$A:$R,9,FALSE)</f>
        <v>11086-400</v>
      </c>
      <c r="P120" s="6" t="str">
        <f>VLOOKUP(B120,[2]Planilha1!$A:$C,3,FALSE)</f>
        <v>AV ENGENHEIRO MANOEL FERRAMENTA JUNIOR</v>
      </c>
      <c r="Q120" s="6" t="str">
        <f>VLOOKUP(B120,[2]Planilha1!$A:$G,7,FALSE)</f>
        <v>505</v>
      </c>
      <c r="R120" s="6" t="str">
        <f>VLOOKUP(B120,[2]Planilha1!$A:$H,8,FALSE)</f>
        <v>BLOCO D AP 54</v>
      </c>
      <c r="S120" s="6" t="str">
        <f>VLOOKUP(B120,[2]Planilha1!$A:$D,4,FALSE)</f>
        <v>Areia Branca</v>
      </c>
      <c r="T120" s="6" t="str">
        <f>VLOOKUP(B120,[2]Planilha1!$A:$E,5,FALSE)</f>
        <v>SANTOS</v>
      </c>
      <c r="U120" s="6" t="s">
        <v>31</v>
      </c>
      <c r="V120" s="6" t="str">
        <f>VLOOKUP(B120,[2]Planilha1!$A:$R,13,FALSE)</f>
        <v>Parda</v>
      </c>
      <c r="W120" s="6" t="str">
        <f>VLOOKUP(B120,[2]Planilha1!$A:$B,2,FALSE)</f>
        <v>Solteiro</v>
      </c>
      <c r="X120" s="6" t="str">
        <f>VLOOKUP(B120,[2]Planilha1!$A:$R,15,FALSE)</f>
        <v>412018834</v>
      </c>
      <c r="Y120" s="6" t="s">
        <v>32</v>
      </c>
      <c r="Z120" s="6" t="s">
        <v>31</v>
      </c>
    </row>
    <row r="121" spans="1:26" x14ac:dyDescent="0.25">
      <c r="A121" s="3">
        <v>237901</v>
      </c>
      <c r="B121" s="4" t="s">
        <v>301</v>
      </c>
      <c r="C121" s="5" t="str">
        <f>VLOOKUP(B121,[1]Sheet1!$A:$C,3,FALSE)</f>
        <v>cristiano.vnr4@hotmail.com</v>
      </c>
      <c r="D121" s="6" t="str">
        <f>VLOOKUP(B121,[2]Planilha1!$A:$R,10,FALSE)</f>
        <v>988687308</v>
      </c>
      <c r="E121" s="6" t="s">
        <v>26</v>
      </c>
      <c r="F121" s="6" t="s">
        <v>27</v>
      </c>
      <c r="G121" s="6" t="s">
        <v>28</v>
      </c>
      <c r="H121" s="6" t="s">
        <v>302</v>
      </c>
      <c r="I121" s="3">
        <v>237901</v>
      </c>
      <c r="J121" s="7"/>
      <c r="K121" s="8">
        <f>VLOOKUP(B121,[2]Planilha1!$A:$N,14,FALSE)</f>
        <v>34796</v>
      </c>
      <c r="L121" s="6" t="str">
        <f>VLOOKUP(B121,[2]Planilha1!$A:$R,16,FALSE)</f>
        <v>SP</v>
      </c>
      <c r="M121" s="6" t="str">
        <f>VLOOKUP(B121,[2]Planilha1!$A:$R,18,FALSE)</f>
        <v>SANTOS</v>
      </c>
      <c r="N121" s="6" t="s">
        <v>30</v>
      </c>
      <c r="O121" s="6" t="str">
        <f>VLOOKUP(B121,[2]Planilha1!$A:$R,9,FALSE)</f>
        <v>11538-030</v>
      </c>
      <c r="P121" s="6" t="str">
        <f>VLOOKUP(B121,[2]Planilha1!$A:$C,3,FALSE)</f>
        <v>R DOS GIRASSOIS</v>
      </c>
      <c r="Q121" s="6" t="str">
        <f>VLOOKUP(B121,[2]Planilha1!$A:$G,7,FALSE)</f>
        <v>200</v>
      </c>
      <c r="R121" s="6" t="str">
        <f>VLOOKUP(B121,[2]Planilha1!$A:$H,8,FALSE)</f>
        <v>CASA 1</v>
      </c>
      <c r="S121" s="6" t="str">
        <f>VLOOKUP(B121,[2]Planilha1!$A:$D,4,FALSE)</f>
        <v>Vila Natal</v>
      </c>
      <c r="T121" s="6" t="str">
        <f>VLOOKUP(B121,[2]Planilha1!$A:$E,5,FALSE)</f>
        <v>CUBATAO</v>
      </c>
      <c r="U121" s="6" t="s">
        <v>31</v>
      </c>
      <c r="V121" s="6" t="str">
        <f>VLOOKUP(B121,[2]Planilha1!$A:$R,13,FALSE)</f>
        <v>Parda</v>
      </c>
      <c r="W121" s="6" t="str">
        <f>VLOOKUP(B121,[2]Planilha1!$A:$B,2,FALSE)</f>
        <v>Solteiro</v>
      </c>
      <c r="X121" s="6" t="str">
        <f>VLOOKUP(B121,[2]Planilha1!$A:$R,15,FALSE)</f>
        <v>345093884</v>
      </c>
      <c r="Y121" s="6" t="s">
        <v>32</v>
      </c>
      <c r="Z121" s="6" t="s">
        <v>31</v>
      </c>
    </row>
    <row r="122" spans="1:26" x14ac:dyDescent="0.25">
      <c r="A122" s="3">
        <v>237836</v>
      </c>
      <c r="B122" s="4" t="s">
        <v>303</v>
      </c>
      <c r="C122" s="5" t="str">
        <f>VLOOKUP(B122,[1]Sheet1!$A:$C,3,FALSE)</f>
        <v>joaotorresguimaraes@gmail.com</v>
      </c>
      <c r="D122" s="6" t="str">
        <f>VLOOKUP(B122,[2]Planilha1!$A:$R,10,FALSE)</f>
        <v>996234351</v>
      </c>
      <c r="E122" s="6" t="s">
        <v>26</v>
      </c>
      <c r="F122" s="6" t="s">
        <v>35</v>
      </c>
      <c r="G122" s="6" t="s">
        <v>28</v>
      </c>
      <c r="H122" s="6" t="s">
        <v>304</v>
      </c>
      <c r="I122" s="3">
        <v>237836</v>
      </c>
      <c r="J122" s="7"/>
      <c r="K122" s="8">
        <f>VLOOKUP(B122,[2]Planilha1!$A:$N,14,FALSE)</f>
        <v>37016</v>
      </c>
      <c r="L122" s="6" t="str">
        <f>VLOOKUP(B122,[2]Planilha1!$A:$R,16,FALSE)</f>
        <v>SP</v>
      </c>
      <c r="M122" s="6" t="str">
        <f>VLOOKUP(B122,[2]Planilha1!$A:$R,18,FALSE)</f>
        <v>SANTOS</v>
      </c>
      <c r="N122" s="6" t="s">
        <v>30</v>
      </c>
      <c r="O122" s="6" t="str">
        <f>VLOOKUP(B122,[2]Planilha1!$A:$R,9,FALSE)</f>
        <v>11045-100</v>
      </c>
      <c r="P122" s="6" t="str">
        <f>VLOOKUP(B122,[2]Planilha1!$A:$C,3,FALSE)</f>
        <v>R OSWALDO CRUZ</v>
      </c>
      <c r="Q122" s="6" t="str">
        <f>VLOOKUP(B122,[2]Planilha1!$A:$G,7,FALSE)</f>
        <v>84/13</v>
      </c>
      <c r="R122" s="6" t="str">
        <f>VLOOKUP(B122,[2]Planilha1!$A:$H,8,FALSE)</f>
        <v/>
      </c>
      <c r="S122" s="6" t="str">
        <f>VLOOKUP(B122,[2]Planilha1!$A:$D,4,FALSE)</f>
        <v>Boqueirão</v>
      </c>
      <c r="T122" s="6" t="str">
        <f>VLOOKUP(B122,[2]Planilha1!$A:$E,5,FALSE)</f>
        <v>SANTOS</v>
      </c>
      <c r="U122" s="6" t="s">
        <v>31</v>
      </c>
      <c r="V122" s="6" t="str">
        <f>VLOOKUP(B122,[2]Planilha1!$A:$R,13,FALSE)</f>
        <v>Parda</v>
      </c>
      <c r="W122" s="6" t="str">
        <f>VLOOKUP(B122,[2]Planilha1!$A:$B,2,FALSE)</f>
        <v>Solteiro</v>
      </c>
      <c r="X122" s="6" t="str">
        <f>VLOOKUP(B122,[2]Planilha1!$A:$R,15,FALSE)</f>
        <v>507511736</v>
      </c>
      <c r="Y122" s="6" t="s">
        <v>32</v>
      </c>
      <c r="Z122" s="6" t="s">
        <v>31</v>
      </c>
    </row>
    <row r="123" spans="1:26" x14ac:dyDescent="0.25">
      <c r="A123" s="3">
        <v>237890</v>
      </c>
      <c r="B123" s="4" t="s">
        <v>305</v>
      </c>
      <c r="C123" s="5" t="str">
        <f>VLOOKUP(B123,[1]Sheet1!$A:$C,3,FALSE)</f>
        <v>vladimir.prado94@gmail.com</v>
      </c>
      <c r="D123" s="6" t="str">
        <f>VLOOKUP(B123,[2]Planilha1!$A:$R,10,FALSE)</f>
        <v>988523876</v>
      </c>
      <c r="E123" s="6" t="s">
        <v>26</v>
      </c>
      <c r="F123" s="6" t="s">
        <v>27</v>
      </c>
      <c r="G123" s="6" t="s">
        <v>28</v>
      </c>
      <c r="H123" s="6" t="s">
        <v>306</v>
      </c>
      <c r="I123" s="3">
        <v>237890</v>
      </c>
      <c r="J123" s="7"/>
      <c r="K123" s="8">
        <f>VLOOKUP(B123,[2]Planilha1!$A:$N,14,FALSE)</f>
        <v>34463</v>
      </c>
      <c r="L123" s="6" t="str">
        <f>VLOOKUP(B123,[2]Planilha1!$A:$R,16,FALSE)</f>
        <v>SP</v>
      </c>
      <c r="M123" s="6" t="str">
        <f>VLOOKUP(B123,[2]Planilha1!$A:$R,18,FALSE)</f>
        <v>SANTOS</v>
      </c>
      <c r="N123" s="6" t="s">
        <v>30</v>
      </c>
      <c r="O123" s="6" t="str">
        <f>VLOOKUP(B123,[2]Planilha1!$A:$R,9,FALSE)</f>
        <v>11460-004</v>
      </c>
      <c r="P123" s="6" t="str">
        <f>VLOOKUP(B123,[2]Planilha1!$A:$C,3,FALSE)</f>
        <v>AV SANTOS DUMONT DE 1787 A 2685</v>
      </c>
      <c r="Q123" s="6" t="str">
        <f>VLOOKUP(B123,[2]Planilha1!$A:$G,7,FALSE)</f>
        <v>1915</v>
      </c>
      <c r="R123" s="6" t="str">
        <f>VLOOKUP(B123,[2]Planilha1!$A:$H,8,FALSE)</f>
        <v>LADO IMPAR- bloco G APT 6</v>
      </c>
      <c r="S123" s="6" t="str">
        <f>VLOOKUP(B123,[2]Planilha1!$A:$D,4,FALSE)</f>
        <v>Jardim Boa Esperança (Vicente de Carvalh</v>
      </c>
      <c r="T123" s="6" t="str">
        <f>VLOOKUP(B123,[2]Planilha1!$A:$E,5,FALSE)</f>
        <v>GUARUJA</v>
      </c>
      <c r="U123" s="6" t="s">
        <v>31</v>
      </c>
      <c r="V123" s="6" t="str">
        <f>VLOOKUP(B123,[2]Planilha1!$A:$R,13,FALSE)</f>
        <v>Parda</v>
      </c>
      <c r="W123" s="6" t="str">
        <f>VLOOKUP(B123,[2]Planilha1!$A:$B,2,FALSE)</f>
        <v>Casado</v>
      </c>
      <c r="X123" s="6" t="str">
        <f>VLOOKUP(B123,[2]Planilha1!$A:$R,15,FALSE)</f>
        <v>41363811X</v>
      </c>
      <c r="Y123" s="6" t="s">
        <v>32</v>
      </c>
      <c r="Z123" s="6" t="s">
        <v>31</v>
      </c>
    </row>
    <row r="124" spans="1:26" x14ac:dyDescent="0.25">
      <c r="A124" s="3">
        <v>238012</v>
      </c>
      <c r="B124" s="4" t="s">
        <v>307</v>
      </c>
      <c r="C124" s="5" t="str">
        <f>VLOOKUP(B124,[1]Sheet1!$A:$C,3,FALSE)</f>
        <v>arlindo_vp@live.com</v>
      </c>
      <c r="D124" s="6" t="str">
        <f>VLOOKUP(B124,[2]Planilha1!$A:$R,10,FALSE)</f>
        <v>32587187</v>
      </c>
      <c r="E124" s="6" t="s">
        <v>26</v>
      </c>
      <c r="F124" s="6" t="s">
        <v>63</v>
      </c>
      <c r="G124" s="6" t="s">
        <v>28</v>
      </c>
      <c r="H124" s="6" t="s">
        <v>308</v>
      </c>
      <c r="I124" s="3">
        <v>238012</v>
      </c>
      <c r="J124" s="7"/>
      <c r="K124" s="8">
        <f>VLOOKUP(B124,[2]Planilha1!$A:$N,14,FALSE)</f>
        <v>35786</v>
      </c>
      <c r="L124" s="6" t="str">
        <f>VLOOKUP(B124,[2]Planilha1!$A:$R,16,FALSE)</f>
        <v>SP</v>
      </c>
      <c r="M124" s="6" t="str">
        <f>VLOOKUP(B124,[2]Planilha1!$A:$R,18,FALSE)</f>
        <v>PALMEIRA DOS INDIOS</v>
      </c>
      <c r="N124" s="6" t="s">
        <v>30</v>
      </c>
      <c r="O124" s="6" t="str">
        <f>VLOOKUP(B124,[2]Planilha1!$A:$R,9,FALSE)</f>
        <v>11080-300</v>
      </c>
      <c r="P124" s="6" t="str">
        <f>VLOOKUP(B124,[2]Planilha1!$A:$C,3,FALSE)</f>
        <v>R Torquato Dias</v>
      </c>
      <c r="Q124" s="6" t="str">
        <f>VLOOKUP(B124,[2]Planilha1!$A:$G,7,FALSE)</f>
        <v>3591</v>
      </c>
      <c r="R124" s="6" t="str">
        <f>VLOOKUP(B124,[2]Planilha1!$A:$H,8,FALSE)</f>
        <v>CASA 2</v>
      </c>
      <c r="S124" s="6" t="str">
        <f>VLOOKUP(B124,[2]Planilha1!$A:$D,4,FALSE)</f>
        <v>Morro Nova Cintra</v>
      </c>
      <c r="T124" s="6" t="str">
        <f>VLOOKUP(B124,[2]Planilha1!$A:$E,5,FALSE)</f>
        <v>SANTOS</v>
      </c>
      <c r="U124" s="6" t="s">
        <v>31</v>
      </c>
      <c r="V124" s="6" t="str">
        <f>VLOOKUP(B124,[2]Planilha1!$A:$R,13,FALSE)</f>
        <v>Parda</v>
      </c>
      <c r="W124" s="6" t="str">
        <f>VLOOKUP(B124,[2]Planilha1!$A:$B,2,FALSE)</f>
        <v>Solteiro</v>
      </c>
      <c r="X124" s="6" t="str">
        <f>VLOOKUP(B124,[2]Planilha1!$A:$R,15,FALSE)</f>
        <v>373038094</v>
      </c>
      <c r="Y124" s="6" t="s">
        <v>32</v>
      </c>
      <c r="Z124" s="6" t="s">
        <v>31</v>
      </c>
    </row>
    <row r="125" spans="1:26" x14ac:dyDescent="0.25">
      <c r="A125" s="3">
        <v>237848</v>
      </c>
      <c r="B125" s="4" t="s">
        <v>309</v>
      </c>
      <c r="C125" s="5" t="str">
        <f>VLOOKUP(B125,[1]Sheet1!$A:$C,3,FALSE)</f>
        <v>joaokaiog10@gmail.com</v>
      </c>
      <c r="D125" s="6" t="str">
        <f>VLOOKUP(B125,[2]Planilha1!$A:$R,10,FALSE)</f>
        <v>991495107</v>
      </c>
      <c r="E125" s="6" t="s">
        <v>26</v>
      </c>
      <c r="F125" s="6" t="s">
        <v>35</v>
      </c>
      <c r="G125" s="6" t="s">
        <v>28</v>
      </c>
      <c r="H125" s="6" t="s">
        <v>310</v>
      </c>
      <c r="I125" s="3">
        <v>237848</v>
      </c>
      <c r="J125" s="7"/>
      <c r="K125" s="8">
        <f>VLOOKUP(B125,[2]Planilha1!$A:$N,14,FALSE)</f>
        <v>35786</v>
      </c>
      <c r="L125" s="6" t="str">
        <f>VLOOKUP(B125,[2]Planilha1!$A:$R,16,FALSE)</f>
        <v>SP</v>
      </c>
      <c r="M125" s="6" t="str">
        <f>VLOOKUP(B125,[2]Planilha1!$A:$R,18,FALSE)</f>
        <v>GUARUJA</v>
      </c>
      <c r="N125" s="6" t="s">
        <v>30</v>
      </c>
      <c r="O125" s="6" t="str">
        <f>VLOOKUP(B125,[2]Planilha1!$A:$R,9,FALSE)</f>
        <v>11436-575</v>
      </c>
      <c r="P125" s="6" t="str">
        <f>VLOOKUP(B125,[2]Planilha1!$A:$C,3,FALSE)</f>
        <v>R QUARTORZE</v>
      </c>
      <c r="Q125" s="6" t="str">
        <f>VLOOKUP(B125,[2]Planilha1!$A:$G,7,FALSE)</f>
        <v>49</v>
      </c>
      <c r="R125" s="6" t="str">
        <f>VLOOKUP(B125,[2]Planilha1!$A:$H,8,FALSE)</f>
        <v>RESIDENCIAL VICTORIA PARK</v>
      </c>
      <c r="S125" s="6" t="str">
        <f>VLOOKUP(B125,[2]Planilha1!$A:$D,4,FALSE)</f>
        <v>VILA ZILDA</v>
      </c>
      <c r="T125" s="6" t="str">
        <f>VLOOKUP(B125,[2]Planilha1!$A:$E,5,FALSE)</f>
        <v>GUARUJA</v>
      </c>
      <c r="U125" s="6" t="s">
        <v>31</v>
      </c>
      <c r="V125" s="6" t="str">
        <f>VLOOKUP(B125,[2]Planilha1!$A:$R,13,FALSE)</f>
        <v>Parda</v>
      </c>
      <c r="W125" s="6" t="str">
        <f>VLOOKUP(B125,[2]Planilha1!$A:$B,2,FALSE)</f>
        <v>Casado</v>
      </c>
      <c r="X125" s="6" t="str">
        <f>VLOOKUP(B125,[2]Planilha1!$A:$R,15,FALSE)</f>
        <v>482277130</v>
      </c>
      <c r="Y125" s="6" t="s">
        <v>32</v>
      </c>
      <c r="Z125" s="6" t="s">
        <v>31</v>
      </c>
    </row>
    <row r="126" spans="1:26" x14ac:dyDescent="0.25">
      <c r="A126" s="3">
        <v>237868</v>
      </c>
      <c r="B126" s="4" t="s">
        <v>311</v>
      </c>
      <c r="C126" s="5" t="str">
        <f>VLOOKUP(B126,[1]Sheet1!$A:$C,3,FALSE)</f>
        <v>marcelinho.camps@gmail.com</v>
      </c>
      <c r="D126" s="6" t="str">
        <f>VLOOKUP(B126,[2]Planilha1!$A:$R,10,FALSE)</f>
        <v>997402750</v>
      </c>
      <c r="E126" s="6" t="s">
        <v>26</v>
      </c>
      <c r="F126" s="6" t="s">
        <v>312</v>
      </c>
      <c r="G126" s="6" t="s">
        <v>28</v>
      </c>
      <c r="H126" s="6" t="s">
        <v>313</v>
      </c>
      <c r="I126" s="3">
        <v>237868</v>
      </c>
      <c r="J126" s="7"/>
      <c r="K126" s="8">
        <f>VLOOKUP(B126,[2]Planilha1!$A:$N,14,FALSE)</f>
        <v>36732</v>
      </c>
      <c r="L126" s="6" t="str">
        <f>VLOOKUP(B126,[2]Planilha1!$A:$R,16,FALSE)</f>
        <v>SP</v>
      </c>
      <c r="M126" s="6" t="str">
        <f>VLOOKUP(B126,[2]Planilha1!$A:$R,18,FALSE)</f>
        <v>SANTOS</v>
      </c>
      <c r="N126" s="6" t="s">
        <v>30</v>
      </c>
      <c r="O126" s="6" t="str">
        <f>VLOOKUP(B126,[2]Planilha1!$A:$R,9,FALSE)</f>
        <v>11075-620</v>
      </c>
      <c r="P126" s="6" t="str">
        <f>VLOOKUP(B126,[2]Planilha1!$A:$C,3,FALSE)</f>
        <v>R FRANCISCO OCTAVIANO</v>
      </c>
      <c r="Q126" s="6" t="str">
        <f>VLOOKUP(B126,[2]Planilha1!$A:$G,7,FALSE)</f>
        <v>33</v>
      </c>
      <c r="R126" s="6" t="str">
        <f>VLOOKUP(B126,[2]Planilha1!$A:$H,8,FALSE)</f>
        <v>Fundos</v>
      </c>
      <c r="S126" s="6" t="str">
        <f>VLOOKUP(B126,[2]Planilha1!$A:$D,4,FALSE)</f>
        <v>Vila Belmiro</v>
      </c>
      <c r="T126" s="6" t="str">
        <f>VLOOKUP(B126,[2]Planilha1!$A:$E,5,FALSE)</f>
        <v>SANTOS</v>
      </c>
      <c r="U126" s="6" t="s">
        <v>31</v>
      </c>
      <c r="V126" s="6" t="str">
        <f>VLOOKUP(B126,[2]Planilha1!$A:$R,13,FALSE)</f>
        <v>Parda</v>
      </c>
      <c r="W126" s="6" t="str">
        <f>VLOOKUP(B126,[2]Planilha1!$A:$B,2,FALSE)</f>
        <v>Solteiro</v>
      </c>
      <c r="X126" s="6" t="str">
        <f>VLOOKUP(B126,[2]Planilha1!$A:$R,15,FALSE)</f>
        <v>563359882</v>
      </c>
      <c r="Y126" s="6" t="s">
        <v>32</v>
      </c>
      <c r="Z126" s="6" t="s">
        <v>31</v>
      </c>
    </row>
    <row r="127" spans="1:26" x14ac:dyDescent="0.25">
      <c r="A127" s="3">
        <v>237888</v>
      </c>
      <c r="B127" s="4" t="s">
        <v>314</v>
      </c>
      <c r="C127" s="5" t="str">
        <f>VLOOKUP(B127,[1]Sheet1!$A:$C,3,FALSE)</f>
        <v>matheusbnh1@gmail.com</v>
      </c>
      <c r="D127" s="6" t="str">
        <f>VLOOKUP(B127,[2]Planilha1!$A:$R,10,FALSE)</f>
        <v>981572289</v>
      </c>
      <c r="E127" s="6" t="s">
        <v>26</v>
      </c>
      <c r="F127" s="6" t="s">
        <v>35</v>
      </c>
      <c r="G127" s="6" t="s">
        <v>28</v>
      </c>
      <c r="H127" s="6" t="s">
        <v>315</v>
      </c>
      <c r="I127" s="3">
        <v>237888</v>
      </c>
      <c r="J127" s="7"/>
      <c r="K127" s="8">
        <f>VLOOKUP(B127,[2]Planilha1!$A:$N,14,FALSE)</f>
        <v>37139</v>
      </c>
      <c r="L127" s="6" t="str">
        <f>VLOOKUP(B127,[2]Planilha1!$A:$R,16,FALSE)</f>
        <v>SP</v>
      </c>
      <c r="M127" s="6" t="str">
        <f>VLOOKUP(B127,[2]Planilha1!$A:$R,18,FALSE)</f>
        <v>SANTOS</v>
      </c>
      <c r="N127" s="6" t="s">
        <v>30</v>
      </c>
      <c r="O127" s="6" t="str">
        <f>VLOOKUP(B127,[2]Planilha1!$A:$R,9,FALSE)</f>
        <v>11070-250</v>
      </c>
      <c r="P127" s="6" t="str">
        <f>VLOOKUP(B127,[2]Planilha1!$A:$C,3,FALSE)</f>
        <v>PC PAULO FERNANDES GASCON</v>
      </c>
      <c r="Q127" s="6" t="str">
        <f>VLOOKUP(B127,[2]Planilha1!$A:$G,7,FALSE)</f>
        <v>20</v>
      </c>
      <c r="R127" s="6" t="str">
        <f>VLOOKUP(B127,[2]Planilha1!$A:$H,8,FALSE)</f>
        <v>APARTAMENTO 31</v>
      </c>
      <c r="S127" s="6" t="str">
        <f>VLOOKUP(B127,[2]Planilha1!$A:$D,4,FALSE)</f>
        <v>Vila Belmiro</v>
      </c>
      <c r="T127" s="6" t="str">
        <f>VLOOKUP(B127,[2]Planilha1!$A:$E,5,FALSE)</f>
        <v>SANTOS</v>
      </c>
      <c r="U127" s="6" t="s">
        <v>31</v>
      </c>
      <c r="V127" s="6" t="str">
        <f>VLOOKUP(B127,[2]Planilha1!$A:$R,13,FALSE)</f>
        <v>Parda</v>
      </c>
      <c r="W127" s="6" t="str">
        <f>VLOOKUP(B127,[2]Planilha1!$A:$B,2,FALSE)</f>
        <v>Solteiro</v>
      </c>
      <c r="X127" s="6" t="str">
        <f>VLOOKUP(B127,[2]Planilha1!$A:$R,15,FALSE)</f>
        <v>605976624</v>
      </c>
      <c r="Y127" s="6" t="s">
        <v>32</v>
      </c>
      <c r="Z127" s="6" t="s">
        <v>31</v>
      </c>
    </row>
    <row r="128" spans="1:26" x14ac:dyDescent="0.25">
      <c r="A128" s="3">
        <v>237908</v>
      </c>
      <c r="B128" s="4" t="s">
        <v>316</v>
      </c>
      <c r="C128" s="5" t="str">
        <f>VLOOKUP(B128,[1]Sheet1!$A:$C,3,FALSE)</f>
        <v>rafaellealves.camps@gmail.com</v>
      </c>
      <c r="D128" s="6" t="str">
        <f>VLOOKUP(B128,[2]Planilha1!$A:$R,10,FALSE)</f>
        <v>996041414</v>
      </c>
      <c r="E128" s="6" t="s">
        <v>34</v>
      </c>
      <c r="F128" s="6" t="s">
        <v>95</v>
      </c>
      <c r="G128" s="6" t="s">
        <v>28</v>
      </c>
      <c r="H128" s="6" t="s">
        <v>317</v>
      </c>
      <c r="I128" s="3">
        <v>237908</v>
      </c>
      <c r="J128" s="7"/>
      <c r="K128" s="8">
        <f>VLOOKUP(B128,[2]Planilha1!$A:$N,14,FALSE)</f>
        <v>37437</v>
      </c>
      <c r="L128" s="6" t="str">
        <f>VLOOKUP(B128,[2]Planilha1!$A:$R,16,FALSE)</f>
        <v>SP</v>
      </c>
      <c r="M128" s="6" t="str">
        <f>VLOOKUP(B128,[2]Planilha1!$A:$R,18,FALSE)</f>
        <v>SANTOS</v>
      </c>
      <c r="N128" s="6" t="s">
        <v>30</v>
      </c>
      <c r="O128" s="6" t="str">
        <f>VLOOKUP(B128,[2]Planilha1!$A:$R,9,FALSE)</f>
        <v>11310-050</v>
      </c>
      <c r="P128" s="6" t="str">
        <f>VLOOKUP(B128,[2]Planilha1!$A:$C,3,FALSE)</f>
        <v>R JOÃO RAMALHO</v>
      </c>
      <c r="Q128" s="6" t="str">
        <f>VLOOKUP(B128,[2]Planilha1!$A:$G,7,FALSE)</f>
        <v>1085</v>
      </c>
      <c r="R128" s="6" t="str">
        <f>VLOOKUP(B128,[2]Planilha1!$A:$H,8,FALSE)</f>
        <v>AP 312</v>
      </c>
      <c r="S128" s="6" t="str">
        <f>VLOOKUP(B128,[2]Planilha1!$A:$D,4,FALSE)</f>
        <v>Centro</v>
      </c>
      <c r="T128" s="6" t="str">
        <f>VLOOKUP(B128,[2]Planilha1!$A:$E,5,FALSE)</f>
        <v>SAO VICENTE</v>
      </c>
      <c r="U128" s="6" t="s">
        <v>31</v>
      </c>
      <c r="V128" s="6" t="str">
        <f>VLOOKUP(B128,[2]Planilha1!$A:$R,13,FALSE)</f>
        <v>Parda</v>
      </c>
      <c r="W128" s="6" t="str">
        <f>VLOOKUP(B128,[2]Planilha1!$A:$B,2,FALSE)</f>
        <v>Solteiro</v>
      </c>
      <c r="X128" s="6" t="str">
        <f>VLOOKUP(B128,[2]Planilha1!$A:$R,15,FALSE)</f>
        <v>605955633</v>
      </c>
      <c r="Y128" s="6" t="s">
        <v>32</v>
      </c>
      <c r="Z128" s="6" t="s">
        <v>31</v>
      </c>
    </row>
    <row r="129" spans="1:26" x14ac:dyDescent="0.25">
      <c r="A129" s="3">
        <v>237973</v>
      </c>
      <c r="B129" s="4" t="s">
        <v>318</v>
      </c>
      <c r="C129" s="5" t="str">
        <f>VLOOKUP(B129,[1]Sheet1!$A:$C,3,FALSE)</f>
        <v>Vander.bezerra@hotmail.com</v>
      </c>
      <c r="D129" s="6" t="str">
        <f>VLOOKUP(B129,[2]Planilha1!$A:$R,10,FALSE)</f>
        <v>974137832</v>
      </c>
      <c r="E129" s="6" t="s">
        <v>26</v>
      </c>
      <c r="F129" s="6" t="s">
        <v>224</v>
      </c>
      <c r="G129" s="6" t="s">
        <v>28</v>
      </c>
      <c r="H129" s="6" t="s">
        <v>319</v>
      </c>
      <c r="I129" s="3">
        <v>237973</v>
      </c>
      <c r="J129" s="7"/>
      <c r="K129" s="8">
        <f>VLOOKUP(B129,[2]Planilha1!$A:$N,14,FALSE)</f>
        <v>28400</v>
      </c>
      <c r="L129" s="6" t="str">
        <f>VLOOKUP(B129,[2]Planilha1!$A:$R,16,FALSE)</f>
        <v>SP</v>
      </c>
      <c r="M129" s="6" t="str">
        <f>VLOOKUP(B129,[2]Planilha1!$A:$R,18,FALSE)</f>
        <v>GUARUJA</v>
      </c>
      <c r="N129" s="6" t="s">
        <v>30</v>
      </c>
      <c r="O129" s="6" t="str">
        <f>VLOOKUP(B129,[2]Planilha1!$A:$R,9,FALSE)</f>
        <v>11435-080</v>
      </c>
      <c r="P129" s="6" t="str">
        <f>VLOOKUP(B129,[2]Planilha1!$A:$C,3,FALSE)</f>
        <v>R E</v>
      </c>
      <c r="Q129" s="6" t="str">
        <f>VLOOKUP(B129,[2]Planilha1!$A:$G,7,FALSE)</f>
        <v>4</v>
      </c>
      <c r="R129" s="6" t="str">
        <f>VLOOKUP(B129,[2]Planilha1!$A:$H,8,FALSE)</f>
        <v/>
      </c>
      <c r="S129" s="6" t="str">
        <f>VLOOKUP(B129,[2]Planilha1!$A:$D,4,FALSE)</f>
        <v>Vila Santa Clara</v>
      </c>
      <c r="T129" s="6" t="str">
        <f>VLOOKUP(B129,[2]Planilha1!$A:$E,5,FALSE)</f>
        <v>GUARUJA</v>
      </c>
      <c r="U129" s="6" t="s">
        <v>31</v>
      </c>
      <c r="V129" s="6" t="str">
        <f>VLOOKUP(B129,[2]Planilha1!$A:$R,13,FALSE)</f>
        <v>Parda</v>
      </c>
      <c r="W129" s="6" t="str">
        <f>VLOOKUP(B129,[2]Planilha1!$A:$B,2,FALSE)</f>
        <v>Casado</v>
      </c>
      <c r="X129" s="6" t="str">
        <f>VLOOKUP(B129,[2]Planilha1!$A:$R,15,FALSE)</f>
        <v>279929699</v>
      </c>
      <c r="Y129" s="6" t="s">
        <v>32</v>
      </c>
      <c r="Z129" s="6" t="s">
        <v>31</v>
      </c>
    </row>
    <row r="130" spans="1:26" x14ac:dyDescent="0.25">
      <c r="A130" s="3">
        <v>237979</v>
      </c>
      <c r="B130" s="4" t="s">
        <v>320</v>
      </c>
      <c r="C130" s="5" t="str">
        <f>VLOOKUP(B130,[1]Sheet1!$A:$C,3,FALSE)</f>
        <v>igorpaulocardoso@gmail.com</v>
      </c>
      <c r="D130" s="6" t="str">
        <f>VLOOKUP(B130,[2]Planilha1!$A:$R,10,FALSE)</f>
        <v>30242344</v>
      </c>
      <c r="E130" s="6" t="s">
        <v>26</v>
      </c>
      <c r="F130" s="6" t="s">
        <v>35</v>
      </c>
      <c r="G130" s="6" t="s">
        <v>28</v>
      </c>
      <c r="H130" s="6" t="s">
        <v>321</v>
      </c>
      <c r="I130" s="3">
        <v>237979</v>
      </c>
      <c r="J130" s="7"/>
      <c r="K130" s="8">
        <f>VLOOKUP(B130,[2]Planilha1!$A:$N,14,FALSE)</f>
        <v>27618</v>
      </c>
      <c r="L130" s="6" t="str">
        <f>VLOOKUP(B130,[2]Planilha1!$A:$R,16,FALSE)</f>
        <v>SE</v>
      </c>
      <c r="M130" s="6" t="str">
        <f>VLOOKUP(B130,[2]Planilha1!$A:$R,18,FALSE)</f>
        <v>SANTOS</v>
      </c>
      <c r="N130" s="6" t="s">
        <v>30</v>
      </c>
      <c r="O130" s="6" t="str">
        <f>VLOOKUP(B130,[2]Planilha1!$A:$R,9,FALSE)</f>
        <v>11700-590</v>
      </c>
      <c r="P130" s="6" t="str">
        <f>VLOOKUP(B130,[2]Planilha1!$A:$C,3,FALSE)</f>
        <v>R DEZ</v>
      </c>
      <c r="Q130" s="6" t="str">
        <f>VLOOKUP(B130,[2]Planilha1!$A:$G,7,FALSE)</f>
        <v>52</v>
      </c>
      <c r="R130" s="6" t="str">
        <f>VLOOKUP(B130,[2]Planilha1!$A:$H,8,FALSE)</f>
        <v>23</v>
      </c>
      <c r="S130" s="6" t="str">
        <f>VLOOKUP(B130,[2]Planilha1!$A:$D,4,FALSE)</f>
        <v>Canto do Forte</v>
      </c>
      <c r="T130" s="6" t="str">
        <f>VLOOKUP(B130,[2]Planilha1!$A:$E,5,FALSE)</f>
        <v>PRAIA GRANDE</v>
      </c>
      <c r="U130" s="6" t="s">
        <v>31</v>
      </c>
      <c r="V130" s="6" t="str">
        <f>VLOOKUP(B130,[2]Planilha1!$A:$R,13,FALSE)</f>
        <v>Parda</v>
      </c>
      <c r="W130" s="6" t="str">
        <f>VLOOKUP(B130,[2]Planilha1!$A:$B,2,FALSE)</f>
        <v>União Estável</v>
      </c>
      <c r="X130" s="6" t="str">
        <f>VLOOKUP(B130,[2]Planilha1!$A:$R,15,FALSE)</f>
        <v>544105096</v>
      </c>
      <c r="Y130" s="6" t="s">
        <v>32</v>
      </c>
      <c r="Z130" s="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2023-08-23T17:18:33Z</dcterms:modified>
</cp:coreProperties>
</file>